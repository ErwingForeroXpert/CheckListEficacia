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EC1F52F8-477B-41B4-A967-A5C0E94FB92C}" xr6:coauthVersionLast="43" xr6:coauthVersionMax="43" xr10:uidLastSave="{00000000-0000-0000-0000-000000000000}"/>
  <bookViews>
    <workbookView xWindow="-120" yWindow="-120" windowWidth="29040" windowHeight="15840" firstSheet="5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62" r:id="rId15"/>
    <pivotCache cacheId="63" r:id="rId16"/>
    <pivotCache cacheId="64" r:id="rId17"/>
    <pivotCache cacheId="65" r:id="rId18"/>
    <pivotCache cacheId="6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258" i="5" l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<sst xmlns="http://schemas.openxmlformats.org/spreadsheetml/2006/main" count="18209" uniqueCount="2341">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</sst>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00410995372" createdVersion="6" refreshedVersion="6" minRefreshableVersion="3" recordCount="514" xr:uid="{00000000-000A-0000-FFFF-FFFF2101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00411111111" createdVersion="6" refreshedVersion="6" minRefreshableVersion="3" recordCount="1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IBA1CRD024692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19018CADENASBPO" u="1"/>
        <s v="BARRCRD024177CADENASNUTRESA" u="1"/>
        <s v="MEDECRD017899AUTOSERVICIONUTRESA" u="1"/>
        <s v="MEDECRD023894AUTOSERVICIONUTRESA" u="1"/>
        <s v="MEDECRD023447TRADICIONALNUTRESA" u="1"/>
        <s v="VILAACT000225TRADICIONALNUTRESA" u="1"/>
        <s v="PERECRD023585AUTOSERVICIONUTRESA" u="1"/>
        <s v="BGTACRD025002AUTOSERVICIOALTILLANO" u="1"/>
        <s v="IBA1CRD024845AUTOSERVICIOBPO" u="1"/>
        <s v="CALICRD019238AUTOSERVICIOBPO" u="1"/>
        <s v="MEDECRD024337AUTOSERVICIONUTRESA" u="1"/>
        <s v="CALICRD024968AUTOSERVICIONUTRESA" u="1"/>
        <s v="MEDECRD020395AUTOSERVICIONUTRESA" u="1"/>
        <s v="CALICRD020865AUTOSERVICIOBPO" u="1"/>
        <s v="BUCACRD022322CADENASBPO" u="1"/>
        <s v="PERECRD009297CADENASNUTRESA" u="1"/>
        <s v="BARRCRD024963CADENASNUTRESA" u="1"/>
        <s v="BGTACRD023823AUTOSERVICIONUTRESA" u="1"/>
        <s v="MEDECRD024637AUTOSERVICIONUTRESA" u="1"/>
        <s v="CALICRD019638AUTOSERVICIOBPO" u="1"/>
        <s v="MEDECRD024737AUTOSERVICIONUTRESA" u="1"/>
        <s v="CARTACT000227TRADICIONALNUTRESA" u="1"/>
        <s v="BGTACRD002036TRADICIONALPROMOTORES" u="1"/>
        <s v="BARRCRD002091CADENASNUTRESA" u="1"/>
        <s v="IBA1ACT000531AUTOSERVICIONUTRESA" u="1"/>
        <s v="MEDECRD021710AUTOSERVICIONUTRESA" u="1"/>
        <s v="BGTACRD002204CADENASBPO" u="1"/>
        <s v="BARRCRD021014TRADICIONALNUTRESA" u="1"/>
        <s v="CALICRD023227CADENASNUTRESA" u="1"/>
        <s v="CARTCRD024844CADENASBPO" u="1"/>
        <s v="CALICRD000122CADENASBPO" u="1"/>
        <s v="IBA1CRD007355AUTOSERVICIOBPO" u="1"/>
        <s v="CARTCRD018325AUTOSERVICIONUTRESA" u="1"/>
        <s v="MEDECRD016669AUTOSERVICIONUTRESA" u="1"/>
        <s v="BARRACT000063TRADICIONALNUTRESA" u="1"/>
        <s v="IBA1CRD018193AUTOSERVICIONUTRESA" u="1"/>
        <s v="MEDECRD023290AUTOSERVICIONUTRESA" u="1"/>
        <s v="BUCACRD020981TRADICIONALPROMOTORES" u="1"/>
        <s v="CARTCRD024920AUTOSERVICIONUTRESA" u="1"/>
        <s v="BARRCRD008623CADENASBPO" u="1"/>
        <s v="BGTAACT000502AUTOSERVICIONUTRESA" u="1"/>
        <s v="MEDECRD023690AUTOSERVICIONUTRESA" u="1"/>
        <s v="CALICRD024953CADENASNUTRESA" u="1"/>
        <s v="MEDECRD024843CADENASBPO" u="1"/>
        <s v="BGTAACT000516AUTOSERVICIONUTRESA" u="1"/>
        <s v="IBA1CRD022174TRADICIONALPROMOTORES" u="1"/>
        <s v="VILAACT000035TRADICIONALNUTRESA" u="1"/>
        <s v="MEDECRD018324AUTOSERVICIONUTRESA" u="1"/>
        <s v="BGTACRD024583AUTOSERVICIOALTILLANO" u="1"/>
        <s v="BGTACRD024162CADENASNUTRESA" u="1"/>
        <s v="VILAACT000435TRADICIONALNUTRESA" u="1"/>
        <s v="CALICRD024964AUTOSERVICIONUTRESA" u="1"/>
        <s v="PERECRD023448AUTOSERVICIOBPO" u="1"/>
        <s v="MEDECRD020391AUTOSERVICIONUTRESA" u="1"/>
        <s v="BGTACRD023533AUTOSERVICIONUTRESA" u="1"/>
        <s v="IBA1CRD021042TRADICIONALNUTRESA" u="1"/>
        <s v="MEDECRD024733AUTOSERVICIONUTRESA" u="1"/>
        <s v="BUCACRD024845AUTOSERVICIOBPO" u="1"/>
        <s v="CALICRD020975AUTOSERVICIOBPO" u="1"/>
        <s v="BGTACRD024173AUTOSERVICIONUTRESA" u="1"/>
        <s v="BARRCRD021681CADENASBPO" u="1"/>
        <s v="PERECRD022293TRADICIONALPROMOTORES" u="1"/>
        <s v="BUCACRD002204TRADICIONALBPO" u="1"/>
        <s v="CALICRD022718CADENASBPO" u="1"/>
        <s v="MEDECRD022670CADENASBPO" u="1"/>
        <s v="BGTACRD024673AUTOSERVICIONUTRESA" u="1"/>
        <s v="CARTACT000437TRADICIONALNUTRESA" u="1"/>
        <s v="CARTCRD024268CADENASBPO" u="1"/>
        <s v="BGTACRD025002AUTOSERVICIONUTRESA" u="1"/>
        <s v="CALICRD006670AUTOSERVICIOBPO" u="1"/>
        <s v="CALIACT000303AUTOSERVICIONUTRESA" u="1"/>
        <s v="BGTAACT000035TRADICIONALALTILLANO" u="1"/>
        <s v="CARTCRD020315CADENASBPO" u="1"/>
        <s v="CARTCRD020501CADENASBPO" u="1"/>
        <s v="BUCACRD022322AUTOSERVICIONUTRESA" u="1"/>
        <s v="CARTCRD023404AUTOSERVICIONUTRESA" u="1"/>
        <s v="BGTAACT000522AUTOSERVICIOALTILLANO" u="1"/>
        <s v="BUCAACT000531AUTOSERVICIONUTRESA" u="1"/>
        <s v="BUCACRD012624AUTOSERVICIOBPO" u="1"/>
        <s v="BGTACRD023253AUTOSERVICIOALTILLANO" u="1"/>
        <s v="CALICRD019018CADENASBPO" u="1"/>
        <s v="BARRCRD021724TRADICIONALNUTRESA" u="1"/>
        <s v="BUCACRD007355AUTOSERVICIOBPO" u="1"/>
        <s v="BUCACRD024647TRADICIONALPROMOTORES" u="1"/>
        <s v="MEDEACT000436AUTOSERVICIOBPO" u="1"/>
        <s v="BARRACT000423AUTOSERVICIONUTRESA" u="1"/>
        <s v="MEDECRD014119CADENASBPO" u="1"/>
        <s v="MEDECRD000115CADENASBPO" u="1"/>
        <s v="BUCACRD018193AUTOSERVICIONUTRESA" u="1"/>
        <s v="BGTACRD022267TRADICIONALNUTRESA" u="1"/>
        <s v="VILACRD022322TRADICIONALNUTRESA" u="1"/>
        <s v="MEDECRD023803AUTOSERVICIONUTRESA" u="1"/>
        <s v="IBA1CRD024715AUTOSERVICIONUTRESA" u="1"/>
        <s v="MEDECRD024243AUTOSERVICIONUTRESA" u="1"/>
        <s v="PERECRD024844CADENASBPO" u="1"/>
        <s v="BARRCRD000245CADENASNUTRESA" u="1"/>
        <s v="BUCACRD022174TRADICIONALPROMOTORES" u="1"/>
        <s v="BARRCRD019238CADENASBPO" u="1"/>
        <s v="BGTACRD025022AUTOSERVICIOALTILLANO" u="1"/>
        <s v="MEDECRD023917AUTOSERVICIONUTRESA" u="1"/>
        <s v="BARRCRD020865CADENASBPO" u="1"/>
        <s v="BARRCRD024861TRADICIONALBPO" u="1"/>
        <s v="PERECRD024537CADENASNUTRESA" u="1"/>
        <s v="MEDECRD019555TRADICIONALBPO" u="1"/>
        <s v="BUCACRD024841AUTOSERVICIOBPO" u="1"/>
        <s v="CALICRD020971AUTOSERVICIOBPO" u="1"/>
        <s v="MEDECRD024457AUTOSERVICIONUTRESA" u="1"/>
        <s v="BARRCRD019638CADENASBPO" u="1"/>
        <s v="CALICRD021014TRADICIONALNUTRESA" u="1"/>
        <s v="MEDECRD018870TRADICIONALNUTRESA" u="1"/>
        <s v="MEDECRD018934AUTOSERVICIONUTRESA" u="1"/>
        <s v="MEDECRD021754CADENASBPO" u="1"/>
        <s v="BGTACRD020854CADENASBPO" u="1"/>
        <s v="BGTACRD001316TRADICIONALPROMOTORES" u="1"/>
        <s v="BARRCRD024997CADENASNUTRESA" u="1"/>
        <s v="IBA1ACT000454CADENASNUTRESA" u="1"/>
        <s v="PERECRD024398AUTOSERVICIOBPO" u="1"/>
        <s v="MEDECRD020854AUTOSERVICIOBPO" u="1"/>
        <s v="PERECRD019018AUTOSERVICIOBPO" u="1"/>
        <s v="BARRCRD024647TRADICIONALNUTRESA" u="1"/>
        <s v="CARTCRD012773TRADICIONALNUTRESA" u="1"/>
        <s v="CALIACT000063TRADICIONALNUTRESA" u="1"/>
        <s v="BGTACRD010532AUTOSERVICIOBPO" u="1"/>
        <s v="CALICRD022807CADENASNUTRESA" u="1"/>
        <s v="MEDECRD013990TRADICIONALPROMOTORES" u="1"/>
        <s v="CALICRD008623CADENASBPO" u="1"/>
        <s v="BGTAACT000445TRADICIONALALTILLANO" u="1"/>
        <s v="BARRCRD021534AUTOSERVICIOBPO" u="1"/>
        <s v="BGTACRD021137AUTOSERVICIOBPO" u="1"/>
        <s v="CALIACT000500AUTOSERVICIODESARROLLADORES" u="1"/>
        <s v="CALIACT000514AUTOSERVICIODESARROLLADORES" u="1"/>
        <s v="MEDEACT000432TRADICIONALNUTRESA" u="1"/>
        <s v="MEDECRD016975AUTOSERVICIONUTRESA" u="1"/>
        <s v="BGTACRD023277AUTOSERVICIOALTILLANO" u="1"/>
        <s v="BARRCRD022088TRADICIONALNUTRESA" u="1"/>
        <s v="IBA1CRD024161TRADICIONALNUTRESA" u="1"/>
        <s v="MEDECRD023227AUTOSERVICIONUTRESA" u="1"/>
        <s v="BARRCRD022574TRADICIONALNUTRESA" u="1"/>
        <s v="CALICRD021681CADENASBPO" u="1"/>
        <s v="BARRCRD022874TRADICIONALNUTRESA" u="1"/>
        <s v="BARRCRD016979TRADICIONALNUTRESA" u="1"/>
        <s v="CALICRD024437AUTOSERVICIOBPO" u="1"/>
        <s v="MEDECRD021350CADENASBPO" u="1"/>
        <s v="BGTACRD023253AUTOSERVICIONUTRESA" u="1"/>
        <s v="CALICRD024970AUTOSERVICIONUTRESA" u="1"/>
        <s v="BUCACRD024365AUTOSERVICIOBPO" u="1"/>
        <s v="CALICRD024884AUTOSERVICIONUTRESA" u="1"/>
        <s v="MEDECRD023677TRADICIONALNUTRESA" u="1"/>
        <s v="BUCACRD011254CADENASNUTRESA" u="1"/>
        <s v="PERECRD020715CADENASBPO" u="1"/>
        <s v="IBA1CRD021162AUTOSERVICIOBPO" u="1"/>
        <s v="MEDECRD024367AUTOSERVICIONUTRESA" u="1"/>
        <s v="CALICRD006778CADENASBPO" u="1"/>
        <s v="BARRCRD020854CADENASNUTRESA" u="1"/>
        <s v="BUCACRD025008TRADICIONALNUTRESA" u="1"/>
        <s v="BGTACRD010532AUTOSERVICIOALTILLANO_BPO" u="1"/>
        <s v="MEDECRD024867AUTOSERVICIONUTRESA" u="1"/>
        <s v="PERECRD011197CADENASNUTRESA" u="1"/>
        <s v="MEDECRD024967AUTOSERVICIONUTRESA" u="1"/>
        <s v="VILACRD024076AUTOSERVICIONUTRESA" u="1"/>
        <s v="IBA1ACT000075AUTOSERVICIONUTRESA" u="1"/>
        <s v="BARRCRD024643TRADICIONALNUTRESA" u="1"/>
        <s v="BGTACRD020007AUTOSERVICIOBPO" u="1"/>
        <s v="BARRCRD006670CADENASBPO" u="1"/>
        <s v="BARRCRD024843AUTOSERVICIOBPO" u="1"/>
        <s v="CALICRD021724TRADICIONALNUTRESA" u="1"/>
        <s v="CARTCRD009243CADENASBPO" u="1"/>
        <s v="BGTAACT000441TRADICIONALALTILLANO" u="1"/>
        <s v="BUCAACT000551AUTOSERVICIONUTRESA" u="1"/>
        <s v="CARTCRD024788CADENASBPO" u="1"/>
        <s v="CALICRD023240AUTOSERVICIONUTRESA" u="1"/>
        <s v="PERECRD021681AUTOSERVICIOBPO" u="1"/>
        <s v="CARTCRD024467CADENASNUTRESA" u="1"/>
        <s v="BGTACRD001420AUTOSERVICIOBPO" u="1"/>
        <s v="CARTCRD024567CADENASNUTRESA" u="1"/>
        <s v="IBA1CRD010773TRADICIONALPROMOTORES" u="1"/>
        <s v="MEDEACT000242TRADICIONALNUTRESA" u="1"/>
        <s v="BUCACRD024653TRADICIONALPROMOTORES" u="1"/>
        <s v="BUCACRD017312AUTOSERVICIOBPO" u="1"/>
        <s v="BGTACRD023273AUTOSERVICIOALTILLANO" u="1"/>
        <s v="MEDEACT000442TRADICIONALNUTRESA" u="1"/>
        <s v="IBA1CRD024845CADENASBPO" u="1"/>
        <s v="CARTCRD024859TRADICIONALBPO" u="1"/>
        <s v="CALICRD019238CADENASBPO" u="1"/>
        <s v="BGTACRD023672TRADICIONALALTILLANO" u="1"/>
        <s v="CALICRD020865CADENASBPO" u="1"/>
        <s v="PERECRD014116CADENASBPO" u="1"/>
        <s v="BGTACRD023166CADENASNUTRESA" u="1"/>
        <s v="BGTACRD022273TRADICIONALNUTRESA" u="1"/>
        <s v="CARTCRD024964AUTOSERVICIONUTRESA" u="1"/>
        <s v="CALICRD019638CADENASBPO" u="1"/>
        <s v="BARRCRD016975TRADICIONALNUTRESA" u="1"/>
        <s v="MEDENUTDUR000001TRADICIONALNUTRESA" u="1"/>
        <s v="MEDECRD023537AUTOSERVICIONUTRESA" u="1"/>
        <s v="CALICRD024997CADENASNUTRESA" u="1"/>
        <s v="CALICRD024694AUTOSERVICIONUTRESA" u="1"/>
        <s v="IBA1CRD005001AUTOSERVICIOBPO" u="1"/>
        <s v="CALICRD021284CADENAS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PERECRD009112CADENASNUTRESA" u="1"/>
        <s v="IBA1CRD024849AUTOSERVICIONUTRESA" u="1"/>
        <s v="PERECRD019360CADENASNUTRESA" u="1"/>
        <s v="MEDECRD024563AUTOSERVICIONUTRESA" u="1"/>
        <s v="BGTACRD024816AUTOSERVICIOALTILLANO" u="1"/>
        <s v="BUCACRD025004TRADICIONALNUTRESA" u="1"/>
        <s v="CARTCRD006670AUTOSERVICIOBPO" u="1"/>
        <s v="CARTACT000303AUTOSERVICIONUTRESA" u="1"/>
        <s v="BGTACRD014744CADENASNUTRESA" u="1"/>
        <s v="IBA1CRD007355CADENASBPO" u="1"/>
        <s v="MEDECRD024877AUTOSERVICIONUTRESA" u="1"/>
        <s v="MEDECRD024716TRADICIONALNUTRESA" u="1"/>
        <s v="BGTACRD023916AUTOSERVICIOBPO" u="1"/>
        <s v="MEDECRD021350AUTOSERVICIONUTRESA" u="1"/>
        <s v="BGTACRD024846AUTOSERVICIOALTILLANO_BPO" u="1"/>
        <s v="PERECRD019238AUTOSERVICIOBPO" u="1"/>
        <s v="BARRCRD021040TRADICIONALNUTRESA" u="1"/>
        <s v="BUCAACT000075AUTOSERVICIONUTRESA" u="1"/>
        <s v="BGTACRD024842AUTOSERVICIOBPO" u="1"/>
        <s v="MEDECRD022717CADENASBPO" u="1"/>
        <s v="VILACRD025001AUTOSERVICIONUTRESA" u="1"/>
        <s v="CARTCRD019018CADENASBPO" u="1"/>
        <s v="CARTCRD009167CADENASBPO" u="1"/>
        <s v="PERECRD015482TRADICIONALNUTRESA" u="1"/>
        <s v="BGTACRD022443AUTOSERVICIOALTILLANO" u="1"/>
        <s v="PERECRD019638AUTOSERVICIOBPO" u="1"/>
        <s v="CALICRD016979TRADICIONALNUTRESA" u="1"/>
        <s v="IBA1CRD013990AUTOSERVICIOBPO" u="1"/>
        <s v="MEDECRD024162CADENASNUTRESA" u="1"/>
        <s v="BUCACRD024845CADENASBPO" u="1"/>
        <s v="MEDECRD022907AUTOSERVICIONUTRESA" u="1"/>
        <s v="BGTAACT000442AUTOSERVICIONUTRESA" u="1"/>
        <s v="IBA1CRD024159AUTOSERVICIONUTRESA" u="1"/>
        <s v="MEDECRD023533AUTOSERVICIONUTRESA" u="1"/>
        <s v="IBA1CRD024259AUTOSERVICIONUTRESA" u="1"/>
        <s v="MEDECRD023633AUTOSERVICIONUTRESA" u="1"/>
        <s v="CALICRD020854CADENASNUTRESA" u="1"/>
        <s v="CALICRD024443AUTOSERVICIOBPO" u="1"/>
        <s v="IBA1CRD008638AUTOSERVICIOBPO" u="1"/>
        <s v="CARTCRD021014TRADICIONALNUTRESA" u="1"/>
        <s v="BUCACRD008428AUTOSERVICIOBPO" u="1"/>
        <s v="MEDECRD023597TRADICIONALNUTRESA" u="1"/>
        <s v="BGTACRD018617CADENASBPO" u="1"/>
        <s v="BARRCRD019268CADENASBPO" u="1"/>
        <s v="CALICRD024843AUTOSERVICIOBPO" u="1"/>
        <s v="BGTACRD023312AUTOSERVICIOBPO" u="1"/>
        <s v="MEDECRD024473AUTOSERVICIONUTRESA" u="1"/>
        <s v="CALICRD021130AUTOSERVICIOBPO" u="1"/>
        <s v="MEDECRD024387AUTOSERVICIONUTRESA" u="1"/>
        <s v="BGTACRD024726CADENASBPO" u="1"/>
        <s v="BGTACRD023916AUTOSERVICIOALTILLANO_BPO" u="1"/>
        <s v="MEDECRD024773AUTOSERVICIONUTRESA" u="1"/>
        <s v="BUCACRD024971TRADICIONALNUTRESA" u="1"/>
        <s v="MEDECRD024687AUTOSERVICIONUTRESA" u="1"/>
        <s v="CARTACT000063TRADICIONALNUTRESA" u="1"/>
        <s v="BARRCRD019868CADENASBPO" u="1"/>
        <s v="PERECRD020361AUTOSERVICIOBPO" u="1"/>
        <s v="BGTACRD024556AUTOSERVICIOALTILLANO_BPO" u="1"/>
        <s v="MEDECRD024887AUTOSERVICIONUTRESA" u="1"/>
        <s v="BARRCRD024527AUTOSERVICIONUTRESA" u="1"/>
        <s v="BGTACRD024842AUTOSERVICIOALTILLANO_BPO" u="1"/>
        <s v="BGTACRD001290CADENASNUTRESA" u="1"/>
        <s v="BUCACRD007355CADENASBPO" u="1"/>
        <s v="PERECRD024517TRADICIONALNUTRESA" u="1"/>
        <s v="BGTACRD024702AUTOSERVICIONUTRESA" u="1"/>
        <s v="BARRCRD025006TRADICIONALNUTRESA" u="1"/>
        <s v="BGTACRD021681TRADICIONALBPO" u="1"/>
        <s v="CARTCRD022868TRADICIONALNUTRESA" u="1"/>
        <s v="BARRACT000166CADENASNUTRESA" u="1"/>
        <s v="MEDECRD021613TRADICIONALNUTRESA" u="1"/>
        <s v="IBA1CRD012588AUTOSERVICIOBPO" u="1"/>
        <s v="BGTAACT000476AUTOSERVICIOALTILLANO" u="1"/>
        <s v="IBA1CRD024365CADENASBPO" u="1"/>
        <s v="BGTACRD025009TRADICIONALNUTRESA" u="1"/>
        <s v="PERECRD022718CADENASBPO" u="1"/>
        <s v="CALICRD013990TRADICIONALBPO" u="1"/>
        <s v="BGTACRD023293AUTOSERVICIOALTILLANO" u="1"/>
        <s v="PERECRD006670AUTOSERVICIOBPO" u="1"/>
        <s v="CARTCRD021681CADENASBPO" u="1"/>
        <s v="BUCACRD024469CADENASBPO" u="1"/>
        <s v="PEREACT000417AUTOSERVICIONUTRESA" u="1"/>
        <s v="IBA1CRD016004TRADICIONALPROMOTORES" u="1"/>
        <s v="BGTACRD024122AUTOSERVICIOALTILLANO" u="1"/>
        <s v="VILACRD023141CADENASNUTRESA" u="1"/>
        <s v="BUCACRD013990AUTOSERVICIOBPO" u="1"/>
        <s v="CARTCRD019268AUTOSERVICIOBPO" u="1"/>
        <s v="MEDECRD020986TRADICIONALPROMOTORES" u="1"/>
        <s v="CALICRD024517AUTOSERVICIONUTRESA" u="1"/>
        <s v="PERECRD019018CADENASBPO" u="1"/>
        <s v="CALICRD021482TRADICIONALBPO" u="1"/>
        <s v="BARRCRD019364CADENASBPO" u="1"/>
        <s v="BARRCRD020891CADENASBPO" u="1"/>
        <s v="IBA1CRD024955AUTOSERVICIONUTRESA" u="1"/>
        <s v="BARRCRD024847CADENASBPO" u="1"/>
        <s v="BGTACRD010532CADENASBPO" u="1"/>
        <s v="BUCACRD008638AUTOSERVICIOBPO" u="1"/>
        <s v="MEDECRD024297AUTOSERVICIONUTRESA" u="1"/>
        <s v="BARRCRD017899AUTOSERVICIONUTRESA" u="1"/>
        <s v="CALICRD024867AUTOSERVICIOBPO" u="1"/>
        <s v="IBA1CRD024969AUTOSERVICIONUTRESA" u="1"/>
        <s v="BUCACRD025010TRADICIONALNUTRESA" u="1"/>
        <s v="CARTCRD021724TRADICIONALNUTRESA" u="1"/>
        <s v="MEDECRD024883AUTOSERVICIONUTRESA" u="1"/>
        <s v="BGTACRD024126AUTOSERVICIONUTRESA" u="1"/>
        <s v="BUCACRD022496CADENASBPO" u="1"/>
        <s v="BGTACRD024312AUTOSERVICIONUTRESA" u="1"/>
        <s v="IBA1CRD002036AUTOSERVICIOBPO" u="1"/>
        <s v="BGTACRD024929CADENASNUTRESA" u="1"/>
        <s v="BGTACRD024912AUTOSERVICIONUTRESA" u="1"/>
        <s v="CARTCRD022864TRADICIONALNUTRESA" u="1"/>
        <s v="VILACRD025021AUTOSERVICIONUTRESA" u="1"/>
        <s v="BUCACRD023611CADENASBPO" u="1"/>
        <s v="BGTAACT000472AUTOSERVICIOALTILLANO" u="1"/>
        <s v="BGTACRD025005TRADICIONALNUTRESA" u="1"/>
        <s v="CALICRD020181CADENASBPO" u="1"/>
        <s v="BGTACRD021163AUTOSERVICIOBPO" u="1"/>
        <s v="BGTACRD021077AUTOSERVICIOBPO" u="1"/>
        <s v="CARTCRD024861TRADICIONALBPO" u="1"/>
        <s v="IBA1CRD023361AUTOSERVICIOBPO" u="1"/>
        <s v="BUCACRD014117CADENASBPO" u="1"/>
        <s v="CALICRD024437CADENASBPO" u="1"/>
        <s v="BUCACRD012588AUTOSERVICIOBPO" u="1"/>
        <s v="BUCACRD024365CADENASBPO" u="1"/>
        <s v="MEDEACT000436AUTOSERVICIONUTRESA" u="1"/>
        <s v="PEREACT000027AUTOSERVICIONUTRESA" u="1"/>
        <s v="CALICRD023584AUTOSERVICIONUTRESA" u="1"/>
        <s v="MEDEACT000386TRADICIONALNUTRESA" u="1"/>
        <s v="PERECRD022807CADENASNUTRESA" u="1"/>
        <s v="IBA1CRD021162CADENASBPO" u="1"/>
        <s v="MEDECRD022913AUTOSERVICIONUTRESA" u="1"/>
        <s v="IBA1CRD008430AUTOSERVICIOBPO" u="1"/>
        <s v="MEDECRD023253AUTOSERVICIONUTRESA" u="1"/>
        <s v="IBA1CRD024568CADENASNUTRESA" u="1"/>
        <s v="IBA1CRD024954CADENASNUTRESA" u="1"/>
        <s v="MEDECRD023553AUTOSERVICIONUTRESA" u="1"/>
        <s v="CARTCRD024647TRADICIONALNUTRESA" u="1"/>
        <s v="PERECRD022568TRADICIONALNUTRESA" u="1"/>
        <s v="PEREACT000500AUTOSERVICIODESARROLLADORES" u="1"/>
        <s v="BUCACRD016004TRADICIONALPROMOTORES" u="1"/>
        <s v="CALICRD019868CADENASBPO" u="1"/>
        <s v="MEDECRD017758AUTOSERVICIONUTRESA" u="1"/>
        <s v="CALICRD024527AUTOSERVICIONUTRESA" u="1"/>
        <s v="PEREACT000514AUTOSERVICIODESARROLLADORES" u="1"/>
        <s v="BUCACRD020980TRADICIONALBPO" u="1"/>
        <s v="BGTACRD020007CADENASBPO" u="1"/>
        <s v="BARRCRD024843CADENASBPO" u="1"/>
        <s v="IBA1CRD024804AUTOSERVICIOBPO" u="1"/>
        <s v="VILACRD007355AUTOSERVICIOBPO" u="1"/>
        <s v="CALICRD025006TRADICIONALNUTRESA" u="1"/>
        <s v="BGTACRD020890CADENASBPO" u="1"/>
        <s v="MEDECRD024693AUTOSERVICIONUTRESA" u="1"/>
        <s v="BGTACRD024846CADENASBPO" u="1"/>
        <s v="PERECRD017899TRADICIONALNUTRESA" u="1"/>
        <s v="PERECRD021681CADENASBPO" u="1"/>
        <s v="VILACRD018193AUTOSERVICIONUTRESA" u="1"/>
        <s v="BGTACRD001420CADENASBPO" u="1"/>
        <s v="BARRCRD021458CADENASBPO" u="1"/>
        <s v="CARTCRD022088TRADICIONALNUTRESA" u="1"/>
        <s v="PERECRD024437AUTOSERVICIOBPO" u="1"/>
        <s v="BGTACRD024336AUTOSERVICIONUTRESA" u="1"/>
        <s v="BGTACRD000698CADENASNUTRESA" u="1"/>
        <s v="BGTACRD014424AUTOSERVICIOBPO" u="1"/>
        <s v="CARTCRD022574TRADICIONALNUTRESA" u="1"/>
        <s v="MEDECRD001420AUTOSERVICIOBPO" u="1"/>
        <s v="BARRCRD022670CADENASBPO" u="1"/>
        <s v="CARTCRD022874TRADICIONALNUTRESA" u="1"/>
        <s v="BGTACRD024836AUTOSERVICIONUTRESA" u="1"/>
        <s v="CARTCRD016979TRADICIONALNUTRESA" u="1"/>
        <s v="BUCACRD007004AUTOSERVICIOBPO" u="1"/>
        <s v="IBA1CRD005001CADENASBPO" u="1"/>
        <s v="MEDECRD023166CADENASNUTRESA" u="1"/>
        <s v="VILACRD021042TRADICIONALNUTRESA" u="1"/>
        <s v="IBA1CRD023249AUTOSERVICIONUTRESA" u="1"/>
        <s v="IBA1NUTDUR000005AUTOSERVICIONUTRESA" u="1"/>
        <s v="PERECRD021724TRADICIONALNUTRESA" u="1"/>
        <s v="IBA1CRD023535AUTOSERVICIONUTRESA" u="1"/>
        <s v="BUCACRD023361AUTOSERVICIOBPO" u="1"/>
        <s v="IBA1CRD023571TRADICIONALNUTRESA" u="1"/>
        <s v="IBA1CRD024161AUTOSERVICIONUTRESA" u="1"/>
        <s v="CALICRD017899AUTOSERVICIONUTRESA" u="1"/>
        <s v="BARRACT000436AUTOSERVICIOBPO" u="1"/>
        <s v="BUCACRD023661AUTOSERVICIOBPO" u="1"/>
        <s v="CARTCRD024643TRADICIONALNUTRESA" u="1"/>
        <s v="MEDECRD023277AUTOSERVICIONUTRESA" u="1"/>
        <s v="BGTACRD000122TRADICIONALPROMOTORES" u="1"/>
        <s v="CARTCRD006670CADENASBPO" u="1"/>
        <s v="BARRCRD014119CADENASBPO" u="1"/>
        <s v="BARRCRD000115CADENASBPO" u="1"/>
        <s v="CARTCRD018934TRADICIONALNUTRESA" u="1"/>
        <s v="MEDECRD022887TRADICIONALNUTRESA" u="1"/>
        <s v="BUCACRD008430AUTOSERVICIOBPO" u="1"/>
        <s v="CARTCRD024657TRADICIONALNUTRESA" u="1"/>
        <s v="BUCACRD024568CADENASNUTRESA" u="1"/>
        <s v="PEREACT000524AUTOSERVICIODESARROLLADORES" u="1"/>
        <s v="PERECRD020044CADENASNUTRESA" u="1"/>
        <s v="MEDECRD023777AUTOSERVICIONUTRESA" u="1"/>
        <s v="BGTAACT000439TRADICIONALNUTRESA" u="1"/>
        <s v="BGTACRD024842CADENASBPO" u="1"/>
        <s v="PERECRD020865CADENASBPO" u="1"/>
        <s v="BUCACRD024804AUTOSERVICIOBPO" u="1"/>
        <s v="IBA1CRD021015TRADICIONALNUTRESA" u="1"/>
        <s v="PERECRD019638CADENASBPO" u="1"/>
        <s v="VILANUTDUR000002AUTOSERVICIONUTRESA" u="1"/>
        <s v="MEDECRD024556AUTOSERVICIOBPO" u="1"/>
        <s v="IBA1CRD023141CADENASBPO" u="1"/>
        <s v="BARRCRD024946CADENASNUTRESA" u="1"/>
        <s v="MEDECRD024842AUTOSERVICIOBPO" u="1"/>
        <s v="PERECRD018785AUTOSERVICIONUTRESA" u="1"/>
        <s v="MEDECRD018933TRADICIONALNUTRESA" u="1"/>
        <s v="BARRCRD022301TRADICIONALPROMOTORES" u="1"/>
        <s v="BARRCRD021754CADENASBPO" u="1"/>
        <s v="BGTACRD024446AUTOSERVICIONUTRESA" u="1"/>
        <s v="BGTACRD024546AUTOSERVICIONUTRESA" u="1"/>
        <s v="CARTCRD013990TRADICIONALBPO" u="1"/>
        <s v="CARTCRD022870TRADICIONALNUTRESA" u="1"/>
        <s v="CALICRD002204AUTOSERVICIOBPO" u="1"/>
        <s v="PERECRD021095AUTOSERVICIONUTRESA" u="1"/>
        <s v="PERECRD024847AUTOSERVICIOBPO" u="1"/>
        <s v="CARTCRD016975TRADICIONALNUTRESA" u="1"/>
        <s v="IBA1CRD013990CADENASBPO" u="1"/>
        <s v="VILACRD024429AUTOSERVICIONUTRESA" u="1"/>
        <s v="BGTACRD024796AUTOSERVICIOBPO" u="1"/>
        <s v="BUCACRD016422TRADICIONALNUTRESA" u="1"/>
        <s v="CALICRD023685TRADICIONALBPO" u="1"/>
        <s v="BGTACRD021283AUTOSERVICIOBPO" u="1"/>
        <s v="BGTACRD020907AUTOSERVICIONUTRESA" u="1"/>
        <s v="IBA1CRD012607TRADICIONALNUTRESA" u="1"/>
        <s v="BUCAACT000418AUTOSERVICIONUTRESA" u="1"/>
        <s v="IBA1CRD008638CADENASBPO" u="1"/>
        <s v="CALICRD000119CADENASBPO" u="1"/>
        <s v="IBA1CRD023531AUTOSERVICIONUTRESA" u="1"/>
        <s v="VILACRD025008TRADICIONALNUTRESA" u="1"/>
        <s v="CALICRD024843CADENASBPO" u="1"/>
        <s v="BUCACRD005001CADENASBPO" u="1"/>
        <s v="PERECRD023167CADENASNUTRESA" u="1"/>
        <s v="BGTACRD022273AUTOSERVICIONUTRESA" u="1"/>
        <s v="CALICRD018324AUTOSERVICIONUTRESA" u="1"/>
        <s v="BUCACRD023535AUTOSERVICIONUTRESA" u="1"/>
        <s v="CARTCRD024653TRADICIONALNUTRESA" u="1"/>
        <s v="BGTAACT000482AUTOSERVICIONUTRESA" u="1"/>
        <s v="PERECRD022574TRADICIONALNUTRESA" u="1"/>
        <s v="BGTACRD024066AUTOSERVICIOALTILLANO" u="1"/>
        <s v="BUCACRD020978TRADICIONALPROMOTORES" u="1"/>
        <s v="BGTAACT000496AUTOSERVICIONUTRESA" u="1"/>
        <s v="CARTCRD021040TRADICIONALNUTRESA" u="1"/>
        <s v="MEDECRD023673AUTOSERVICIONUTRESA" u="1"/>
        <s v="CARTCRD024867AUTOSERVICIOBPO" u="1"/>
        <s v="BUCACRD023685TRADICIONALNUTRESA" u="1"/>
        <s v="BUCACRD023599TRADICIONALNUTRESA" u="1"/>
        <s v="PERECRD022874TRADICIONALNUTRESA" u="1"/>
        <s v="BGTACRD014118CADENASBPO" u="1"/>
        <s v="BGTACRD000114CADENASBPO" u="1"/>
        <s v="MEDECRD023687AUTOSERVICIONUTRESA" u="1"/>
        <s v="CALICRD024733AUTOSERVICIONUTRESA" u="1"/>
        <s v="IBA1CRD024624AUTOSERVICIOBPO" u="1"/>
        <s v="CALICRD021930CADENASBPO" u="1"/>
        <s v="BGTACRD023116AUTOSERVICIONUTRESA" u="1"/>
        <s v="BARRCRD024542CADENASNUTRESA" u="1"/>
        <s v="MEDECRD024402AUTOSERVICIONUTRESA" u="1"/>
        <s v="BARRCRD021350CADENASBPO" u="1"/>
        <s v="MEDECRD024602AUTOSERVICIONUTRESA" u="1"/>
        <s v="IBA1CRD019555AUTOSERVICIOBPO" u="1"/>
        <s v="CALICRD022670CADENASBPO" u="1"/>
        <s v="MEDECRD024702AUTOSERVICIONUTRESA" u="1"/>
        <s v="BGTACRD024631CADENASNUTRESA" u="1"/>
        <s v="MEDECRD024802AUTOSERVICIONUTRESA" u="1"/>
        <s v="IBA1CRD012588CADENASBPO" u="1"/>
        <s v="PERECRD020854CADENASNUTRESA" u="1"/>
        <s v="BGTACRD023816AUTOSERVICIONUTRESA" u="1"/>
        <s v="MEDECRD021681TRADICIONALBPO" u="1"/>
        <s v="PERECRD009112AUTOSERVICIOBPO" u="1"/>
        <s v="BUCACRD021015TRADICIONALNUTRESA" u="1"/>
        <s v="VILACRD021136CADENASBPO" u="1"/>
        <s v="PERECRD006670CADENASBPO" u="1"/>
        <s v="PERECRD024843AUTOSERVICIOBPO" u="1"/>
        <s v="CALICRD022088AUTOSERVICIONUTRESA" u="1"/>
        <s v="BGTACRD021138TRADICIONALBPO" u="1"/>
        <s v="MEDEACT000152AUTOSERVICIONUTRESA" u="1"/>
        <s v="CALIACT000436AUTOSERVICIOBPO" u="1"/>
        <s v="BUCACRD013990CADENASBPO" u="1"/>
        <s v="CARTCRD019268CADENASBPO" u="1"/>
        <s v="CALICRD014119CADENASBPO" u="1"/>
        <s v="CALICRD000115CADENASBPO" u="1"/>
        <s v="MEDEACT000352AUTOSERVICIONUTRESA" u="1"/>
        <s v="VILACRD025018TRADICIONALNUTRESA" u="1"/>
        <s v="IBA1NUTDUR000006AUTOSERVICIONUTRESA" u="1"/>
        <s v="BUCACRD008638CADENASBPO" u="1"/>
        <s v="CARTCRD010373AUTOSERVICIOBPO" u="1"/>
        <s v="PERECRD022584AUTOSERVICIOBPO" u="1"/>
        <s v="BGTACRD024062AUTOSERVICIOALTILLANO" u="1"/>
        <s v="BUCACRD020974TRADICIONALPROMOTORES" u="1"/>
        <s v="MEDECRD010532CADENASBPO" u="1"/>
        <s v="BGTACRD024076AUTOSERVICIOALTILLANO" u="1"/>
        <s v="PERECRD013990TRADICIONALBPO" u="1"/>
        <s v="MEDECRD023497AUTOSERVICIONUTRESA" u="1"/>
        <s v="BGTACRD024262CADENASBPO" u="1"/>
        <s v="VILAACT000461AUTOSERVICIONUTRESA" u="1"/>
        <s v="CARTCRD025006TRADICIONALNUTRESA" u="1"/>
        <s v="BUCACRD021482CADENASBPO" u="1"/>
        <s v="CALICRD021754CADENASBPO" u="1"/>
        <s v="IBA1CRD020109TRADICIONALNUTRESA" u="1"/>
        <s v="BGTACRD022897AUTOSERVICIONUTRESA" u="1"/>
        <s v="MEDECRD021137CADENASBPO" u="1"/>
        <s v="BGTAACT000493AUTOSERVICIODESARROLLADORES" u="1"/>
        <s v="BARRCRD024566CADENASNUTRESA" u="1"/>
        <s v="BGTACRD025004TRADICIONALALTILLANO" u="1"/>
        <s v="BGTACRD023662AUTOSERVICIOBPO" u="1"/>
        <s v="BARRCRD024277AUTOSERVICIONUTRESA" u="1"/>
        <s v="VILANUTDUR000003AUTOSERVICIONUTRESA" u="1"/>
        <s v="BGTACRD021163CADENASBPO" u="1"/>
        <s v="MEDECRD024912AUTOSERVICIONUTRESA" u="1"/>
        <s v="PERECRD000115AUTOSERVICIOBPO" u="1"/>
        <s v="BGTACRD008431AUTOSERVICIOBPO" u="1"/>
        <s v="BUCACRD019555AUTOSERVICIOBPO" u="1"/>
        <s v="IBA1ACT000120AUTOSERVICIONUTRESA" u="1"/>
        <s v="BUCACRD006779CADENASBPO" u="1"/>
        <s v="BUCACRD012588CADENASBPO" u="1"/>
        <s v="MEDECRD024962TRADICIONALNUTRESA" u="1"/>
        <s v="MEDECRD021163AUTOSERVICIOBPO" u="1"/>
        <s v="BARRCRD002204CADENASBPO" u="1"/>
        <s v="IBA1CRD023661CADENASBPO" u="1"/>
        <s v="CALICRD013990TRADICIONALPROMOTORES" u="1"/>
        <s v="IBA1ACT000420AUTOSERVICIONUTRESA" u="1"/>
        <s v="CARTCRD008430TRADICIONALBPO" u="1"/>
        <s v="IBA1CRD008430CADENASBPO" u="1"/>
        <s v="IBA1ACT000434AUTOSERVICIONUTRESA" u="1"/>
        <s v="IBA1CRD016566TRADICIONALNUTRESA" u="1"/>
        <s v="CARTCRD019364CADENASBPO" u="1"/>
        <s v="BARRCRD022717CADENASBPO" u="1"/>
        <s v="CARTCRD024847CADENASBPO" u="1"/>
        <s v="MEDEACT000176AUTOSERVICIONUTRESA" u="1"/>
        <s v="VILACRD024971TRADICIONALNUTRESA" u="1"/>
        <s v="PERECRD019998AUTOSERVICIOBPO" u="1"/>
        <s v="BGTAACT000529AUTOSERVICIOALTILLANO" u="1"/>
        <s v="MEDEACT000376AUTOSERVICIONUTRESA" u="1"/>
        <s v="MEDECRD022467AUTOSERVICIONUTRESA" u="1"/>
        <s v="CALICRD011220TRADICIONALPROMOTORES" u="1"/>
        <s v="BGTACRD022782CADENASNUTRESA" u="1"/>
        <s v="MEDECRD023293AUTOSERVICIONUTRESA" u="1"/>
        <s v="CALICRD021350CADENASBPO" u="1"/>
        <s v="BUCACRD020984TRADICIONALPROMOTORES" u="1"/>
        <s v="PERECRD020181CADENASBPO" u="1"/>
        <s v="BGTACRD023139CADENASNUTRESA" u="1"/>
        <s v="BARRCRD024162CADENASNUTRESA" u="1"/>
        <s v="BGTACRD006786AUTOSERVICIOBPO" u="1"/>
        <s v="PERECRD024437CADENASBPO" u="1"/>
        <s v="BUCACRD023808AUTOSERVICIOBPO" u="1"/>
        <s v="BGTACRD014424CADENASBPO" u="1"/>
        <s v="MEDECRD001420CADENASBPO" u="1"/>
        <s v="BGTACRD025001AUTOSERVICIOALTILLANO" u="1"/>
        <s v="BARRCRD023547AUTOSERVICIONUTRESA" u="1"/>
        <s v="IBA1CRD024844AUTOSERVICIOBPO" u="1"/>
        <s v="IBA1CRD018935TRADICIONALNUTRESA" u="1"/>
        <s v="BGTACRD018963CADENASBPO" u="1"/>
        <s v="MEDECRD024336AUTOSERVICIONUTRESA" u="1"/>
        <s v="IBA1CRD024908AUTOSERVICIONUTRESA" u="1"/>
        <s v="CALICRD024967AUTOSERVICIONUTRESA" u="1"/>
        <s v="BGTACRD024971TRADICIONALALTILLANO" u="1"/>
        <s v="MEDECRD020394AUTOSERVICIONUTRESA" u="1"/>
        <s v="BGTACRD023822AUTOSERVICIONUTRESA" u="1"/>
        <s v="MEDECRD018963AUTOSERVICIOBPO" u="1"/>
        <s v="MEDECRD018927AUTOSERVICIONUTRESA" u="1"/>
        <s v="MEDECRD011367TRADICIONALBPO" u="1"/>
        <s v="PERECRD019868CADENASBPO" u="1"/>
        <s v="MEDECRD024836AUTOSERVICIONUTRESA" u="1"/>
        <s v="BGTACRD024562AUTOSERVICIONUTRESA" u="1"/>
        <s v="VILACRD000043AUTOSERVICIOBPO" u="1"/>
        <s v="MEDECRD020847AUTOSERVICIOBPO" u="1"/>
        <s v="PERECRD019458AUTOSERVICIONUTRESA" u="1"/>
        <s v="PERECRD025006TRADICIONALNUTRESA" u="1"/>
        <s v="BGTACRD021973CADENASBPO" u="1"/>
        <s v="BUCACRD023661CADENASBPO" u="1"/>
        <s v="CARTCRD024843CADENASBPO" u="1"/>
        <s v="VILACRD025010TRADICIONALNUTRESA" u="1"/>
        <s v="BUCACRD008430CADENASBPO" u="1"/>
        <s v="BGTAACT000525AUTOSERVICIOALTILLANO" u="1"/>
        <s v="CARTCRD018324AUTOSERVICIONUTRESA" u="1"/>
        <s v="IBA1NUTDUR000007AUTOSERVICIONUTRESA" u="1"/>
        <s v="MEDECRD022663AUTOSERVICIONUTRESA" u="1"/>
        <s v="MEDEACT000225TRADICIONALNUTRESA" u="1"/>
        <s v="BGTACRD023256AUTOSERVICIOALTILLANO" u="1"/>
        <s v="MEDEACT000139TRADICIONALNUTRESA" u="1"/>
        <s v="BUCACRD020980TRADICIONALPROMOTORES" u="1"/>
        <s v="CALICRD024566CADENASNUTRESA" u="1"/>
        <s v="MEDEACT000439TRADICIONALNUTRESA" u="1"/>
        <s v="BGTACRD014120CADENASBPO" u="1"/>
        <s v="BGTAACT000501AUTOSERVICIONUTRESA" u="1"/>
        <s v="MEDECRD024842CADENASBPO" u="1"/>
        <s v="BGTAACT000515AUTOSERVICIONUTRESA" u="1"/>
        <s v="IBA1CRD022173TRADICIONALPROMOTORES" u="1"/>
        <s v="CALICRD002036TRADICIONALPROMOTORES" u="1"/>
        <s v="MEDECRD024535CADENASNUTRESA" u="1"/>
        <s v="BGTACRD024582AUTOSERVICIOALTILLANO" u="1"/>
        <s v="IBA1CRD020501AUTOSERVICIOBPO" u="1"/>
        <s v="BGTACRD024682CADENASBPO" u="1"/>
        <s v="BGTACRD025010TRADICIONALALTILLANO" u="1"/>
        <s v="CALICRD002204CADENASBPO" u="1"/>
        <s v="MEDECRD024432AUTOSERVICIONUTRESA" u="1"/>
        <s v="PERECRD024847CADENASBPO" u="1"/>
        <s v="BARRCRD019427CADENASBPO" u="1"/>
        <s v="MEDECRD024346AUTOSERVICIONUTRESA" u="1"/>
        <s v="PERECRD017899AUTOSERVICIONUTRESA" u="1"/>
        <s v="IBA1CRD021041TRADICIONALNUTRESA" u="1"/>
        <s v="MEDECRD024446AUTOSERVICIONUTRESA" u="1"/>
        <s v="MEDECRD024732AUTOSERVICIONUTRESA" u="1"/>
        <s v="BUCACRD024844AUTOSERVICIOBPO" u="1"/>
        <s v="BUCACRD018935TRADICIONALNUTRESA" u="1"/>
        <s v="PERECRD013796TRADICIONALNUTRESA" u="1"/>
        <s v="VILANUTDUR000004AUTOSERVICIONUTRESA" u="1"/>
        <s v="BUCACRD017380TRADICIONALPROMOTORES" u="1"/>
        <s v="CALICRD016708CADENASBPO" u="1"/>
        <s v="BGTACRD019292CADENASNUTRESA" u="1"/>
        <s v="BGTACRD024186AUTOSERVICIONUTRESA" u="1"/>
        <s v="MEDECRD024796AUTOSERVICIOBPO" u="1"/>
        <s v="CALICRD022717CADENASBPO" u="1"/>
        <s v="CARTACT000436AUTOSERVICIOBPO" u="1"/>
        <s v="BGTACRD024672AUTOSERVICIONUTRESA" u="1"/>
        <s v="BGTACRD025001AUTOSERVICIONUTRESA" u="1"/>
        <s v="CALIACT000502AUTOSERVICIONUTRESA" u="1"/>
        <s v="MEDECRD023312CADENASBPO" u="1"/>
        <s v="BUCACRD023685CADENASBPO" u="1"/>
        <s v="IBA1CRD023271AUTOSERVICIONUTRESA" u="1"/>
        <s v="MEDECRD022273AUTOSERVICIONUTRESA" u="1"/>
        <s v="BUCACRD023599CADENASBPO" u="1"/>
        <s v="CALICRD024162CADENASNUTRESA" u="1"/>
        <s v="VILACRD024969AUTOSERVICIONUTRESA" u="1"/>
        <s v="BGTACRD023252AUTOSERVICIOALTILLANO" u="1"/>
        <s v="MEDECRD022312TRADICIONALNUTRESA" u="1"/>
        <s v="BUCACRD024646TRADICIONALPROMOTORES" u="1"/>
        <s v="IBA1CRD023585AUTOSERVICIONUTRESA" u="1"/>
        <s v="PERECRD002204AUTOSERVICIOBPO" u="1"/>
        <s v="CARTCRD024946CADENASNUTRESA" u="1"/>
        <s v="MEDECRD014118CADENASBPO" u="1"/>
        <s v="MEDEACT000435TRADICIONALNUTRESA" u="1"/>
        <s v="IBA1CRD019555CADENASBPO" u="1"/>
        <s v="MEDECRD023116AUTOSERVICIONUTRESA" u="1"/>
        <s v="MEDECRD022887AUTOSERVICIONUTRESA" u="1"/>
        <s v="BUCACRD001420TRADICIONALPROMOTORES" u="1"/>
        <s v="PERECRD022517TRADICIONALNUTRESA" u="1"/>
        <s v="PERECRD009112CADENASBPO" u="1"/>
        <s v="CALICRD025002AUTOSERVICIONUTRESA" u="1"/>
        <s v="PERECRD024843CADENASBPO" u="1"/>
        <s v="MEDECRD023916AUTOSERVICIONUTRESA" u="1"/>
        <s v="BARRCRD024860TRADICIONALBPO" u="1"/>
        <s v="MEDECRD024456AUTOSERVICIONUTRESA" u="1"/>
        <s v="IBA1CRD022322TRADICIONALBPO" u="1"/>
        <s v="BUCACRD020715AUTOSERVICIOBPO" u="1"/>
        <s v="BUCACRD021041TRADICIONALNUTRESA" u="1"/>
        <s v="BGTACRD024785CADENASNUTRESA" u="1"/>
        <s v="PERECRD000245TRADICIONALNUTRESA" u="1"/>
        <s v="BARRCRD024646TRADICIONALNUTRESA" u="1"/>
        <s v="IBA1CRD023362TRADICIONALBPO" u="1"/>
        <s v="PERECRD022670CADENASBPO" u="1"/>
        <s v="BARRCRD001420AUTOSERVICIOBPO" u="1"/>
        <s v="BGTAACT000531AUTOSERVICIOALTILLANO" u="1"/>
        <s v="BGTAACT000445AUTOSERVICIOALTILLANO" u="1"/>
        <s v="IBA1CRD023281AUTOSERVICIONUTRESA" u="1"/>
        <s v="BGTACRD021136AUTOSERVICIOBPO" u="1"/>
        <s v="MEDEACT000109AUTOSERVICIONUTRESA" u="1"/>
        <s v="CALIACT000513AUTOSERVICIODESARROLLADORES" u="1"/>
        <s v="MEDECRD022497AUTOSERVICIONUTRESA" u="1"/>
        <s v="BUCACRD023774CADENASNUTRESA" u="1"/>
        <s v="BUCACRD024656TRADICIONALPROMOTORES" u="1"/>
        <s v="MEDECRD024262CADENASBPO" u="1"/>
        <s v="CARTCRD024206AUTOSERVICIOBPO" u="1"/>
        <s v="BGTACRD023276AUTOSERVICIOALTILLANO" u="1"/>
        <s v="BGTACRD023141CADENASNUTRESA" u="1"/>
        <s v="PEREACT000436AUTOSERVICIOBPO" u="1"/>
        <s v="IBA1CRD024260TRADICIONALNUTRESA" u="1"/>
        <s v="IBA1CRD000122AUTOSERVICIOBPO" u="1"/>
        <s v="PERECRD014119CADENASBPO" u="1"/>
        <s v="PERECRD000115CADENASBPO" u="1"/>
        <s v="BGTACRD008431CADENASBPO" u="1"/>
        <s v="PERECRD016979AUTOSERVICIONUTRESA" u="1"/>
        <s v="IBA1CRD022293TRADICIONALPROMOTORES" u="1"/>
        <s v="BGTACRD024119AUTOSERVICIOALTILLANO" u="1"/>
        <s v="BARRCRD016978TRADICIONALNUTRESA" u="1"/>
        <s v="MEDECRD021163CADENASBPO" u="1"/>
        <s v="MEDECRD008431AUTOSERVICIOBPO" u="1"/>
        <s v="CALICRD010532AUTOSERVICIOBPO" u="1"/>
        <s v="CALICRD024883AUTOSERVICIONUTRESA" u="1"/>
        <s v="BUCACRD011253CADENASNUTRESA" u="1"/>
        <s v="BGTACRD014047CADENASNUTRESA" u="1"/>
        <s v="BGTACRD022876TRADICIONALNUTRESA" u="1"/>
        <s v="MEDECRD024366AUTOSERVICIONUTRESA" u="1"/>
        <s v="BGTACRD024819AUTOSERVICIOALTILLANO" u="1"/>
        <s v="BARRCRD019326CADENASNUTRESA" u="1"/>
        <s v="BARRCRD023916AUTOSERVICIOBPO" u="1"/>
        <s v="PERECRD024946CADENASNUTRESA" u="1"/>
        <s v="BGTACRD024392AUTOSERVICIONUTRESA" u="1"/>
        <s v="PERECRD021754CADENASBPO" u="1"/>
        <s v="VILACRD024075AUTOSERVICIONUTRESA" u="1"/>
        <s v="CARTACT000442TRADICIONALNUTRESA" u="1"/>
        <s v="BARRCRD024842AUTOSERVICIOBPO" u="1"/>
        <s v="CARTCRD022533TRADICIONALNUTRESA" u="1"/>
        <s v="BGTACRD024692AUTOSERVICIONUTRESA" u="1"/>
        <s v="BARRCRD018933TRADICIONALNUTRESA" u="1"/>
        <s v="BGTACRD021296CADENASNUTRESA" u="1"/>
        <s v="CALICRD002178AUTOSERVICIOBPO" u="1"/>
        <s v="BUCAACT000350AUTOSERVICIONUTRESA" u="1"/>
        <s v="BGTACRD024845AUTOSERVICIOBPO" u="1"/>
        <s v="CARTCRD024566CADENASNUTRESA" u="1"/>
        <s v="MEDECRD016684AUTOSERVICIONUTRESA" u="1"/>
        <s v="BUCACRD024652TRADICIONALPROMOTORES" u="1"/>
        <s v="BGTACRD023272AUTOSERVICIOALTILLANO" u="1"/>
        <s v="PERECRD013990TRADICIONALPROMOTORES" u="1"/>
        <s v="CARTCRD024277AUTOSERVICIONUTRESA" u="1"/>
        <s v="IBA1CRD024844CADENASBPO" u="1"/>
        <s v="BGTACRD023286AUTOSERVICIOALTILLANO" u="1"/>
        <s v="CALICRD017758AUTOSERVICIONUTRESA" u="1"/>
        <s v="MEDECRD014424CADENASBPO" u="1"/>
        <s v="CARTCRD002204CADENASBPO" u="1"/>
        <s v="MEDECRD018963CADENASBPO" u="1"/>
        <s v="BGTAACT000531AUTOSERVICIONUTRESA" u="1"/>
        <s v="CALICRD024788TRADICIONALBPO" u="1"/>
        <s v="BGTACRD024115AUTOSERVICIOALTILLANO" u="1"/>
        <s v="BARRCRD016974TRADICIONALNUTRESA" u="1"/>
        <s v="BUCACRD021135CADENASBPO" u="1"/>
        <s v="VILACRD023312TRADICIONALBPO" u="1"/>
        <s v="BGTACRD012624AUTOSERVICIOBPO" u="1"/>
        <s v="MEDECRD021073CADENASBPO" u="1"/>
        <s v="VILACRD013990CADENASBPO" u="1"/>
        <s v="MEDECRD023672TRADICIONALNUTRESA" u="1"/>
        <s v="PERECRD011220TRADICIONALPROMOTORES" u="1"/>
        <s v="VILAACT000514AUTOSERVICIONUTRESA" u="1"/>
        <s v="MEDECRD020847CADENASBPO" u="1"/>
        <s v="BGTACRD007355AUTOSERVICIOBPO" u="1"/>
        <s v="BUCACRD022293TRADICIONALPROMOTORES" u="1"/>
        <s v="MEDECRD024562AUTOSERVICIONUTRESA" u="1"/>
        <s v="BUCACRD009243AUTOSERVICIOBPO" u="1"/>
        <s v="PERECRD021350CADENASBPO" u="1"/>
        <s v="MEDECRD024315TRADICIONALNUTRESA" u="1"/>
        <s v="CALICRD001420AUTOSERVICIOBPO" u="1"/>
        <s v="BGTACRD020873CADENASBPO" u="1"/>
        <s v="BUCACRD024788AUTOSERVICIOBPO" u="1"/>
        <s v="MEDECRD021973CADENASBPO" u="1"/>
        <s v="BGTACRD014657CADENASNUTRESA" u="1"/>
        <s v="BGTACRD024845AUTOSERVICIOALTILLANO_BPO" u="1"/>
        <s v="BARRCRD022299TRADICIONALPROMOTORES" u="1"/>
        <s v="CALICRD023166CADENASNUTRESA" u="1"/>
        <s v="BARRCRD025009TRADICIONALNUTRESA" u="1"/>
        <s v="MEDECRD014120CADENASBPO" u="1"/>
        <s v="MEDEACT000315AUTOSERVICIONUTRESA" u="1"/>
        <s v="MEDEACT000501AUTOSERVICIONUTRESA" u="1"/>
        <s v="BGTACRD023282AUTOSERVICIOALTILLANO" u="1"/>
        <s v="MEDEACT000279TRADICIONALNUTRESA" u="1"/>
        <s v="IBA1CRD020715CADENASBPO" u="1"/>
        <s v="BARRACT000466AUTOSERVICIONUTRESA" u="1"/>
        <s v="BUCACRD024844CADENASBPO" u="1"/>
        <s v="BARRCRD016684TRADICIONALNUTRESA" u="1"/>
        <s v="MEDECRD022906AUTOSERVICIONUTRESA" u="1"/>
        <s v="MEDECRD023246AUTOSERVICIONUTRESA" u="1"/>
        <s v="IBA1CRD024194AUTOSERVICIOBPO" u="1"/>
        <s v="BGTACRD007355AUTOSERVICIOALTILLANO_BPO" u="1"/>
        <s v="MEDECRD023532AUTOSERVICIONUTRESA" u="1"/>
        <s v="MEDECRD023632AUTOSERVICIONUTRESA" u="1"/>
        <s v="MEDEACT000516AUTOSERVICIODESARROLLADORES" u="1"/>
        <s v="BGTACRD008551CADENASBPO" u="1"/>
        <s v="BGTACRD023661CADENASNUTRESA" u="1"/>
        <s v="BARRCRD010532CADENASBPO" u="1"/>
        <s v="CARTCRD017330CADENASBPO" u="1"/>
        <s v="MEDECRD024186AUTOSERVICIONUTRESA" u="1"/>
        <s v="CALICRD024842AUTOSERVICIOBPO" u="1"/>
        <s v="CALICRD018933TRADICIONALNUTRESA" u="1"/>
        <s v="BUCACRD024398AUTOSERVICIOBPO" u="1"/>
        <s v="PERECRD003574TRADICIONALNUTRESA" u="1"/>
        <s v="BGTACRD023139AUTOSERVICIOBPO" u="1"/>
        <s v="BUCACRD019018AUTOSERVICIOBPO" u="1"/>
        <s v="BARRCRD024715CADENASNUTRESA" u="1"/>
        <s v="MEDECRD024772AUTOSERVICIONUTRESA" u="1"/>
        <s v="IBA1CRD021681AUTOSERVICIOBPO" u="1"/>
        <s v="BGTACRD005045CADENASNUTRESA" u="1"/>
        <s v="BGTACRD015649TRADICIONALPROMOTORES" u="1"/>
        <s v="BARRCRD022295TRADICIONALPROMOTORES" u="1"/>
        <s v="BARRCRD024912AUTOSERVICIONUTRESA" u="1"/>
        <s v="BGTACRD024365AUTOSERVICIOBPO" u="1"/>
        <s v="MEDECRD021126AUTOSERVICIOBPO" u="1"/>
        <s v="PERECRD016184CADENASNUTRESA" u="1"/>
        <s v="BARRCRD025005TRADICIONALNUTRESA" u="1"/>
        <s v="BARRCRD021163AUTOSERVICIOBPO" u="1"/>
        <s v="VILACRD024695AUTOSERVICIONUTRESA" u="1"/>
        <s v="BGTAACT000274TRADICIONALALTILLANO" u="1"/>
        <s v="IBA1ACT000433TRADICIONALNUTRESA" u="1"/>
        <s v="IBA1CRD006778AUTOSERVICIOBPO" u="1"/>
        <s v="BGTACRD025008TRADICIONALNUTRESA" u="1"/>
        <s v="PERECRD022717CADENASBPO" u="1"/>
        <s v="BGTACRD023292AUTOSERVICIOALTILLANO" u="1"/>
        <s v="CALICRD008623TRADICIONALBPO" u="1"/>
        <s v="CALIACT000457AUTOSERVICIODESARROLLADORES" u="1"/>
        <s v="CALICRD021331TRADICIONALPROMOTORES" u="1"/>
        <s v="CARTCRD024522AUTOSERVICIOBPO" u="1"/>
        <s v="BGTACRD023109CADENASBPO" u="1"/>
        <s v="BGTACRD022242AUTOSERVICIONUTRESA" u="1"/>
        <s v="MEDECRD023256AUTOSERVICIONUTRESA" u="1"/>
        <s v="BGTAACT000551AUTOSERVICIONUTRESA" u="1"/>
        <s v="MEDECRD014744CADENASBPO" u="1"/>
        <s v="MEDECRD022866TRADICIONALNUTRESA" u="1"/>
        <s v="BARRCRD020007CADENASBPO" u="1"/>
        <s v="PERECRD024162CADENASNUTRESA" u="1"/>
        <s v="MEDECRD023556AUTOSERVICIONUTRESA" u="1"/>
        <s v="VILAACT000334AUTOSERVICIONUTRESA" u="1"/>
        <s v="MEDECRD014120AUTOSERVICIONUTRESA" u="1"/>
        <s v="VILAACT000434AUTOSERVICIONUTRESA" u="1"/>
        <s v="CALICRD021681TRADICIONALBPO" u="1"/>
        <s v="IBA1CRD019238AUTOSERVICIOBPO" u="1"/>
        <s v="MEDECRD024582AUTOSERVICIONUTRESA" u="1"/>
        <s v="IBA1CRD024968AUTOSERVICIONUTRESA" u="1"/>
        <s v="BARRCRD001420CADENASBPO" u="1"/>
        <s v="MEDECRD023557AUTOSERVICIODESARROLLADORES" u="1"/>
        <s v="IBA1CRD020865AUTOSERVICIOBPO" u="1"/>
        <s v="IBA1CRD020579TRADICIONALNUTRESA" u="1"/>
        <s v="CALICRD025009TRADICIONALNUTRESA" u="1"/>
        <s v="BGTACRD024365AUTOSERVICIOALTILLANO_BPO" u="1"/>
        <s v="CALIACT000055CADENASNUTRESA" u="1"/>
        <s v="MEDECRD024882AUTOSERVICIONUTRESA" u="1"/>
        <s v="IBA1CRD019638AUTOSERVICIOBPO" u="1"/>
        <s v="CARTCRD021937AUTOSERVICIOBPO" u="1"/>
        <s v="PERECRD025002AUTOSERVICIONUTRESA" u="1"/>
        <s v="PERECRD021970CADENASBPO" u="1"/>
        <s v="BUCACRD021681AUTOSERVICIOBPO" u="1"/>
        <s v="BGTACRD010924CADENASNUTRESA" u="1"/>
        <s v="MEDECRD024949TRADICIONALNUTRESA" u="1"/>
        <s v="BUCACRD017329CADENASBPO" u="1"/>
        <s v="BGTACRD024639AUTOSERVICIONUTRESA" u="1"/>
        <s v="VILACRD025020AUTOSERVICIONUTRESA" u="1"/>
        <s v="CARTCRD000122TRADICIONALBPO" u="1"/>
        <s v="BGTACRD024775AUTOSERVICIOBPO" u="1"/>
        <s v="IBA1CRD000122CADENASBPO" u="1"/>
        <s v="BGTACRD025004TRADICIONALNUTRESA" u="1"/>
        <s v="MEDECRD021822TRADICIONALNUTRESA" u="1"/>
        <s v="CARTCRD024860TRADICIONALBPO" u="1"/>
        <s v="BARRACT000289CADENASNUTRESA" u="1"/>
        <s v="BGTACRD022155CADENASNUTRESA" u="1"/>
        <s v="IBA1CRD023360AUTOSERVICIOBPO" u="1"/>
        <s v="MEDECRD008431CADENASBPO" u="1"/>
        <s v="CALICRD010532CADENASBPO" u="1"/>
        <s v="MEDECRD020063CADENASBPO" u="1"/>
        <s v="MEDEACT000299TRADICIONALNUTRESA" u="1"/>
        <s v="MEDECRD022912AUTOSERVICIONUTRESA" u="1"/>
        <s v="MEDECRD023252AUTOSERVICIONUTRESA" u="1"/>
        <s v="BGTACRD023405CADENASBPO" u="1"/>
        <s v="BARRACT000225TRADICIONALNUTRESA" u="1"/>
        <s v="MEDECRD023166AUTOSERVICIONUTRESA" u="1"/>
        <s v="MEDECRD022862TRADICIONALNUTRESA" u="1"/>
        <s v="MEDEACT000522AUTOSERVICIODESARROLLADORES" u="1"/>
        <s v="MEDECRD023552AUTOSERVICIONUTRESA" u="1"/>
        <s v="MEDECRD022876TRADICIONALNUTRESA" u="1"/>
        <s v="CARTCRD024646TRADICIONALNUTRESA" u="1"/>
        <s v="BARRACT000439TRADICIONALNUTRESA" u="1"/>
        <s v="IBA1CRD020361AUTOSERVICIOBPO" u="1"/>
        <s v="PEREACT000513AUTOSERVICIODESARROLLADORES" u="1"/>
        <s v="CARTCRD001420AUTOSERVICIOBPO" u="1"/>
        <s v="BARRCRD024842CADENASBPO" u="1"/>
        <s v="VILAACT000458AUTOSERVICIONUTRESA" u="1"/>
        <s v="CALICRD024912AUTOSERVICIONUTRESA" u="1"/>
        <s v="MEDECRD024392AUTOSERVICIONUTRESA" u="1"/>
        <s v="BGTACRD010773TRADICIONALPROMOTORES" u="1"/>
        <s v="MEDECRD018497AUTOSERVICIONUTRESA" u="1"/>
        <s v="BARRCRD024535CADENASNUTRESA" u="1"/>
        <s v="CALICRD002178CADENASBPO" u="1"/>
        <s v="BGTANUTDUR000003AUTOSERVICIONUTRESA" u="1"/>
        <s v="CALICRD025005TRADICIONALNUTRESA" u="1"/>
        <s v="BGTACRD011016TRADICIONALPROMOTORES" u="1"/>
        <s v="MEDECRD024692AUTOSERVICIONUTRESA" u="1"/>
        <s v="MEDECRD024309AUTOSERVICIONUTRESA" u="1"/>
        <s v="CALICRD021163AUTOSERVICIOBPO" u="1"/>
        <s v="BGTACRD024845CADENASBPO" u="1"/>
        <s v="BUCACRD019238AUTOSERVICIOBPO" u="1"/>
        <s v="VILANUTDUR000007AUTOSERVICIONUTRESA" u="1"/>
        <s v="IBA1CRD011367AUTOSERVICIOBPO" u="1"/>
        <s v="BUCACRD020865AUTOSERVICIOBPO" u="1"/>
        <s v="MEDECRD024845AUTOSERVICIOBPO" u="1"/>
        <s v="BGTACRD015723CADENASBPO" u="1"/>
        <s v="BUCACRD019638AUTOSERVICIOBPO" u="1"/>
        <s v="PERECRD010532AUTOSERVICIOBPO" u="1"/>
        <s v="BGTACRD008428AUTOSERVICIOBPO" u="1"/>
        <s v="BARRCRD024796AUTOSERVICIOBPO" u="1"/>
        <s v="IBA1CRD007355TRADICIONALBPO" u="1"/>
        <s v="IBA1CRD006670AUTOSERVICIOBPO" u="1"/>
        <s v="BGTACRD005001AUTOSERVICIOBPO" u="1"/>
        <s v="IBA1ACT000317AUTOSERVICIONUTRESA" u="1"/>
        <s v="CARTCRD016978TRADICIONALNUTRESA" u="1"/>
        <s v="IBA1CRD018793TRADICIONALPROMOTORES" u="1"/>
        <s v="BGTACRD024971TRADICIONALNUTRESA" u="1"/>
        <s v="MEDEACT000045AUTOSERVICIONUTRESA" u="1"/>
        <s v="BGTACRD016342CADENASNUTRESA" u="1"/>
        <s v="MEDECRD022322AUTOSERVICIONUTRESA" u="1"/>
        <s v="CALICRD020007CADENASBPO" u="1"/>
        <s v="PERECRD009805TRADICIONALNUTRESA" u="1"/>
        <s v="BGTACRD012624CADENASBPO" u="1"/>
        <s v="MEDECRD023165CADENASNUTRESA" u="1"/>
        <s v="CARTCRD009167TRADICIONALBPO" u="1"/>
        <s v="VILACRD021041TRADICIONALNUTRESA" u="1"/>
        <s v="CALICRD024125CADENASNUTRESA" u="1"/>
        <s v="BGTACRD007355CADENASBPO" u="1"/>
        <s v="BARRACT000035TRADICIONALNUTRESA" u="1"/>
        <s v="CALICRD024846CADENASBPO" u="1"/>
        <s v="MEDECRD023262AUTOSERVICIONUTRESA" u="1"/>
        <s v="BUCACRD025003CADENASBPO" u="1"/>
        <s v="CARTCRD024556AUTOSERVICIOBPO" u="1"/>
        <s v="CALICRD001420CADENASBPO" u="1"/>
        <s v="CARTCRD024642TRADICIONALNUTRESA" u="1"/>
        <s v="MEDECRD023276AUTOSERVICIONUTRESA" u="1"/>
        <s v="BUCACRD024788CADENASBPO" u="1"/>
        <s v="BARRCRD014118CADENASBPO" u="1"/>
        <s v="BARRCRD000114CADENASBPO" u="1"/>
        <s v="CARTCRD018933TRADICIONALNUTRESA" u="1"/>
        <s v="CARTCRD024656TRADICIONALNUTRESA" u="1"/>
        <s v="BGTAACT000485AUTOSERVICIONUTRESA" u="1"/>
        <s v="BGTACRD020202CADENASBPO" u="1"/>
        <s v="BGTACRD023141AUTOSERVICIOBPO" u="1"/>
        <s v="BUCACRD023525AUTOSERVICIODESARROLLADORES" u="1"/>
        <s v="PERECRD022877TRADICIONALNUTRESA" u="1"/>
        <s v="BUCACRD020361AUTOSERVICIOBPO" u="1"/>
        <s v="MEDECRD023815AUTOSERVICIOBPO" u="1"/>
        <s v="BGTACRD024469CADENASBPO" u="1"/>
        <s v="MEDECRD000103AUTOSERVICIOBPO" u="1"/>
        <s v="BGTACRD024569AUTOSERVICIOALTILLANO" u="1"/>
        <s v="BGTACRD024841CADENASBPO" u="1"/>
        <s v="IBA1CRD021014TRADICIONALNUTRESA" u="1"/>
        <s v="CALICRD020847AUTOSERVICIOBPO" u="1"/>
        <s v="BGTACRD024969AUTOSERVICIOALTILLANO" u="1"/>
        <s v="BGTACRD013990AUTOSERVICIOBPO" u="1"/>
        <s v="MEDECRD024469TRADICIONALNUTRESA" u="1"/>
        <s v="MEDECRD021042TRADICIONALNUTRESA" u="1"/>
        <s v="BGTACRD024445AUTOSERVICIONUTRESA" u="1"/>
        <s v="BUCACRD019920TRADICIONALNUTRESA" u="1"/>
        <s v="IBA1ACT000063TRADICIONALNUTRESA" u="1"/>
        <s v="PERECRD021094AUTOSERVICIONUTRESA" u="1"/>
        <s v="BGTACRD008638AUTOSERVICIOBPO" u="1"/>
        <s v="CARTCRD016974TRADICIONALNUTRESA" u="1"/>
        <s v="CALICRD021787TRADICIONALNUTRESA" u="1"/>
        <s v="VILACRD024700AUTOSERVICIONUTRESA" u="1"/>
        <s v="CALICRD000122TRADICIONALPROMOTORES" u="1"/>
        <s v="BGTACRD025010TRADICIONALNUTRESA" u="1"/>
        <s v="VILACRD024428AUTOSERVICIONUTRESA" u="1"/>
        <s v="PERECRD001420AUTOSERVICIOBPO" u="1"/>
        <s v="BUCACRD006670AUTOSERVICIOBPO" u="1"/>
        <s v="CALIACT000225TRADICIONALNUTRESA" u="1"/>
        <s v="CALICRD023598TRADICIONALBPO" u="1"/>
        <s v="BGTACRD019529AUTOSERVICIOBPO" u="1"/>
        <s v="BUCACRD024470CADENASBPO" u="1"/>
        <s v="MEDECRD008551CADENASBPO" u="1"/>
        <s v="CALICRD024842CADENASBPO" u="1"/>
        <s v="BUCACRD024398CADENASBPO" u="1"/>
        <s v="PERECRD023166CADENASNUTRESA" u="1"/>
        <s v="MEDECRD023675CADENASNUTRESA" u="1"/>
        <s v="BUCACRD019018CADENASBPO" u="1"/>
        <s v="BGTACRD023611CADENASBPO" u="1"/>
        <s v="BARRCRD024262CADENASBPO" u="1"/>
        <s v="MEDECRD022946AUTOSERVICIONUTRESA" u="1"/>
        <s v="CARTCRD024652TRADICIONALNUTRESA" u="1"/>
        <s v="MEDECRD023286AUTOSERVICIONUTRESA" u="1"/>
        <s v="PERECRD020109TRADICIONALPROMOTORES" u="1"/>
        <s v="BUCACRD020977TRADICIONALPROMOTORES" u="1"/>
        <s v="MEDENUTDUR000002AUTOSERVICIONUTRESA" u="1"/>
        <s v="IBA1CRD021681CADENASBPO" u="1"/>
        <s v="BGTACRD014117CADENASBPO" u="1"/>
        <s v="CARTCRD025009TRADICIONALNUTRESA" u="1"/>
        <s v="BGTACRD012588AUTOSERVICIOBPO" u="1"/>
        <s v="IBA1CRD024970AUTOSERVICIONUTRESA" u="1"/>
        <s v="BGTACRD024365CADENASBPO" u="1"/>
        <s v="MEDECRD021126CADENASBPO" u="1"/>
        <s v="BGTACRD023351AUTOSERVICIOBPO" u="1"/>
        <s v="BGTACRD013990AUTOSERVICIOALTILLANO_BPO" u="1"/>
        <s v="CALICRD024796AUTOSERVICIOBPO" u="1"/>
        <s v="MEDECRD024129AUTOSERVICIONUTRESA" u="1"/>
        <s v="MEDECRD024315AUTOSERVICIONUTRESA" u="1"/>
        <s v="BARRCRD021163CADENASBPO" u="1"/>
        <s v="BARRCRD018193TRADICIONALNUTRESA" u="1"/>
        <s v="BGTACRD014493CADENASNUTRESA" u="1"/>
        <s v="PERECRD014744CADENASNUTRESA" u="1"/>
        <s v="MEDECRD024329AUTOSERVICIONUTRESA" u="1"/>
        <s v="MEDECRD024701AUTOSERVICIONUTRESA" u="1"/>
        <s v="BGTACRD024630CADENASNUTRESA" u="1"/>
        <s v="CALICRD022497CADENASBPO" u="1"/>
        <s v="BGTACRD010532TRADICIONALBPO" u="1"/>
        <s v="BGTACRD008638AUTOSERVICIOALTILLANO_BPO" u="1"/>
        <s v="PERECRD024809CADENASNUTRESA" u="1"/>
        <s v="BGTACRD016004TRADICIONALPROMOTORES" u="1"/>
        <s v="BUCACRD021014TRADICIONALNUTRESA" u="1"/>
        <s v="MEDECRD024729AUTOSERVICIONUTRESA" u="1"/>
        <s v="PERECRD022175TRADICIONALPROMOTORES" u="1"/>
        <s v="BGTACRD024541AUTOSERVICIONUTRESA" u="1"/>
        <s v="CARTCRD016684TRADICIONALNUTRESA" u="1"/>
        <s v="CALICRD019916TRADICIONALNUTRESA" u="1"/>
        <s v="VILACRD024813CADENASNUTRESA" u="1"/>
        <s v="PERECRD024842AUTOSERVICIOBPO" u="1"/>
        <s v="PERECRD018933TRADICIONALNUTRESA" u="1"/>
        <s v="PERECRD024806AUTOSERVICIONUTRESA" u="1"/>
        <s v="IBA1CRD021724TRADICIONALNUTRESA" u="1"/>
        <s v="CALIACT000035TRADICIONALNUTRESA" u="1"/>
        <s v="BGTACRD019529AUTOSERVICIOALTILLANO_BPO" u="1"/>
        <s v="CARTCRD010532CADENASBPO" u="1"/>
        <s v="BUCAACT000063TRADICIONALNUTRESA" u="1"/>
        <s v="CALICRD014118CADENASBPO" u="1"/>
        <s v="BGTAACT000504AUTOSERVICIOALTILLANO" u="1"/>
        <s v="BUCACRD019032TRADICIONALPROMOTORES" u="1"/>
        <s v="MEDECRD023363TRADICIONALBPO" u="1"/>
        <s v="MEDEACT000279AUTOSERVICIONUTRESA" u="1"/>
        <s v="BGTACRD023249AUTOSERVICIOALTILLANO" u="1"/>
        <s v="CALICRD024631CADENASNUTRESA" u="1"/>
        <s v="IBA1CRD020865CADENASBPO" u="1"/>
        <s v="BGTACRD024061AUTOSERVICIOALTILLANO" u="1"/>
        <s v="BUCACRD020973TRADICIONALPROMOTORES" u="1"/>
        <s v="CARTCRD020979TRADICIONALBPO" u="1"/>
        <s v="CARTCRD024912AUTOSERVICIONUTRESA" u="1"/>
        <s v="IBA1CRD019638CADENASBPO" u="1"/>
        <s v="BGTACRD024075AUTOSERVICIOALTILLANO" u="1"/>
        <s v="BARRCRD014424CADENASBPO" u="1"/>
        <s v="BGTACRD024261CADENASBPO" u="1"/>
        <s v="BGTACRD024275AUTOSERVICIOALTILLANO" u="1"/>
        <s v="CARTCRD021163AUTOSERVICIOBPO" u="1"/>
        <s v="PERECRD022897AUTOSERVICIOBPO" u="1"/>
        <s v="BGTAACT000444TRADICIONALNUTRESA" u="1"/>
        <s v="BUCACRD021681CADENASBPO" u="1"/>
        <s v="MEDECRD024125AUTOSERVICIONUTRESA" u="1"/>
        <s v="BUCACRD024437AUTOSERVICIOBPO" u="1"/>
        <s v="CALICRD024956AUTOSERVICIONUTRESA" u="1"/>
        <s v="MEDECRD024239AUTOSERVICIONUTRESA" u="1"/>
        <s v="BGTACRD023661AUTOSERVICIOBPO" u="1"/>
        <s v="BUCACRD019268AUTOSERVICIOBPO" u="1"/>
        <s v="CARTACT000176AUTOSERVICIONUTRESA" u="1"/>
        <s v="BGTACRD008430AUTOSERVICIOBPO" u="1"/>
        <s v="BGTACRD023825AUTOSERVICIONUTRESA" u="1"/>
        <s v="CARTACT000462AUTOSERVICIONUTRESA" u="1"/>
        <s v="BGTACRD024568CADENASNUTRESA" u="1"/>
        <s v="MEDECRD024925AUTOSERVICIONUTRESA" u="1"/>
        <s v="MEDECRD025004TRADICIONALNUTRESA" u="1"/>
        <s v="MEDECRD024839AUTOSERVICIONUTRESA" u="1"/>
        <s v="BGTACRD024954CADENASNUTRESA" u="1"/>
        <s v="BARRCRD021973CADENASBPO" u="1"/>
        <s v="PERECRD021681TRADICIONALBPO" u="1"/>
        <s v="MEDECRD022155CADENASNUTRESA" u="1"/>
        <s v="CALICRD022322AUTOSERVICIOBPO" u="1"/>
        <s v="IBA1CRD023167CADENASNUTRESA" u="1"/>
        <s v="PERECRD025009TRADICIONALNUTRESA" u="1"/>
        <s v="BUCACRD021724TRADICIONALNUTRESA" u="1"/>
        <s v="CALICRD013564CADENASNUTRESA" u="1"/>
        <s v="IBA1CRD023250AUTOSERVICIONUTRESA" u="1"/>
        <s v="BARRCRD023342CADENASBPO" u="1"/>
        <s v="BGTAACT000528AUTOSERVICIOALTILLANO" u="1"/>
        <s v="CARTCRD001420CADENASBPO" u="1"/>
        <s v="IBA1CRD016979TRADICIONALNUTRESA" u="1"/>
        <s v="MEDEACT000400TRADICIONALNUTRESA" u="1"/>
        <s v="MEDECRD022666AUTOSERVICIONUTRESA" u="1"/>
        <s v="BGTACRD017015CADENASNUTRESA" u="1"/>
        <s v="BARRCRD014120CADENASBPO" u="1"/>
        <s v="BARRACT000501AUTOSERVICIONUTRESA" u="1"/>
        <s v="CALICRD021163CADENASBPO" u="1"/>
        <s v="CALICRD023912AUTOSERVICIONUTRESA" u="1"/>
        <s v="CALICRD018193TRADICIONALNUTRESA" u="1"/>
        <s v="BUCACRD020983TRADICIONALPROMOTORES" u="1"/>
        <s v="BARRACT000429AUTOSERVICIONUTRESA" u="1"/>
        <s v="CARTCRD011367TRADICIONALBPO" u="1"/>
        <s v="BUCACRD019238CADENASBPO" u="1"/>
        <s v="BARRACT000529AUTOSERVICIONUTRESA" u="1"/>
        <s v="MEDENUTDUR000003AUTOSERVICIONUTRESA" u="1"/>
        <s v="BGTACRD023138CADENASNUTRESA" u="1"/>
        <s v="MEDECRD023345AUTOSERVICIOBPO" u="1"/>
        <s v="BUCACRD020865CADENASBPO" u="1"/>
        <s v="BGTAACT000440TRADICIONALNUTRESA" u="1"/>
        <s v="MEDECRD024845CADENASBPO" u="1"/>
        <s v="BGTAACT000418AUTOSERVICIONUTRESA" u="1"/>
        <s v="BGTAACT000540TRADICIONALNUTRESA" u="1"/>
        <s v="BUCACRD019638CADENASBPO" u="1"/>
        <s v="PERECRD010532CADENASBPO" u="1"/>
        <s v="BGTACRD023661AUTOSERVICIOALTILLANO_BPO" u="1"/>
        <s v="BGTACRD008428CADENASBPO" u="1"/>
        <s v="IBA1CRD006670CADENASBPO" u="1"/>
        <s v="IBA1CRD024843AUTOSERVICIOBPO" u="1"/>
        <s v="BGTACRD008430AUTOSERVICIOALTILLANO_BPO" u="1"/>
        <s v="BGTACRD005001CADENASBPO" u="1"/>
        <s v="IBA1CRD018934TRADICIONALNUTRESA" u="1"/>
        <s v="BARRCRD010609CADENASBPO" u="1"/>
        <s v="BUCACRD025023AUTOSERVICIONUTRESA" u="1"/>
        <s v="MEDECRD008428AUTOSERVICIOBPO" u="1"/>
        <s v="MEDECRD020393AUTOSERVICIONUTRESA" u="1"/>
        <s v="BGTACRD024278CADENASNUTRESA" u="1"/>
        <s v="BGTACRD023821AUTOSERVICIONUTRESA" u="1"/>
        <s v="BGTACRD024378CADENASNUTRESA" u="1"/>
        <s v="MEDECRD005001AUTOSERVICIOBPO" u="1"/>
        <s v="MEDECRD024835AUTOSERVICIONUTRESA" u="1"/>
        <s v="PERECRD024929CADENASNUTRESA" u="1"/>
        <s v="MEDECRD024849AUTOSERVICIONUTRESA" u="1"/>
        <s v="CARTACT000225TRADICIONALNUTRESA" u="1"/>
        <s v="MEDECRD024971TRADICIONALNUTRESA" u="1"/>
        <s v="IBA1CRD015649TRADICIONALNUTRESA" u="1"/>
        <s v="VILACRD024058AUTOSERVICIONUTRESA" u="1"/>
        <s v="VILACRD024430AUTOSERVICIONUTRESA" u="1"/>
        <s v="CARTACT000439TRADICIONALNUTRESA" u="1"/>
        <s v="CALICRD016684AUTOSERVICIONUTRESA" u="1"/>
        <s v="BGTAACT000310AUTOSERVICIOALTILLANO" u="1"/>
        <s v="PERECRD021163AUTOSERVICIOBPO" u="1"/>
        <s v="MEDECRD007355CADENASBPO" u="1"/>
        <s v="CARTCRD020317CADENASBPO" u="1"/>
        <s v="MEDEACT000071AUTOSERVICIONUTRESA" u="1"/>
        <s v="CARTCRD024842CADENASBPO" u="1"/>
        <s v="BUCACRD022088TRADICIONALNUTRESA" u="1"/>
        <s v="BGTAACT000524AUTOSERVICIOALTILLANO" u="1"/>
        <s v="IBA1CRD013990TRADICIONALBPO" u="1"/>
        <s v="CALICRD014424CADENASBPO" u="1"/>
        <s v="IBA1CRD023274AUTOSERVICIONUTRESA" u="1"/>
        <s v="IBA1CRD016975TRADICIONALNUTRESA" u="1"/>
        <s v="BGTACRD021129AUTOSERVICIOBPO" u="1"/>
        <s v="MEDECRD022662AUTOSERVICIONUTRESA" u="1"/>
        <s v="BGTACRD023241CADENASBPO" u="1"/>
        <s v="IBA1CRD023327AUTOSERVICIOBPO" u="1"/>
        <s v="CARTCRD020971TRADICIONALBPO" u="1"/>
        <s v="MEDECRD000103CADENASBPO" u="1"/>
        <s v="BUCACRD024649TRADICIONALPROMOTORES" u="1"/>
        <s v="BUCACRD022874TRADICIONALNUTRESA" u="1"/>
        <s v="BUCACRD016979TRADICIONALNUTRESA" u="1"/>
        <s v="BUCACRD008428TRADICIONALBPO" u="1"/>
        <s v="BGTACRD024081AUTOSERVICIOALTILLANO" u="1"/>
        <s v="CALICRD020847CADENASBPO" u="1"/>
        <s v="BGTACRD023312TRADICIONALBPO" u="1"/>
        <s v="BGTACRD013990CADENASBPO" u="1"/>
        <s v="CARTCRD024796AUTOSERVICIOBPO" u="1"/>
        <s v="BGTAACT000514AUTOSERVICIONUTRESA" u="1"/>
        <s v="MEDECRD023441TRADICIONALNUTRESA" u="1"/>
        <s v="PERECRD023982CADENASNUTRESA" u="1"/>
        <s v="BGTAACT000528AUTOSERVICIONUTRESA" u="1"/>
        <s v="MEDECRD024131AUTOSERVICIONUTRESA" u="1"/>
        <s v="BGTACRD024581AUTOSERVICIOALTILLANO" u="1"/>
        <s v="PERECRD010774TRADICIONALPROMOTORES" u="1"/>
        <s v="CARTCRD022497CADENASBPO" u="1"/>
        <s v="MEDECRD013990AUTOSERVICIOBPO" u="1"/>
        <s v="BGTACRD008638CADENASBPO" u="1"/>
        <s v="CALICRD021973CADENASBPO" u="1"/>
        <s v="MEDECRD024431AUTOSERVICIONUTRESA" u="1"/>
        <s v="BGTACRD024695AUTOSERVICIOALTILLANO" u="1"/>
        <s v="MEDECRD024159AUTOSERVICIONUTRESA" u="1"/>
        <s v="IBA1CRD021040TRADICIONALNUTRESA" u="1"/>
        <s v="IBA1CRD024867AUTOSERVICIOBPO" u="1"/>
        <s v="MEDECRD024259AUTOSERVICIONUTRESA" u="1"/>
        <s v="MEDECRD024445AUTOSERVICIONUTRESA" u="1"/>
        <s v="PERECRD001420CADENASBPO" u="1"/>
        <s v="BUCACRD006670CADENASBPO" u="1"/>
        <s v="BARRCRD024785CADENASNUTRESA" u="1"/>
        <s v="BGTACRD018076AUTOSERVICIONUTRESA" u="1"/>
        <s v="BUCACRD024843AUTOSERVICIOBPO" u="1"/>
        <s v="CALICRD020973AUTOSERVICIOBPO" u="1"/>
        <s v="BUCACRD018934TRADICIONALNUTRESA" u="1"/>
        <s v="MEDECRD024459AUTOSERVICIONUTRESA" u="1"/>
        <s v="MEDECRD008638AUTOSERVICIOBPO" u="1"/>
        <s v="BARRCRD024396AUTOSERVICIONUTRESA" u="1"/>
        <s v="BARRCRD024521AUTOSERVICIOBPO" u="1"/>
        <s v="CARTACT000035TRADICIONALNUTRESA" u="1"/>
        <s v="BGTACRD019529CADENASBPO" u="1"/>
        <s v="BGTACRD021296CADENASBPO" u="1"/>
        <s v="CARTACT000496AUTOSERVICIONUTRESA" u="1"/>
        <s v="MEDECRD024795TRADICIONALNUTRESA" u="1"/>
        <s v="BGTACRD025017CADENASNUTRESA" u="1"/>
        <s v="BGTACRD024671AUTOSERVICIONUTRESA" u="1"/>
        <s v="PERECRD011367TRADICIONALBPO" u="1"/>
        <s v="VILACRD024068AUTOSERVICIONUTRESA" u="1"/>
        <s v="CARTCRD000114CADENASBPO" u="1"/>
        <s v="BARRCRD025039AUTOSERVICIONUTRESA" u="1"/>
        <s v="MEDECRD021482AUTOSERVICIOBPO" u="1"/>
        <s v="BGTACRD024624AUTOSERVICIOBPO" u="1"/>
        <s v="CALICRD014120CADENASBPO" u="1"/>
        <s v="BUCACRD021930AUTOSERVICIOBPO" u="1"/>
        <s v="PERECRD020847AUTOSERVICIOBPO" u="1"/>
        <s v="MEDEACT000181AUTOSERVICIONUTRESA" u="1"/>
        <s v="BGTAACT000434AUTOSERVICIOALTILLANO" u="1"/>
        <s v="MEDECRD023611CADENASBPO" u="1"/>
        <s v="MEDEACT000381AUTOSERVICIONUTRESA" u="1"/>
        <s v="VILACRD024968AUTOSERVICIONUTRESA" u="1"/>
        <s v="BGTACRD012588CADENASBPO" u="1"/>
        <s v="CALICRD024682CADENASBPO" u="1"/>
        <s v="CALIACT000502AUTOSERVICIODESARROLLADORES" u="1"/>
        <s v="BARRCRD023141CADENASNUTRESA" u="1"/>
        <s v="BUCACRD024645TRADICIONALPROMOTORES" u="1"/>
        <s v="BUCACRD013990TRADICIONALBPO" u="1"/>
        <s v="IBA1CRD023584AUTOSERVICIONUTRESA" u="1"/>
        <s v="BGTACRD023265AUTOSERVICIOALTILLANO" u="1"/>
        <s v="MEDECRD022325TRADICIONALNUTRESA" u="1"/>
        <s v="BUCACRD016975TRADICIONALNUTRESA" u="1"/>
        <s v="MEDECRD014117CADENASBPO" u="1"/>
        <s v="BUCACRD024659TRADICIONALPROMOTORES" u="1"/>
        <s v="PERECRD021787TRADICIONALNUTRESA" u="1"/>
        <s v="PERECRD000122TRADICIONALPROMOTORES" u="1"/>
        <s v="MEDECRD012588AUTOSERVICIOBPO" u="1"/>
        <s v="BGTACRD023279AUTOSERVICIOALTILLANO" u="1"/>
        <s v="BARRCRD008431CADENASBPO" u="1"/>
        <s v="MEDECRD023115AUTOSERVICIONUTRESA" u="1"/>
        <s v="BUCACRD023488AUTOSERVICIONUTRESA" u="1"/>
        <s v="PERECRD017883CADENASNUTRESA" u="1"/>
        <s v="MEDENUTDUR000004AUTOSERVICIONUTRESA" u="1"/>
        <s v="MEDECRD020426CADENASBPO" u="1"/>
        <s v="PERECRD023992CADENASNUTRESA" u="1"/>
        <s v="MEDECRD024965CADENASBPO" u="1"/>
        <s v="CALICRD025001AUTOSERVICIONUTRESA" u="1"/>
        <s v="MEDECRD010532TRADICIONALBPO" u="1"/>
        <s v="BARRCRD022876TRADICIONALNUTRESA" u="1"/>
        <s v="MEDECRD018835CADENASNUTRESA" u="1"/>
        <s v="PERECRD024842CADENASBPO" u="1"/>
        <s v="BUCACRD000115AUTOSERVICIOBPO" u="1"/>
        <s v="MEDECRD024341AUTOSERVICIONUTRESA" u="1"/>
        <s v="BGTACRD024308CADENASBPO" u="1"/>
        <s v="PERECRD024535CADENASNUTRESA" u="1"/>
        <s v="BGTANUTDUR000006AUTOSERVICIONUTRESA" u="1"/>
        <s v="MEDECRD021331CADENASNUTRESA" u="1"/>
        <s v="BUCACRD021040TRADICIONALNUTRESA" u="1"/>
        <s v="PERECRD021322CADENASNUTRESA" u="1"/>
        <s v="BGTACRD024395AUTOSERVICIONUTRESA" u="1"/>
        <s v="IBA1ACT000063AUTOSERVICIONUTRESA" u="1"/>
        <s v="CARTCRD024262CADENASBPO" u="1"/>
        <s v="MEDECRD024969AUTOSERVICIONUTRESA" u="1"/>
        <s v="BARRCRD024645TRADICIONALNUTRESA" u="1"/>
        <s v="PERECRD024796AUTOSERVICIOBPO" u="1"/>
        <s v="BARRCRD024845AUTOSERVICIOBPO" u="1"/>
        <s v="BGTACRD024695AUTOSERVICIONUTRESA" u="1"/>
        <s v="IBA1CRD023361TRADICIONALBPO" u="1"/>
        <s v="BGTACRD024981AUTOSERVICIONUTRESA" u="1"/>
        <s v="BARRCRD024859AUTOSERVICIOBPO" u="1"/>
        <s v="MEDEACT000091AUTOSERVICIONUTRESA" u="1"/>
        <s v="BGTACRD022521CADENASBPO" u="1"/>
        <s v="BGTAACT000443TRADICIONALALTILLANO" u="1"/>
        <s v="BGTACRD007004CADENASBPO" u="1"/>
        <s v="CALICRD018076CADENASNUTRESA" u="1"/>
        <s v="IBA1CRD008430TRADICIONALBPO" u="1"/>
        <s v="CARTCRD021163CADENASBPO" u="1"/>
        <s v="PERECRD022897CADENASBPO" u="1"/>
        <s v="MEDEACT000491AUTOSERVICIONUTRESA" u="1"/>
        <s v="MEDECRD021992TRADICIONALNUTRESA" u="1"/>
        <s v="BUCACRD024641TRADICIONALPROMOTORES" u="1"/>
        <s v="BGTACRD023261AUTOSERVICIOALTILLANO" u="1"/>
        <s v="MEDEACT000244TRADICIONALNUTRESA" u="1"/>
        <s v="BUCACRD024655TRADICIONALPROMOTORES" u="1"/>
        <s v="MEDECRD024261CADENASBPO" u="1"/>
        <s v="CALICRD014744CADENASBPO" u="1"/>
        <s v="MEDECRD007004AUTOSERVICIOBPO" u="1"/>
        <s v="BGTACRD023275AUTOSERVICIOALTILLANO" u="1"/>
        <s v="MEDECRD012670TRADICIONALNUTRESA" u="1"/>
        <s v="BGTAACT000120AUTOSERVICIONUTRESA" u="1"/>
        <s v="BARRCRD023165CADENASNUTRESA" u="1"/>
        <s v="BUCACRD024437CADENASBPO" u="1"/>
        <s v="MEDEACT000444TRADICIONALNUTRESA" u="1"/>
        <s v="BARRACT000531AUTOSERVICIONUTRESA" u="1"/>
        <s v="VILACRD011367AUTOSERVICIOBPO" u="1"/>
        <s v="BGTACRD023140CADENASNUTRESA" u="1"/>
        <s v="IBA1CRD017899AUTOSERVICIONUTRESA" u="1"/>
        <s v="BGTACRD023661CADENASBPO" u="1"/>
        <s v="PERECRD014118CADENASBPO" u="1"/>
        <s v="BGTACRD008430CADENASBPO" u="1"/>
        <s v="BGTAACT000370TRADICIONALNUTRESA" u="1"/>
        <s v="BGTAACT000434AUTOSERVICIONUTRESA" u="1"/>
        <s v="MEDECRD023611AUTOSERVICIONUTRESA" u="1"/>
        <s v="CALICRD023809AUTOSERVICIOBPO" u="1"/>
        <s v="VILAACT000503AUTOSERVICIONUTRESA" u="1"/>
        <s v="MEDECRD008430AUTOSERVICIOBPO" u="1"/>
        <s v="MEDECRD023825AUTOSERVICIONUTRESA" u="1"/>
        <s v="BUCACRD024327AUTOSERVICIONUTRESA" u="1"/>
        <s v="MEDECRD024568CADENASNUTRESA" u="1"/>
        <s v="BGTACRD022861TRADICIONALNUTRESA" u="1"/>
        <s v="PERECRD024345CADENASNUTRESA" u="1"/>
        <s v="BUCACRD019868CADENASBPO" u="1"/>
        <s v="PERECRD024631CADENASNUTRESA" u="1"/>
        <s v="MEDECRD024365AUTOSERVICIONUTRESA" u="1"/>
        <s v="BGTACRD024818AUTOSERVICIOALTILLANO" u="1"/>
        <s v="BARRCRD020102AUTOSERVICIOBPO" u="1"/>
        <s v="BGTACRD024391AUTOSERVICIONUTRESA" u="1"/>
        <s v="VILACRD024074AUTOSERVICIONUTRESA" u="1"/>
        <s v="BGTACRD001182CADENASNUTRESA" u="1"/>
        <s v="BGTACRD024691AUTOSERVICIONUTRESA" u="1"/>
        <s v="PERECRD015723CADENASNUTRESA" u="1"/>
        <s v="CALICRD023141CADENASNUTRESA" u="1"/>
        <s v="CALICRD018600TRADICIONALPROMOTORES" u="1"/>
        <s v="BARRCRD021042TRADICIONALNUTRESA" u="1"/>
        <s v="BGTACRD024844AUTOSERVICIOBPO" u="1"/>
        <s v="IBA1CRD022517TRADICIONALNUTRESA" u="1"/>
        <s v="IBA1CRD017334AUTOSERVICIOBPO" u="1"/>
        <s v="MEDECRD016422TRADICIONALNUTRESA" u="1"/>
        <s v="BUCACRD024651TRADICIONALPROMOTORES" u="1"/>
        <s v="VILACRD021014TRADICIONALNUTRESA" u="1"/>
        <s v="MEDEACT000504AUTOSERVICIONUTRESA" u="1"/>
        <s v="IBA1CRD024843CADENASBPO" u="1"/>
        <s v="MEDEACT000418AUTOSERVICIONUTRESA" u="1"/>
        <s v="PERECRD022322AUTOSERVICIOBPO" u="1"/>
        <s v="CARTCRD008369TRADICIONALNUTRESA" u="1"/>
        <s v="MEDECRD008428CADENASBPO" u="1"/>
        <s v="MEDECRD017512AUTOSERVICIONUTRESA" u="1"/>
        <s v="BARRCRD008551CADENASBPO" u="1"/>
        <s v="MEDECRD005001CADENASBPO" u="1"/>
        <s v="MEDECRD024585CADENASBPO" u="1"/>
        <s v="BGTACRD023685CADENASBPO" u="1"/>
        <s v="BUCACRD024847CADENASBPO" u="1"/>
        <s v="MEDECRD023249AUTOSERVICIONUTRESA" u="1"/>
        <s v="MEDENUTDUR000005AUTOSERVICIONUTRESA" u="1"/>
        <s v="BGTACRD023599CADENASBPO" u="1"/>
        <s v="BGTACRD024114AUTOSERVICIOALTILLANO" u="1"/>
        <s v="BUCACRD023894AUTOSERVICIONUTRESA" u="1"/>
        <s v="MEDECRD023535AUTOSERVICIONUTRESA" u="1"/>
        <s v="BGTACRD022585AUTOSERVICIOBPO" u="1"/>
        <s v="PEREACT000493AUTOSERVICIODESARROLLADORES" u="1"/>
        <s v="CALICRD024692AUTOSERVICIONUTRESA" u="1"/>
        <s v="MEDECRD024161AUTOSERVICIONUTRESA" u="1"/>
        <s v="CALICRD021738TRADICIONALPROMOTORES" u="1"/>
        <s v="BUCACRD016151CADENASBPO" u="1"/>
        <s v="CALICRD021296CADENASNUTRESA" u="1"/>
        <s v="BGTACRD013163AUTOSERVICIOBPO" u="1"/>
        <s v="BGTACRD024700AUTOSERVICIOALTILLANO" u="1"/>
        <s v="MEDECRD023685TRADICIONALNUTRESA" u="1"/>
        <s v="MEDECRD023599TRADICIONALNUTRESA" u="1"/>
        <s v="CALICRD024845AUTOSERVICIOBPO" u="1"/>
        <s v="PERECRD021163CADENASBPO" u="1"/>
        <s v="PERECRD008431AUTOSERVICIOBPO" u="1"/>
        <s v="BARRCRD024618CADENASNUTRESA" u="1"/>
        <s v="BGTACRD020872CADENASBPO" u="1"/>
        <s v="MEDECRD024775AUTOSERVICIONUTRESA" u="1"/>
        <s v="MEDECRD025018AUTOSERVICIONUTRESA" u="1"/>
        <s v="MEDECRD009480TRADICIONALNUTRESA" u="1"/>
        <s v="VILACRD024084AUTOSERVICIONUTRESA" u="1"/>
        <s v="BARRCRD010275TRADICIONALNUTRESA" u="1"/>
        <s v="BGTACRD024844AUTOSERVICIOALTILLANO_BPO" u="1"/>
        <s v="BGTACRD022173TRADICIONALPROMOTORES" u="1"/>
        <s v="MEDECRD021015TRADICIONALNUTRESA" u="1"/>
        <s v="BGTACRD020501AUTOSERVICIOBPO" u="1"/>
        <s v="CALICRD023165CADENASNUTRESA" u="1"/>
        <s v="MEDECRD023241CADENASBPO" u="1"/>
        <s v="CALIACT000531AUTOSERVICIONUTRESA" u="1"/>
        <s v="BARRCRD025008TRADICIONALNUTRESA" u="1"/>
        <s v="IBA1CRD022574AUTOSERVICIONUTRESA" u="1"/>
        <s v="BUCACRD002204AUTOSERVICIOBPO" u="1"/>
        <s v="BARRCRD990305CADENASBPO" u="1"/>
        <s v="VILACRD024970AUTOSERVICIONUTRESA" u="1"/>
        <s v="IBA1ACT000436AUTOSERVICIOBPO" u="1"/>
        <s v="PERECRD012720CADENASNUTRESA" u="1"/>
        <s v="CALICRD007355AUTOSERVICIOBPO" u="1"/>
        <s v="MEDECRD023312TRADICIONALBPO" u="1"/>
        <s v="BGTACRD023281AUTOSERVICIOALTILLANO" u="1"/>
        <s v="CARTCRD024186AUTOSERVICIONUTRESA" u="1"/>
        <s v="MEDECRD013990CADENASBPO" u="1"/>
        <s v="MEDECRD000043CADENASBPO" u="1"/>
        <s v="BUCACRD024843CADENASBPO" u="1"/>
        <s v="MEDECRD022905AUTOSERVICIONUTRESA" u="1"/>
        <s v="MEDECRD008638CADENASBPO" u="1"/>
        <s v="MEDECRD023531AUTOSERVICIONUTRESA" u="1"/>
        <s v="CARTCRD024439TRADICIONALNUTRESA" u="1"/>
        <s v="MEDEACT000515AUTOSERVICIODESARROLLADORES" u="1"/>
        <s v="MEDECRD024560CADENASNUTRESA" u="1"/>
        <s v="MEDECRD022869TRADICIONALNUTRESA" u="1"/>
        <s v="VILAACT000423AUTOSERVICIONUTRESA" u="1"/>
        <s v="CALICRD022174TRADICIONALPROMOTORES" u="1"/>
        <s v="IBA1CRD021754CADENASBPO" u="1"/>
        <s v="BUCACRD020972TRADICIONALBPO" u="1"/>
        <s v="CALICRD024469AUTOSERVICIOBPO" u="1"/>
        <s v="BGTACRD022881TRADICIONALNUTRESA" u="1"/>
        <s v="BUCACRD024397AUTOSERVICIOBPO" u="1"/>
        <s v="MEDECRD023981TRADICIONALNUTRESA" u="1"/>
        <s v="MEDECRD014423AUTOSERVICIONUTRESA" u="1"/>
        <s v="BGTACRD024638AUTOSERVICIOALTILLANO" u="1"/>
        <s v="BARRCRD019331CADENASNUTRESA" u="1"/>
        <s v="PERECRD024851CADENASNUTRESA" u="1"/>
        <s v="BARRCRD024714CADENASNUTRESA" u="1"/>
        <s v="BGTACRD023585AUTOSERVICIONUTRESA" u="1"/>
        <s v="MEDECRD025000AUTOSERVICIONUTRESA" u="1"/>
        <s v="MEDECRD024771AUTOSERVICIONUTRESA" u="1"/>
        <s v="BUCACRD019464AUTOSERVICIONUTRESA" u="1"/>
        <s v="MEDECRD024685AUTOSERVICIONUTRESA" u="1"/>
        <s v="PERECRD003973TRADICIONALNUTRESA" u="1"/>
        <s v="MEDECRD024624AUTOSERVICIOBPO" u="1"/>
        <s v="MEDECRD024599AUTOSERVICIONUTRESA" u="1"/>
        <s v="BUCACRD022670CADENASBPO" u="1"/>
        <s v="MEDECRD024885AUTOSERVICIONUTRESA" u="1"/>
        <s v="BGTACRD020172AUTOSERVICIONUTRESA" u="1"/>
        <s v="BGTACRD024128AUTOSERVICIONUTRESA" u="1"/>
        <s v="BGTACRD024500AUTOSERVICIONUTRESA" u="1"/>
        <s v="BARRCRD024861AUTOSERVICIOBPO" u="1"/>
        <s v="MEDECRD019555AUTOSERVICIOBPO" u="1"/>
        <s v="PERECRD021973CADENASBPO" u="1"/>
        <s v="BGTACRD024700AUTOSERVICIONUTRESA" u="1"/>
        <s v="MEDECRD012588CADENASBPO" u="1"/>
        <s v="BUCACRD022088AUTOSERVICIONUTRESA" u="1"/>
        <s v="VILACRD024694AUTOSERVICIONUTRESA" u="1"/>
        <s v="CARTCRD022866TRADICIONALNUTRESA" u="1"/>
        <s v="CALICRD008551CADENASBPO" u="1"/>
        <s v="MEDEACT000324AUTOSERVICIONUTRESA" u="1"/>
        <s v="BUCAACT000436AUTOSERVICIOBPO" u="1"/>
        <s v="BGTACRD023291AUTOSERVICIOALTILLANO" u="1"/>
        <s v="CARTCRD024785CADENASNUTRESA" u="1"/>
        <s v="BUCACRD014119CADENASBPO" u="1"/>
        <s v="BUCACRD000115CADENASBPO" u="1"/>
        <s v="IBA1CRD011220TRADICIONALPROMOTORES" u="1"/>
        <s v="MEDEACT000274TRADICIONALNUTRESA" u="1"/>
        <s v="CARTCRD024396AUTOSERVICIONUTRESA" u="1"/>
        <s v="BGTACRD006884CADENASNUTRESA" u="1"/>
        <s v="CARTCRD024521AUTOSERVICIOBPO" u="1"/>
        <s v="PERECRD014120CADENASBPO" u="1"/>
        <s v="BARRACT000300TRADICIONALNUTRESA" u="1"/>
        <s v="MEDECRD023255AUTOSERVICIONUTRESA" u="1"/>
        <s v="BUCACRD024953CADENASBPO" u="1"/>
        <s v="CARTCRD025039AUTOSERVICIONUTRESA" u="1"/>
        <s v="CARTCRD024649TRADICIONALNUTRESA" u="1"/>
        <s v="CALICRD024365AUTOSERVICIOBPO" u="1"/>
        <s v="PERECRD024682CADENASBPO" u="1"/>
        <s v="MEDECRD024181AUTOSERVICIONUTRESA" u="1"/>
        <s v="BARRCRD024845CADENASBPO" u="1"/>
        <s v="BGTACRD024820AUTOSERVICIOALTILLANO" u="1"/>
        <s v="BUCACRD023518AUTOSERVICIODESARROLLADORES" u="1"/>
        <s v="BARRCRD023509AUTOSERVICIONUTRESA" u="1"/>
        <s v="BUCACRD021754CADENASBPO" u="1"/>
        <s v="IBA1CRD024967AUTOSERVICIONUTRESA" u="1"/>
        <s v="BUCACRD012464TRADICIONALPROMOTORES" u="1"/>
        <s v="BGTACRD019365CADENASBPO" u="1"/>
        <s v="CALICRD025008TRADICIONALNUTRESA" u="1"/>
        <s v="MEDECRD024695AUTOSERVICIONUTRESA" u="1"/>
        <s v="VILACRD016979TRADICIONALNUTRESA" u="1"/>
        <s v="BARRCRD015723CADENASBPO" u="1"/>
        <s v="BUCACRD021968CADENASBPO" u="1"/>
        <s v="MEDECRD024981AUTOSERVICIONUTRESA" u="1"/>
        <s v="PERECRD025001AUTOSERVICIONUTRESA" u="1"/>
        <s v="BGTACRD024810AUTOSERVICIONUTRESA" u="1"/>
        <s v="BARRCRD024849AUTOSERVICIONUTRESA" u="1"/>
        <s v="BARRCRD024971TRADICIONALNUTRESA" u="1"/>
        <s v="BGTACRD024674AUTOSERVICIOBPO" u="1"/>
        <s v="CARTCRD022862TRADICIONALNUTRESA" u="1"/>
        <s v="BGTACRD009243AUTOSERVICIOBPO" u="1"/>
        <s v="BGTACRD024638AUTOSERVICIONUTRESA" u="1"/>
        <s v="BARRCRD021725CADENASNUTRESA" u="1"/>
        <s v="CALIACT000551AUTOSERVICIONUTRESA" u="1"/>
        <s v="BUCACRD013990TRADICIONALPROMOTORES" u="1"/>
        <s v="BGTAACT000470AUTOSERVICIOALTILLANO" u="1"/>
        <s v="MEDECRD020909TRADICIONALNUTRESA" u="1"/>
        <s v="BARRCRD012624CADENASBPO" u="1"/>
        <s v="CARTCRD022876TRADICIONALNUTRESA" u="1"/>
        <s v="BARRCRD016642CADENASNUTRESA" u="1"/>
        <s v="MEDEACT000220AUTOSERVICIONUTRESA" u="1"/>
        <s v="IBA1CRD018796TRADICIONALPROMOTORES" u="1"/>
        <s v="BARRCRD007355CADENASBPO" u="1"/>
        <s v="MEDEACT000334AUTOSERVICIONUTRESA" u="1"/>
        <s v="MEDECRD008430CADENASBPO" u="1"/>
        <s v="MEDEACT000370TRADICIONALNUTRESA" u="1"/>
        <s v="MEDEACT000434AUTOSERVICIONUTRESA" u="1"/>
        <s v="MEDECRD020062CADENASBPO" u="1"/>
        <s v="MEDECRD022911AUTOSERVICIONUTRESA" u="1"/>
        <s v="MEDECRD023251AUTOSERVICIONUTRESA" u="1"/>
        <s v="BUCACRD011220TRADICIONALPROMOTORES" u="1"/>
        <s v="IBA1CRD024566CADENASNUTRESA" u="1"/>
        <s v="MEDECRD023165AUTOSERVICIONUTRESA" u="1"/>
        <s v="MEDECRD023265AUTOSERVICIONUTRESA" u="1"/>
        <s v="BARRCRD023308CADENASNUTRESA" u="1"/>
        <s v="MEDECRD022939AUTOSERVICIONUTRESA" u="1"/>
        <s v="MEDECRD018082AUTOSERVICIONUTRESA" u="1"/>
        <s v="CARTCRD024645TRADICIONALNUTRESA" u="1"/>
        <s v="MEDECRD023279AUTOSERVICIONUTRESA" u="1"/>
        <s v="BUCACRD021350CADENASBPO" u="1"/>
        <s v="BGTACRD024058AUTOSERVICIOALTILLANO" u="1"/>
        <s v="BGTACRD024244AUTOSERVICIOALTILLANO" u="1"/>
        <s v="CARTCRD024659TRADICIONALNUTRESA" u="1"/>
        <s v="MEDECRD023665AUTOSERVICIONUTRESA" u="1"/>
        <s v="CARTCRD024859AUTOSERVICIOBPO" u="1"/>
        <s v="PERECRD012718TRADICIONALNUTRESA" u="1"/>
        <s v="CARTCRD002204TRADICIONALBPO" u="1"/>
        <s v="VILAACT000457AUTOSERVICIONUTRESA" u="1"/>
        <s v="MEDECRD024491AUTOSERVICIONUTRESA" u="1"/>
        <s v="IBA1CRD016184CADENASNUTRESA" u="1"/>
        <s v="CALICRD025004TRADICIONALNUTRESA" u="1"/>
        <s v="BARRCRD013990AUTOSERVICIOBPO" u="1"/>
        <s v="MEDECRD024691AUTOSERVICIONUTRESA" u="1"/>
        <s v="VILACRD016975TRADICIONALNUTRESA" u="1"/>
        <s v="CALICRD021162AUTOSERVICIOBPO" u="1"/>
        <s v="BGTACRD024844CADENASBPO" u="1"/>
        <s v="CARTACT000531AUTOSERVICIONUTRESA" u="1"/>
        <s v="MEDECRD024844AUTOSERVICIOBPO" u="1"/>
        <s v="BARRCRD008638AUTOSERVICIOBPO" u="1"/>
        <s v="VILACRD024103AUTOSERVICIONUTRESA" u="1"/>
        <s v="MEDECRD024908AUTOSERVICIONUTRESA" u="1"/>
        <s v="CARTCRD012624AUTOSERVICIOBPO" u="1"/>
        <s v="BARRCRD025010TRADICIONALNUTRESA" u="1"/>
        <s v="MEDECRD021787TRADICIONALBPO" u="1"/>
        <s v="PERECRD021097AUTOSERVICIONUTRESA" u="1"/>
        <s v="IBA1ACT000502AUTOSERVICIONUTRESA" u="1"/>
        <s v="BARRCRD019529AUTOSERVICIOBPO" u="1"/>
        <s v="BGTACRD022585CADENASBPO" u="1"/>
        <s v="MEDEACT000430AUTOSERVICIONUTRESA" u="1"/>
        <s v="IBA1CRD024162CADENASNUTRESA" u="1"/>
        <s v="VILACRD021040TRADICIONALNUTRESA" u="1"/>
        <s v="BARRCRD023611CADENASBPO" u="1"/>
        <s v="PEREACT000071TRADICIONALNUTRESA" u="1"/>
        <s v="CALICRD024845CADENASBPO" u="1"/>
        <s v="MEDECRD023261AUTOSERVICIONUTRESA" u="1"/>
        <s v="MEDECRD013163AUTOSERVICIOBPO" u="1"/>
        <s v="IBA1CRD023497TRADICIONALNUTRESA" u="1"/>
        <s v="MEDECRD023275AUTOSERVICIONUTRESA" u="1"/>
        <s v="BARRCRD014117CADENASBPO" u="1"/>
        <s v="CARTCRD016004TRADICIONALBPO" u="1"/>
        <s v="MEDECRD023300TRADICIONALNUTRESA" u="1"/>
        <s v="BARRCRD012588AUTOSERVICIOBPO" u="1"/>
        <s v="CARTCRD024655TRADICIONALNUTRESA" u="1"/>
        <s v="BGTAACT000484AUTOSERVICIONUTRESA" u="1"/>
        <s v="MEDENUTDUR000007AUTOSERVICIONUTRESA" u="1"/>
        <s v="MEDECRD023661AUTOSERVICIONUTRESA" u="1"/>
        <s v="CALICRD015723CADENASBPO" u="1"/>
        <s v="CALICRD008428AUTOSERVICIOBPO" u="1"/>
        <s v="CARTCRD021042TRADICIONALNUTRESA" u="1"/>
        <s v="IBA1CRD025002AUTOSERVICIONUTRESA" u="1"/>
        <s v="PERECRD022876TRADICIONALNUTRESA" u="1"/>
        <s v="CALICRD005001AUTOSERVICIOBPO" u="1"/>
        <s v="BGTAACT000437TRADICIONALNUTRESA" u="1"/>
        <s v="MEDECRD023689AUTOSERVICIONUTRESA" u="1"/>
        <s v="MEDECRD020162AUTOSERVICIONUTRESA" u="1"/>
        <s v="CALICRD024835AUTOSERVICIONUTRESA" u="1"/>
        <s v="PERECRD024495CADENASNUTRESA" u="1"/>
        <s v="BGTACRD020191CADENASNUTRESA" u="1"/>
        <s v="CALICRD024971TRADICIONALNUTRESA" u="1"/>
        <s v="IBA1CRD020970TRADICIONALNUTRESA" u="1"/>
        <s v="CALICRD012624CADENASBPO" u="1"/>
        <s v="MEDECRD020501AUTOSERVICIOBPO" u="1"/>
        <s v="BGTACRD024968AUTOSERVICIOALTILLANO" u="1"/>
        <s v="BGTACRD023618AUTOSERVICIONUTRESA" u="1"/>
        <s v="CALICRD007355CADENASBPO" u="1"/>
        <s v="PERECRD021296CADENASNUTRESA" u="1"/>
        <s v="MEDECRD021041TRADICIONALNUTRESA" u="1"/>
        <s v="PERECRD024845AUTOSERVICIOBPO" u="1"/>
        <s v="BGTACRD021299AUTOSERVICIOALTILLANO_BPO" u="1"/>
        <s v="CALICRD023691CADENASNUTRESA" u="1"/>
        <s v="CALICRD023597TRADICIONALBPO" u="1"/>
        <s v="BGTACRD021681AUTOSERVICIOBPO" u="1"/>
        <s v="PERECRD023165CADENASNUTRESA" u="1"/>
        <s v="CARTCRD024365AUTOSERVICIOBPO" u="1"/>
        <s v="PEREACT000531AUTOSERVICIONUTRESA" u="1"/>
        <s v="MEDECRD023271AUTOSERVICIONUTRESA" u="1"/>
        <s v="BARRCRD007004AUTOSERVICIOBPO" u="1"/>
        <s v="CALICRD013990AUTOSERVICIOBPO" u="1"/>
        <s v="CARTCRD010275TRADICIONALNUTRESA" u="1"/>
        <s v="CARTCRD024651TRADICIONALNUTRESA" u="1"/>
        <s v="BUCACRD020976TRADICIONALPROMOTORES" u="1"/>
        <s v="MEDECRD023585AUTOSERVICIONUTRESA" u="1"/>
        <s v="PERECRD007355AUTOSERVICIOBPO" u="1"/>
        <s v="BUCACRD023520AUTOSERVICIODESARROLLADORES" u="1"/>
        <s v="BGTACRD014116CADENASBPO" u="1"/>
        <s v="BUCACRD016122TRADICIONALPROMOTORES" u="1"/>
        <s v="CARTCRD025008TRADICIONALNUTRESA" u="1"/>
        <s v="PERECRD016977TRADICIONALNUTRESA" u="1"/>
        <s v="CALICRD024731AUTOSERVICIONUTRESA" u="1"/>
        <s v="BGTACRD006778AUTOSERVICIOBPO" u="1"/>
        <s v="MEDECRD023599AUTOSERVICIONUTRESA" u="1"/>
        <s v="CALICRD008638AUTOSERVICIOBPO" u="1"/>
        <s v="MEDECRD019555CADENASBPO" u="1"/>
        <s v="MEDECRD021125CADENASBPO" u="1"/>
        <s v="CALICRD025010TRADICIONALNUTRESA" u="1"/>
        <s v="BGTANUTDUR000002AUTOSERVICIOALTILLANO" u="1"/>
        <s v="BUCACRD025002AUTOSERVICIONUTRESA" u="1"/>
        <s v="BARRCRD008430AUTOSERVICIOBPO" u="1"/>
        <s v="CALICRD011220AUTOSERVICIOBPO" u="1"/>
        <s v="MEDECRD024700AUTOSERVICIONUTRESA" u="1"/>
        <s v="CALICRD022496CADENASBPO" u="1"/>
        <s v="MEDECRD024528AUTOSERVICIONUTRESA" u="1"/>
        <s v="CALICRD019529AUTOSERVICIOBPO" u="1"/>
        <s v="CALICRD021482AUTOSERVICIOBPO" u="1"/>
        <s v="BUCACRD020970TRADICIONALNUTRESA" u="1"/>
        <s v="PERECRD022174TRADICIONALPROMOTORES" u="1"/>
        <s v="CALICRD019915AUTOSERVICIOBPO" u="1"/>
        <s v="VILACRD017899AUTOSERVICIONUTRESA" u="1"/>
        <s v="MEDECRD005541AUTOSERVICIONUTRESA" u="1"/>
        <s v="IBA1ACT000122AUTOSERVICIONUTRESA" u="1"/>
        <s v="PERECRD005735CADENASNUTRESA" u="1"/>
        <s v="CARTCRD017312AUTOSERVICIOBPO" u="1"/>
        <s v="CALICRD023611CADENASBPO" u="1"/>
        <s v="PERECRD005935CADENASNUTRESA" u="1"/>
        <s v="PERECRD021042TRADICIONALNUTRESA" u="1"/>
        <s v="BGTACRD019238AUTOSERVICIOBPO" u="1"/>
        <s v="CALICRD014117CADENASBPO" u="1"/>
        <s v="BGTACRD020865AUTOSERVICIOBPO" u="1"/>
        <s v="CALICRD012588AUTOSERVICIOBPO" u="1"/>
        <s v="BUCACRD019031TRADICIONALPROMOTORES" u="1"/>
        <s v="CARTCRD024714CADENASNUTRESA" u="1"/>
        <s v="BGTACRD019638AUTOSERVICIOBPO" u="1"/>
        <s v="MEDEACT000378AUTOSERVICIONUTRESA" u="1"/>
        <s v="BARRCRD016422TRADICIONALNUTRESA" u="1"/>
        <s v="IBA1CRD017758AUTOSERVICIONUTRESA" u="1"/>
        <s v="BGTACRD023248AUTOSERVICIOALTILLANO" u="1"/>
        <s v="CALICRD024630CADENASNUTRESA" u="1"/>
        <s v="MEDECRD023095AUTOSERVICIONUTRESA" u="1"/>
        <s v="MEDECRD023281AUTOSERVICIONUTRESA" u="1"/>
        <s v="CALICRD010532TRADICIONALBPO" u="1"/>
        <s v="BUCACRD020972TRADICIONALPROMOTORES" u="1"/>
        <s v="PERECRD008551CADENASBPO" u="1"/>
        <s v="CALICRD023815AUTOSERVICIONUTRESA" u="1"/>
        <s v="CARTCRD024861AUTOSERVICIOBPO" u="1"/>
        <s v="CALICRD016004TRADICIONALPROMOTORES" u="1"/>
        <s v="IBA1CRD024393AUTOSERVICIONUTRESA" u="1"/>
        <s v="BGTACRD024074AUTOSERVICIOALTILLANO" u="1"/>
        <s v="PERECRD023761CADENASNUTRESA" u="1"/>
        <s v="MEDECRD023681AUTOSERVICIONUTRESA" u="1"/>
        <s v="BUCACRD001316TRADICIONALPROMOTORES" u="1"/>
        <s v="CARTCRD025004TRADICIONALNUTRESA" u="1"/>
        <s v="BGTACRD024088AUTOSERVICIOALTILLANO" u="1"/>
        <s v="CALICRD024308AUTOSERVICIOBPO" u="1"/>
        <s v="MEDECRD023981AUTOSERVICIONUTRESA" u="1"/>
        <s v="MEDECRD024124AUTOSERVICIONUTRESA" u="1"/>
        <s v="MEDECRD023895AUTOSERVICIONUTRESA" u="1"/>
        <s v="BARRCRD024550CADENASNUTRESA" u="1"/>
        <s v="BARRCRD024278CADENASNUTRESA" u="1"/>
        <s v="PERECRD013288TRADICIONALNUTRESA" u="1"/>
        <s v="BGTACRD009243CADENASBPO" u="1"/>
        <s v="CALICRD024955AUTOSERVICIONUTRESA" u="1"/>
        <s v="BGTACRD024353CADENASNUTRESA" u="1"/>
        <s v="BUCACRD024883AUTOSERVICIONUTRESA" u="1"/>
        <s v="CALICRD024969AUTOSERVICIONUTRESA" u="1"/>
        <s v="IBA1CRD001420AUTOSERVICIOBPO" u="1"/>
        <s v="MEDECRD024810AUTOSERVICIONUTRESA" u="1"/>
        <s v="PERECRD015649TRADICIONALPROMOTORES" u="1"/>
        <s v="PERECRD020862CADENASNUTRESA" u="1"/>
        <s v="BGTACRD023824AUTOSERVICIONUTRESA" u="1"/>
        <s v="CARTACT000461AUTOSERVICIONUTRESA" u="1"/>
        <s v="MEDECRD024638AUTOSERVICIONUTRESA" u="1"/>
        <s v="PERECRD024365AUTOSERVICIOBPO" u="1"/>
        <s v="MEDECRD024924AUTOSERVICIONUTRESA" u="1"/>
        <s v="MEDECRD024838AUTOSERVICIONUTRESA" u="1"/>
        <s v="BARRCRD021265CADENASNUTRESA" u="1"/>
        <s v="MEDECRD024788AUTOSERVICIOBPO" u="1"/>
        <s v="PERECRD010275TRADICIONALNUTRESA" u="1"/>
        <s v="BGTACRD020361AUTOSERVICIOBPO" u="1"/>
        <s v="BGTACRD024478AUTOSERVICIONUTRESA" u="1"/>
        <s v="CARTCRD018315CADENASNUTRESA" u="1"/>
        <s v="PERECRD025008TRADICIONALNUTRESA" u="1"/>
        <s v="BARRCRD021015TRADICIONALNUTRESA" u="1"/>
        <s v="CARTCRD024845CADENASBPO" u="1"/>
        <s v="BUCAACT000436AUTOSERVICIONUTRESA" u="1"/>
        <s v="IBA1CRD016978TRADICIONALNUTRESA" u="1"/>
        <s v="BGTACRD023244AUTOSERVICIOALTILLANO" u="1"/>
        <s v="BARRACT000500AUTOSERVICIONUTRESA" u="1"/>
        <s v="CALICRD023661AUTOSERVICIOBPO" u="1"/>
        <s v="BARRCRD013990CADENASBPO" u="1"/>
        <s v="CALICRD025018CADENASBPO" u="1"/>
        <s v="CALICRD021162CADENASBPO" u="1"/>
        <s v="CARTCRD005001AUTOSERVICIOBPO" u="1"/>
        <s v="BUCACRD020982TRADICIONALPROMOTORES" u="1"/>
        <s v="CALICRD008430AUTOSERVICIOBPO" u="1"/>
        <s v="IBA1CRD009167TRADICIONALBPO" u="1"/>
        <s v="BGTACRD006670AUTOSERVICIOBPO" u="1"/>
        <s v="CALICRD024568CADENASNUTRESA" u="1"/>
        <s v="BGTACRD024084AUTOSERVICIOALTILLANO" u="1"/>
        <s v="MEDECRD023691AUTOSERVICIONUTRESA" u="1"/>
        <s v="CARTCRD024849AUTOSERVICIONUTRESA" u="1"/>
        <s v="CARTCRD024971TRADICIONALNUTRESA" u="1"/>
        <s v="MEDECRD024844CADENASBPO" u="1"/>
        <s v="CALICRD020715CADENASNUTRESA" u="1"/>
        <s v="BARRCRD008638CADENASBPO" u="1"/>
        <s v="IBA1CRD022175TRADICIONALPROMOTORES" u="1"/>
        <s v="BGTACRD024470CADENASBPO" u="1"/>
        <s v="MEDECRD023508AUTOSERVICIONUTRESA" u="1"/>
        <s v="MEDECRD023608AUTOSERVICIONUTRESA" u="1"/>
        <s v="MEDECRD018325AUTOSERVICIONUTRESA" u="1"/>
        <s v="BARRCRD024560CADENASNUTRESA" u="1"/>
        <s v="IBA1CRD024842AUTOSERVICIOBPO" u="1"/>
        <s v="BGTACRD024398CADENASBPO" u="1"/>
        <s v="CALICRD024804AUTOSERVICIOBPO" u="1"/>
        <s v="BGTACRD024970AUTOSERVICIOALTILLANO" u="1"/>
        <s v="CALICRD024965AUTOSERVICIONUTRESA" u="1"/>
        <s v="BGTACRD019018CADENASBPO" u="1"/>
        <s v="BGTACRD022858TRADICIONALNUTRESA" u="1"/>
        <s v="MEDECRD024470TRADICIONALNUTRESA" u="1"/>
        <s v="BARRCRD019529CADENASBPO" u="1"/>
        <s v="BARRCRD025017CADENASNUTRESA" u="1"/>
        <s v="BGTACRD020361AUTOSERVICIOALTILLANO_BPO" u="1"/>
        <s v="CARTCRD013564CADENASBPO" u="1"/>
        <s v="MEDECRD024734AUTOSERVICIONUTRESA" u="1"/>
        <s v="MEDECRD024920AUTOSERVICIONUTRESA" u="1"/>
        <s v="MEDECRD024834AUTOSERVICIONUTRESA" u="1"/>
        <s v="BGTACRD024174AUTOSERVICIONUTRESA" u="1"/>
        <s v="BUCACRD001420AUTOSERVICIOBPO" u="1"/>
        <s v="BGTACRD024188AUTOSERVICIONUTRESA" u="1"/>
        <s v="MEDECRD024948AUTOSERVICIONUTRESA" u="1"/>
        <s v="BGTACRD019718CADENASBPO" u="1"/>
        <s v="PERECRD025018AUTOSERVICIOBPO" u="1"/>
        <s v="VILACRD024946CADENASNUTRESA" u="1"/>
        <s v="CARTCRD024841CADENASBPO" u="1"/>
        <s v="BARRCRD012588CADENASBPO" u="1"/>
        <s v="BUCACRD023166CADENASNUTRESA" u="1"/>
        <s v="MEDEACT000370AUTOSERVICIONUTRESA" u="1"/>
        <s v="CALICRD008428CADENASBPO" u="1"/>
        <s v="IBA1CRD016974TRADICIONALNUTRESA" u="1"/>
        <s v="IBA1CRD022847AUTOSERVICIONUTRESA" u="1"/>
        <s v="CARTCRD013990AUTOSERVICIOBPO" u="1"/>
        <s v="CALICRD005001CADENASBPO" u="1"/>
        <s v="CALIACT000505AUTOSERVICIODESARROLLADORES" u="1"/>
        <s v="CALICRD023535AUTOSERVICIONUTRESA" u="1"/>
        <s v="BUCACRD024648TRADICIONALPROMOTORES" u="1"/>
        <s v="BUCACRD016978TRADICIONALNUTRESA" u="1"/>
        <s v="PEREACT000300TRADICIONALNUTRESA" u="1"/>
        <s v="MEDEACT000437TRADICIONALNUTRESA" u="1"/>
        <s v="MEDECRD024268CADENASBPO" u="1"/>
        <s v="CARTCRD008638AUTOSERVICIOBPO" u="1"/>
        <s v="BGTACRD024080AUTOSERVICIOALTILLANO" u="1"/>
        <s v="MEDECRD020501CADENASBPO" u="1"/>
        <s v="CARTCRD025010TRADICIONALNUTRESA" u="1"/>
        <s v="CARTCRD024795TRADICIONALNUTRESA" u="1"/>
        <s v="MEDEACT000499AUTOSERVICIODESARROLLADORES" u="1"/>
        <s v="IBA1CRD024702AUTOSERVICIONUTRESA" u="1"/>
        <s v="BGTACRD024580AUTOSERVICIOALTILLANO" u="1"/>
        <s v="BUCACRD023916AUTOSERVICIOBPO" u="1"/>
        <s v="CARTCRD019529AUTOSERVICIOBPO" u="1"/>
        <s v="BGTAACT000500AUTOSERVICIODESARROLLADORES" u="1"/>
        <s v="PERECRD024845CADENASBPO" u="1"/>
        <s v="BGTACRD024694AUTOSERVICIOALTILLANO" u="1"/>
        <s v="BGTACRD025023AUTOSERVICIOALTILLANO" u="1"/>
        <s v="PERECRD018076AUTOSERVICIOBPO" u="1"/>
        <s v="BGTAACT000514AUTOSERVICIODESARROLLADORES" u="1"/>
        <s v="MEDECRD008623AUTOSERVICIOBPO" u="1"/>
        <s v="BUCACRD024842AUTOSERVICIOBPO" u="1"/>
        <s v="IBA1CRD025009TRADICIONALNUTRESA" u="1"/>
        <s v="PERECRD024824CADENASNUTRESA" u="1"/>
        <s v="BARRCRD023608TRADICIONALNUTRESA" u="1"/>
        <s v="CALICRD021015TRADICIONALNUTRESA" u="1"/>
        <s v="MEDECRD018935AUTOSERVICIONUTRESA" u="1"/>
        <s v="MEDECRD021334CADENASNUTRESA" u="1"/>
        <s v="PERECRD008428AUTOSERVICIOBPO" u="1"/>
        <s v="PERECRD005001AUTOSERVICIOBPO" u="1"/>
        <s v="BARRCRD024981AUTOSERVICIONUTRESA" u="1"/>
        <s v="BGTACRD024670AUTOSERVICIONUTRESA" u="1"/>
        <s v="BGTACRD021681CADENASBPO" u="1"/>
        <s v="BGTACRD014536AUTOSERVICIONUTRESA" u="1"/>
        <s v="BGTACRD024437AUTOSERVICIOBPO" u="1"/>
        <s v="PERECRD024849AUTOSERVICIONUTRESA" u="1"/>
        <s v="BARRCRD024648TRADICIONALNUTRESA" u="1"/>
        <s v="BARRCRD007004CADENASBPO" u="1"/>
        <s v="CALICRD013990CADENASBPO" u="1"/>
        <s v="MEDECRD021681AUTOSERVICIOBPO" u="1"/>
        <s v="IBA1CRD016684TRADICIONALNUTRESA" u="1"/>
        <s v="MEDEACT000280AUTOSERVICIONUTRESA" u="1"/>
        <s v="PERECRD007355CADENASBPO" u="1"/>
        <s v="CALICRD017925CADENASNUTRESA" u="1"/>
        <s v="VILACRD024967AUTOSERVICIONUTRESA" u="1"/>
        <s v="CALICRD008638CADENASBPO" u="1"/>
        <s v="IBA1CRD010532CADENASBPO" u="1"/>
        <s v="BUCACRD024644TRADICIONALPROMOTORES" u="1"/>
        <s v="BUCACRD016974TRADICIONALNUTRESA" u="1"/>
        <s v="MEDECRD014116CADENASBPO" u="1"/>
        <s v="MEDECRD022871AUTOSERVICIONUTRESA" u="1"/>
        <s v="BUCACRD024658TRADICIONALPROMOTORES" u="1"/>
        <s v="BGTACRD023278AUTOSERVICIOALTILLANO" u="1"/>
        <s v="BARRCRD008430CADENASBPO" u="1"/>
        <s v="BARRCRD016566TRADICIONALNUTRESA" u="1"/>
        <s v="PERECRD017882CADENASNUTRESA" u="1"/>
        <s v="CALICRD019529CADENASBPO" u="1"/>
        <s v="CALICRD021482CADENASBPO" u="1"/>
        <s v="PERECRD023141AUTOSERVICIOBPO" u="1"/>
        <s v="PERECRD023891CADENASNUTRESA" u="1"/>
        <s v="PERECRD023241AUTOSERVICIOBPO" u="1"/>
        <s v="MEDECRD023178TRADICIONALNUTRESA" u="1"/>
        <s v="CALICRD019915CADENASBPO" u="1"/>
        <s v="MEDECRD024964CADENASBPO" u="1"/>
        <s v="VILAACT000442TRADICIONALNUTRESA" u="1"/>
        <s v="PERECRD023441TRADICIONAL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PERECRD013990AUTOSERVICIOBPO" u="1"/>
        <s v="BARRCRD003605TRADICIONALNUTRESA" u="1"/>
        <s v="IBA1CRD021163AUTOSERVICIOBPO" u="1"/>
        <s v="BUCACRD021681TRADICIONALBPO" u="1"/>
        <s v="BUCACRD022299TRADICIONALPROMOTORES" u="1"/>
        <s v="CALICRD019555AUTOSERVICIOBPO" u="1"/>
        <s v="BGTACRD019238CADENASBPO" u="1"/>
        <s v="MEDECRD024840AUTOSERVICIONUTRESA" u="1"/>
        <s v="BGTACRD020865CADENASBPO" u="1"/>
        <s v="CALICRD012588CADENASBPO" u="1"/>
        <s v="BUCACRD025009TRADICIONALNUTRESA" u="1"/>
        <s v="BGTACRD019638CADENASBPO" u="1"/>
        <s v="MEDECRD019238AUTOSERVICIOBPO" u="1"/>
        <s v="PERECRD008638AUTOSERVICIOBPO" u="1"/>
        <s v="CARTCRD024261CADENASBPO" u="1"/>
        <s v="MEDECRD020865AUTOSERVICIOBPO" u="1"/>
        <s v="PERECRD025010TRADICIONALNUTRESA" u="1"/>
        <s v="BGTACRD018785AUTOSERVICIONUTRESA" u="1"/>
        <s v="BARRCRD024644TRADICIONALNUTRESA" u="1"/>
        <s v="BARRCRD024844AUTOSERVICIOBPO" u="1"/>
        <s v="BGTACRD024694AUTOSERVICIONUTRESA" u="1"/>
        <s v="BARRCRD018935TRADICIONALNUTRESA" u="1"/>
        <s v="BGTACRD025023AUTOSERVICIONUTRESA" u="1"/>
        <s v="MEDECRD019638AUTOSERVICIOBPO" u="1"/>
        <s v="BARRCRD021787TRADICIONALBPO" u="1"/>
        <s v="VILACRD024577AUTOSERVICIONUTRESA" u="1"/>
        <s v="PERECRD019529AUTOSERVICIOBPO" u="1"/>
        <s v="BGTAACT000442TRADICIONALALTILLANO" u="1"/>
        <s v="CARTCRD023661AUTOSERVICIOBPO" u="1"/>
        <s v="MEDEACT000007AUTOSERVICIONUTRESA" u="1"/>
        <s v="BGTAACT000457AUTOSERVICIOALTILLANO" u="1"/>
        <s v="CARTCRD008430AUTOSERVICIOBPO" u="1"/>
        <s v="BUCACRD016684TRADICIONALNUTRESA" u="1"/>
        <s v="MEDECRD023448CADENASBPO" u="1"/>
        <s v="CARTCRD024568CADENASNUTRESA" u="1"/>
        <s v="BUCACRD024654TRADICIONALPROMOTORES" u="1"/>
        <s v="BGTACRD016151AUTOSERVICIOBPO" u="1"/>
        <s v="IBA1CRD020183CADENASNUTRESA" u="1"/>
        <s v="BGTACRD023274AUTOSERVICIOALTILLANO" u="1"/>
        <s v="PERECRD023611CADENASBPO" u="1"/>
        <s v="BGTACRD023288AUTOSERVICIOALTILLANO" u="1"/>
        <s v="BUCACRD010532CADENASBPO" u="1"/>
        <s v="CARTCRD001420TRADICIONALBPO" u="1"/>
        <s v="MEDECRD022895AUTOSERVICIONUTRESA" u="1"/>
        <s v="BGTACRD003574TRADICIONALALTILLANO" u="1"/>
        <s v="VILACRD017348CADENASBPO" u="1"/>
        <s v="MEDECRD018951CADENASBPO" u="1"/>
        <s v="PERECRD014117CADENASBPO" u="1"/>
        <s v="BGTACRD024103AUTOSERVICIOALTILLANO" u="1"/>
        <s v="PERECRD012588AUTOSERVICIOBPO" u="1"/>
        <s v="CARTCRD024965AUTOSERVICIONUTRESA" u="1"/>
        <s v="CALICRD024695AUTOSERVICIONUTRESA" u="1"/>
        <s v="BGTACRD020361CADENASBPO" u="1"/>
        <s v="IBA1CRD011367TRADICIONALBPO" u="1"/>
        <s v="VILAACT000516AUTOSERVICIONUTRESA" u="1"/>
        <s v="PERECRD014493CADENASNUTRESA" u="1"/>
        <s v="CALICRD024981AUTOSERVICIONUTRESA" u="1"/>
        <s v="PERECRD024630CADENASNUTRESA" u="1"/>
        <s v="BGTACRD023278AUTOSERVICIONUTRESA" u="1"/>
        <s v="VILACRD024162CADENASNUTRESA" u="1"/>
        <s v="BGTACRD023564AUTOSERVICIONUTRESA" u="1"/>
        <s v="BUCACRD024912AUTOSERVICIONUTRESA" u="1"/>
        <s v="MEDECRD020361AUTOSERVICIOBPO" u="1"/>
        <s v="BGTACRD024817AUTOSERVICIOALTILLANO" u="1"/>
        <s v="PERECRD016004TRADICIONALPROMOTORES" u="1"/>
        <s v="MEDECRD005030AUTOSERVICIOBPO" u="1"/>
        <s v="BUCACRD025005TRADICIONALNUTRESA" u="1"/>
        <s v="BUCACRD021163AUTOSERVICIOBPO" u="1"/>
        <s v="VILACRD024073AUTOSERVICIONUTRESA" u="1"/>
        <s v="MEDECRD024878AUTOSERVICIONUTRESA" u="1"/>
        <s v="BGTACRD019413CADENASNUTRESA" u="1"/>
        <s v="BGTACRD020854CADENASNUTRESA" u="1"/>
        <s v="BGTACRD024443AUTOSERVICIOBPO" u="1"/>
        <s v="IBA1ACT000086AUTOSERVICIONUTRESA" u="1"/>
        <s v="MEDECRD021451AUTOSERVICIONUTRESA" u="1"/>
        <s v="CALICRD023661CADENASBPO" u="1"/>
        <s v="BARRCRD021041TRADICIONALNUTRESA" u="1"/>
        <s v="CARTCRD005001CADENASBPO" u="1"/>
        <s v="CALICRD008430CADENASBPO" u="1"/>
        <s v="CALIACT000434AUTOSERVICIONUTRESA" u="1"/>
        <s v="BGTACRD006670CADENASBPO" u="1"/>
        <s v="BGTACRD024843AUTOSERVICIOBPO" u="1"/>
        <s v="MEDECRD022718CADENASBPO" u="1"/>
        <s v="IBA1ACT000225TRADICIONALNUTRESA" u="1"/>
        <s v="VILACRD025002AUTOSERVICIONUTRESA" u="1"/>
        <s v="MEDEACT000003AUTOSERVICIONUTRESA" u="1"/>
        <s v="CALICRD016566TRADICIONALNUTRESA" u="1"/>
        <s v="MEDEACT000017AUTOSERVICIONUTRESA" u="1"/>
        <s v="MEDEACT000203AUTOSERVICIONUTRESA" u="1"/>
        <s v="MEDECRD006670AUTOSERVICIOBPO" u="1"/>
        <s v="MEDEACT000303AUTOSERVICIONUTRESA" u="1"/>
        <s v="BUCACRD024650TRADICIONALPROMOTORES" u="1"/>
        <s v="CARTCRD020317TRADICIONALBPO" u="1"/>
        <s v="BGTACRD023270AUTOSERVICIOALTILLANO" u="1"/>
        <s v="MEDEACT000317AUTOSERVICIONUTRESA" u="1"/>
        <s v="IBA1CRD024842CADENASBPO" u="1"/>
        <s v="IBA1CRD023442TRADICIONALNUTRESA" u="1"/>
        <s v="BGTACRD023241TRADICIONALBPO" u="1"/>
        <s v="PERECRD007004AUTOSERVICIOBPO" u="1"/>
        <s v="MEDECRD024584CADENASBPO" u="1"/>
        <s v="MEDECRD023620AUTOSERVICIONUTRESA" u="1"/>
        <s v="BGTACRD024113AUTOSERVICIOALTILLANO" u="1"/>
        <s v="MEDECRD019018CADENASBPO" u="1"/>
        <s v="MEDECRD023534AUTOSERVICIONUTRESA" u="1"/>
        <s v="MEDECRD022858TRADICIONALNUTRESA" u="1"/>
        <s v="BUCACRD001420CADENASBPO" u="1"/>
        <s v="BGTACRD022584AUTOSERVICIOBPO" u="1"/>
        <s v="MEDECRD018004TRADICIONALNUTRESA" u="1"/>
        <s v="CARTCRD021015TRADICIONALNUTRESA" u="1"/>
        <s v="BGTACRD023274AUTOSERVICIONUTRESA" u="1"/>
        <s v="MEDECRD023598TRADICIONALNUTRESA" u="1"/>
        <s v="BARRCRD023685AUTOSERVICIONUTRESA" u="1"/>
        <s v="CALICRD021092AUTOSERVICIONUTRESA" u="1"/>
        <s v="BUCACRD020975TRADICIONALBPO" u="1"/>
        <s v="MEDECRD024188AUTOSERVICIONUTRESA" u="1"/>
        <s v="CALICRD024844AUTOSERVICIOBPO" u="1"/>
        <s v="BARRCRD010413CADENASNUTRESA" u="1"/>
        <s v="CALICRD018935TRADICIONALNUTRESA" u="1"/>
        <s v="BARRCRD019555CADENASBPO" u="1"/>
        <s v="MEDECRD024474AUTOSERVICIONUTRESA" u="1"/>
        <s v="PERECRD008430AUTOSERVICIOBPO" u="1"/>
        <s v="PERECRD003576TRADICIONALNUTRESA" u="1"/>
        <s v="CALICRD024908AUTOSERVICIONUTRESA" u="1"/>
        <s v="MEDECRD024388AUTOSERVICIONUTRESA" u="1"/>
        <s v="BUCACRD011367TRADICIONALBPO" u="1"/>
        <s v="PERECRD024568CADENASNUTRESA" u="1"/>
        <s v="BGTACRD023488AUTOSERVICIONUTRESA" u="1"/>
        <s v="BARRCRD020861CADENASNUTRESA" u="1"/>
        <s v="MEDECRD024588AUTOSERVICIONUTRESA" u="1"/>
        <s v="MEDECRD024774AUTOSERVICIONUTRESA" u="1"/>
        <s v="MEDECRD024688AUTOSERVICIONUTRESA" u="1"/>
        <s v="MEDECRD024874AUTOSERVICIONUTRESA" u="1"/>
        <s v="CARTCRD013990CADENASBPO" u="1"/>
        <s v="BARRCRD024528AUTOSERVICIONUTRESA" u="1"/>
        <s v="BGTACRD024843AUTOSERVICIOALTILLANO_BPO" u="1"/>
        <s v="BGTACRD011220TRADICIONALBPO" u="1"/>
        <s v="BGTACRD000115AUTOSERVICIOBPO" u="1"/>
        <s v="IBA1ACT000035TRADICIONALNUTRESA" u="1"/>
        <s v="CARTCRD008638CADENASBPO" u="1"/>
        <s v="CALICRD023685CADENASBPO" u="1"/>
        <s v="BGTACRD024867AUTOSERVICIOBPO" u="1"/>
        <s v="BUCACRD021787TRADICIONALNUTRESA" u="1"/>
        <s v="CARTCRD022869TRADICIONALNUTRESA" u="1"/>
        <s v="BUCACRD000122TRADICIONALPROMOTORES" u="1"/>
        <s v="MEDEACT000063TRADICIONALNUTRESA" u="1"/>
        <s v="BGTACRD023280AUTOSERVICIOALTILLANO" u="1"/>
        <s v="CARTCRD019529CADENASBPO" u="1"/>
        <s v="MEDEACT000513AUTOSERVICIONUTRESA" u="1"/>
        <s v="CARTCRD025017CADENASNUTRESA" u="1"/>
        <s v="CALICRD001420TRADICIONALPROMOTORES" u="1"/>
        <s v="MEDECRD008623CADENASBPO" u="1"/>
        <s v="PERECRD023138CADENASNUTRESA" u="1"/>
        <s v="BARRCRD023570CADENASNUTRESA" u="1"/>
        <s v="BUCACRD024842CADENASBPO" u="1"/>
        <s v="CARTCRD024685AUTOSERVICIONUTRESA" u="1"/>
        <s v="BGTACRD022244AUTOSERVICIONUTRESA" u="1"/>
        <s v="PEREACT000418AUTOSERVICIONUTRESA" u="1"/>
        <s v="MEDECRD023530AUTOSERVICIONUTRESA" u="1"/>
        <s v="BGTACRD017899AUTOSERVICIOALTILLANO" u="1"/>
        <s v="MEDEACT000514AUTOSERVICIODESARROLLADORES" u="1"/>
        <s v="MEDECRD022868TRADICIONALNUTRESA" u="1"/>
        <s v="CALICRD022173TRADICIONALPROMOTORES" u="1"/>
        <s v="BGTACRD020181CADENASBPO" u="1"/>
        <s v="PERECRD005001CADENASBPO" u="1"/>
        <s v="MEDECRD023658AUTOSERVICIONUTRESA" u="1"/>
        <s v="PEREACT000505AUTOSERVICIODESARROLLADORES" u="1"/>
        <s v="BGTACRD023687CADENASNUTRESA" u="1"/>
        <s v="BARRCRD019365CADENASBPO" u="1"/>
        <s v="BGTACRD024437CADENASBPO" u="1"/>
        <s v="BGTACRD003974CADENASNUTRESA" u="1"/>
        <s v="IBA1CRD024956AUTOSERVICIONUTRESA" u="1"/>
        <s v="BGTACRD024637AUTOSERVICIOALTILLANO" u="1"/>
        <s v="MEDECRD021681CADENASBPO" u="1"/>
        <s v="PERECRD024850CADENASNUTRESA" u="1"/>
        <s v="BARRCRD024124AUTOSERVICIONUTRESA" u="1"/>
        <s v="BGTACRD023584AUTOSERVICIONUTRESA" u="1"/>
        <s v="BUCACRD019463AUTOSERVICIONUTRESA" u="1"/>
        <s v="BGTACRD019268CADENASBPO" u="1"/>
        <s v="BUCACRD024796AUTOSERVICIOBPO" u="1"/>
        <s v="MEDECRD024970AUTOSERVICIONUTRESA" u="1"/>
        <s v="MEDECRD024884AUTOSERVICIONUTRESA" u="1"/>
        <s v="VILACRD017758AUTOSERVICIONUTRESA" u="1"/>
        <s v="BARRCRD024860AUTOSERVICIOBPO" u="1"/>
        <s v="BGTACRD019868CADENASBPO" u="1"/>
        <s v="BGTACRD010373AUTOSERVICIOBPO" u="1"/>
        <s v="IBA1CRD022322AUTOSERVICIOBPO" u="1"/>
        <s v="BUCAACT000096AUTOSERVICIONUTRESA" u="1"/>
        <s v="PERECRD021015TRADICIONALNUTRESA" u="1"/>
        <s v="BUCAACT000035TRADICIONALNUTRESA" u="1"/>
        <s v="PERECRD023241CADENASBPO" u="1"/>
        <s v="MEDECRD021724TRADICIONALNUTRESA" u="1"/>
        <s v="BUCAACT000496AUTOSERVICIONUTRESA" u="1"/>
        <s v="BGTACRD023290AUTOSERVICIOALTILLANO" u="1"/>
        <s v="MEDEACT000423AUTOSERVICIONUTRESA" u="1"/>
        <s v="BUCACRD014118CADENASBPO" u="1"/>
        <s v="PEREACT000300AUTOSERVICIONUTRESA" u="1"/>
        <s v="CALICRD023138AUTOSERVICIOBPO" u="1"/>
        <s v="MEDECRD022278TRADICIONALNUTRESA" u="1"/>
        <s v="CALICRD023585AUTOSERVICIONUTRESA" u="1"/>
        <s v="MEDECRD023240AUTOSERVICIONUTRESA" u="1"/>
        <s v="PERECRD013990CADENASBPO" u="1"/>
        <s v="IBA1CRD021163CADENASBPO" u="1"/>
        <s v="MEDECRD022914AUTOSERVICIONUTRESA" u="1"/>
        <s v="IBA1CRD018193TRADICIONALNUTRESA" u="1"/>
        <s v="CALICRD019555CADENASBPO" u="1"/>
        <s v="MEDECRD023254AUTOSERVICIONUTRESA" u="1"/>
        <s v="BARRACT000227TRADICIONALNUTRESA" u="1"/>
        <s v="MEDECRD022864TRADICIONALNUTRESA" u="1"/>
        <s v="MEDECRD023268AUTOSERVICIONUTRESA" u="1"/>
        <s v="CALICRD020861CADENASNUTRESA" u="1"/>
        <s v="BUCACRD019262CADENASNUTRESA" u="1"/>
        <s v="CARTCRD024648TRADICIONALNUTRESA" u="1"/>
        <s v="MEDECRD019238CADENASBPO" u="1"/>
        <s v="PERECRD008638CADENASBPO" u="1"/>
        <s v="CALICRD024700AUTOSERVICIONUTRESA" u="1"/>
        <s v="MEDECRD020865CADENASBPO" u="1"/>
        <s v="CALICRD024528AUTOSERVICIONUTRESA" u="1"/>
        <s v="BARRCRD024844CADENASBPO" u="1"/>
        <s v="BUCACRD022300TRADICIONALPROMOTORES" u="1"/>
        <s v="MEDECRD020241AUTOSERVICIONUTRESA" u="1"/>
        <s v="MEDECRD019638CADENASBPO" u="1"/>
        <s v="CARTCRD020909TRADICIONALNUTRESA" u="1"/>
        <s v="MEDECRD024997CADENASNUTRESA" u="1"/>
        <s v="BGTACRD019364CADENASBPO" u="1"/>
        <s v="PERECRD019529CADENASBPO" u="1"/>
        <s v="MEDECRD024694AUTOSERVICIONUTRESA" u="1"/>
        <s v="VILACRD016978TRADICIONALNUTRESA" u="1"/>
        <s v="BGTACRD024847CADENASBPO" u="1"/>
        <s v="PERECRD025017CADENASNUTRESA" u="1"/>
        <s v="MEDECRD024980AUTOSERVICIONUTRESA" u="1"/>
        <s v="CALICRD022430CADENASNUTRESA" u="1"/>
        <s v="CARTCRD008430CADENASBPO" u="1"/>
        <s v="CARTACT000434AUTOSERVICIONUTRESA" u="1"/>
        <s v="CARTCRD016566TRADICIONALNUTRESA" u="1"/>
        <s v="BARRCRD019018AUTOSERVICIOBPO" u="1"/>
        <s v="BGTACRD024637AUTOSERVICIONUTRESA" u="1"/>
        <s v="MEDECRD022024AUTOSERVICIONUTRESA" u="1"/>
        <s v="PERECRD012588CADENASBPO" u="1"/>
        <s v="BARRCRD013163CADENASBPO" u="1"/>
        <s v="CALICRD023808CADENASBPO" u="1"/>
        <s v="BUCACRD016974AUTOSERVICIONUTRESA" u="1"/>
        <s v="MEDECRD023167CADENASNUTRESA" u="1"/>
        <s v="MEDECRD022088TRADICIONALNUTRESA" u="1"/>
        <s v="MEDECRD020061CADENASBPO" u="1"/>
        <s v="MEDECRD023250AUTOSERVICIONUTRESA" u="1"/>
        <s v="MEDECRD020361CADENASBPO" u="1"/>
        <s v="BGTACRD023317CADENASBPO" u="1"/>
        <s v="MEDECRD022860TRADICIONALNUTRESA" u="1"/>
        <s v="BARRCRD023690CADENASNUTRESA" u="1"/>
        <s v="BGTACRD002204AUTOSERVICIOBPO" u="1"/>
        <s v="BARRACT000498AUTOSERVICIONUTRESA" u="1"/>
        <s v="MEDECRD022874TRADICIONALNUTRESA" u="1"/>
        <s v="CARTCRD024644TRADICIONALNUTRESA" u="1"/>
        <s v="MEDECRD023278AUTOSERVICIONUTRESA" u="1"/>
        <s v="CALICRD000122AUTOSERVICIOBPO" u="1"/>
        <s v="BUCACRD021163CADENASBPO" u="1"/>
        <s v="CARTCRD018935TRADICIONALNUTRESA" u="1"/>
        <s v="MEDECRD023564AUTOSERVICIONUTRESA" u="1"/>
        <s v="BGTACRD024057AUTOSERVICIOALTILLANO" u="1"/>
        <s v="MEDECRD023317AUTOSERVICIOBPO" u="1"/>
        <s v="CARTCRD024658TRADICIONALNUTRESA" u="1"/>
        <s v="MEDECRD023503TRADICIONALNUTRESA" u="1"/>
        <s v="CARTCRD021787TRADICIONALBPO" u="1"/>
        <s v="CALICRD022293TRADICIONALPROMOTORES" u="1"/>
        <s v="CALICRD024810AUTOSERVICIONUTRESA" u="1"/>
        <s v="BARRCRD020715CADENASBPO" u="1"/>
        <s v="MEDECRD011367CADENASBPO" u="1"/>
        <s v="PERECRD024870CADENASNUTRESA" u="1"/>
        <s v="BGTACRD024843CADENASBPO" u="1"/>
        <s v="MEDECRD020854CADENASNUTRESA" u="1"/>
        <s v="MEDECRD024443AUTOSERVICIOBPO" u="1"/>
        <s v="BARRCRD024380AUTOSERVICIOBPO" u="1"/>
        <s v="MEDECRD006670CADENASBPO" u="1"/>
        <s v="MEDECRD024843AUTOSERVICIOBPO" u="1"/>
        <s v="BARRCRD024458AUTOSERVICIONUTRESA" u="1"/>
        <s v="BGTACRD021458CADENASBPO" u="1"/>
        <s v="BGTACRD000245TRADICIONALNUTRESA" u="1"/>
        <s v="PERECRD021096AUTOSERVICIONUTRESA" u="1"/>
        <s v="IBA1CRD023327TRADICIONALBPO" u="1"/>
        <s v="IBA1ACT000429AUTOSERVICIONUTRESA" u="1"/>
        <s v="BGTAACT000393CADENASBPO" u="1"/>
        <s v="BUCACRD016684AUTOSERVICIONUTRESA" u="1"/>
        <s v="BGTACRD022670CADENASBPO" u="1"/>
        <s v="CALICRD022765AUTOSERVICIONUTRESA" u="1"/>
        <s v="BGTACRD024997AUTOSERVICIOBPO" u="1"/>
        <s v="BARRCRD023138CADENASBPO" u="1"/>
        <s v="VILACRD025009TRADICIONALNUTRESA" u="1"/>
        <s v="MEDECRD022584AUTOSERVICIOBPO" u="1"/>
        <s v="IBA1CRD023482TRADICIONALNUTRESA" u="1"/>
        <s v="CALICRD024844CADENASBPO" u="1"/>
        <s v="CALICRD018614CADENASNUTRESA" u="1"/>
        <s v="CARTCRD024268AUTOSERVICIOBPO" u="1"/>
        <s v="PERECRD008430CADENASBPO" u="1"/>
        <s v="PEREACT000434AUTOSERVICIONUTRESA" u="1"/>
        <s v="MEDECRD022870TRADICIONALNUTRESA" u="1"/>
        <s v="CARTCRD020501AUTOSERVICIOBPO" u="1"/>
        <s v="MEDECRD023274AUTOSERVICIONUTRESA" u="1"/>
        <s v="CALICRD024537CADENASNUTRESA" u="1"/>
        <s v="CALICRD018325AUTOSERVICIONUTRESA" u="1"/>
        <s v="CARTCRD024654TRADICIONALNUTRESA" u="1"/>
        <s v="CALICRD024470AUTOSERVICIOBPO" u="1"/>
        <s v="BUCACRD020979TRADICIONALPROMOTORES" u="1"/>
        <s v="BGTAACT000497AUTOSERVICIONUTRESA" u="1"/>
        <s v="IBA1CRD024889CADENASNUTRESA" u="1"/>
        <s v="CARTCRD021041TRADICIONALNUTRESA" u="1"/>
        <s v="BGTAACT000436AUTOSERVICIOBPO" u="1"/>
        <s v="IBA1CRD025001AUTOSERVICIONUTRESA" u="1"/>
        <s v="BGTACRD014119CADENASBPO" u="1"/>
        <s v="BGTACRD000115CADENASBPO" u="1"/>
        <s v="MEDECRD023688AUTOSERVICIONUTRESA" u="1"/>
        <s v="VILAACT000466AUTOSERVICIONUTRESA" u="1"/>
        <s v="CALICRD024734AUTOSERVICIONUTRESA" u="1"/>
        <s v="CALICRD024920AUTOSERVICIONUTRESA" u="1"/>
        <s v="BGTACRD020190CADENASNUTRESA" u="1"/>
        <s v="BGTANUTDUR000007AUTOSERVICIOALTILLANO" u="1"/>
        <s v="MEDECRD000115AUTOSERVICIOBPO" u="1"/>
        <s v="PERECRD003605TRADICIONALNUTRESA" u="1"/>
        <s v="BUCACRD021973CADENASBPO" u="1"/>
        <s v="BGTACRD025009TRADICIONALALTILLANO" u="1"/>
        <s v="BGTACRD024967AUTOSERVICIOALTILLANO" u="1"/>
        <s v="MEDECRD020861AUTOSERVICIONUTRESA" u="1"/>
        <s v="MEDECRD021040TRADICIONALNUTRESA" u="1"/>
        <s v="BGTACRD024946CADENASNUTRESA" u="1"/>
        <s v="PERECRD024844AUTOSERVICIOBPO" u="1"/>
        <s v="IBA1ACT000225AUTOSERVICIONUTRESA" u="1"/>
        <s v="BGTACRD021754CADENASBPO" u="1"/>
        <s v="MEDECRD019998AUTOSERVICIOBPO" u="1"/>
        <s v="CALICRD023690CADENASNUTRESA" u="1"/>
        <s v="BARRCRD019638AUTOSERVICIOBPO" u="1"/>
        <s v="BUCACRD014120CADENASBPO" u="1"/>
        <s v="BUCAACT000501AUTOSERVICIONUTRESA" u="1"/>
        <s v="IBA1CRD018076CADENASNUTRESA" u="1"/>
        <s v="CARTCRD023685AUTOSERVICIONUTRESA" u="1"/>
        <s v="CARTCRD019555CADENASBPO" u="1"/>
        <s v="BUCAACT000551TRADICIONALNUTRESA" u="1"/>
        <s v="CALICRD020501CADENASBPO" u="1"/>
        <s v="MEDECRD020181CADENASBPO" u="1"/>
        <s v="MEDECRD022744AUTOSERVICIONUTRESA" u="1"/>
        <s v="BUCAACT000502AUTOSERVICIODESARROLLADORES" u="1"/>
        <s v="BGTACRD013990TRADICIONALPROMOTORES" u="1"/>
        <s v="BARRCRD023227CADENASNUTRESA" u="1"/>
        <s v="BGTACRD017107CADENASNUTRESA" u="1"/>
        <s v="CARTCRD024650TRADICIONALNUTRESA" u="1"/>
        <s v="BUCAACT000516AUTOSERVICIODESARROLLADORES" u="1"/>
        <s v="PERECRD022585AUTOSERVICIOBPO" u="1"/>
        <s v="MEDECRD023570AUTOSERVICIONUTRESA" u="1"/>
        <s v="CALICRD018285TRADICIONALNUTRESA" u="1"/>
        <s v="MEDECRD023584AUTOSERVICIONUTRESA" u="1"/>
        <s v="VILAACT000176AUTOSERVICIONUTRESA" u="1"/>
        <s v="IBA1CRD023709TRADICIONALNUTRESA" u="1"/>
        <s v="CALICRD008623AUTOSERVICIOBPO" u="1"/>
        <s v="VILAACT000462AUTOSERVICIONUTRESA" u="1"/>
        <s v="BARRCRD009243CADENASBPO" u="1"/>
        <s v="BARRCRD025003CADENASBPO" u="1"/>
        <s v="PERECRD001420TRADICIONALPROMOTORES" u="1"/>
        <s v="BARRCRD024788CADENASBPO" u="1"/>
        <s v="BUCACRD025001AUTOSERVICIONUTRESA" u="1"/>
        <s v="BUCACRD010321TRADICIONALNUTRESA" u="1"/>
        <s v="BGTACRD011220TRADICIONALPROMOTORES" u="1"/>
        <s v="BARRCRD024567CADENASNUTRESA" u="1"/>
        <s v="BGTACRD025005TRADICIONALALTILLANO" u="1"/>
        <s v="MEDECRD019868CADENASBPO" u="1"/>
        <s v="MEDECRD024527AUTOSERVICIONUTRESA" u="1"/>
        <s v="BGTACRD021350CADENASBPO" u="1"/>
        <s v="BARRCRD024859TRADICIONALBPO" u="1"/>
        <s v="PERECRD021291CADENASNUTRESA" u="1"/>
        <s v="BARRCRD020361AUTOSERVICIOBPO" u="1"/>
        <s v="PERECRD022173TRADICIONALPROMOTORES" u="1"/>
        <s v="CALICRD021681AUTOSERVICIOBPO" u="1"/>
        <s v="MEDECRD019458AUTOSERVICIONUTRESA" u="1"/>
        <s v="MEDECRD025006TRADICIONALNUTRESA" u="1"/>
        <s v="VILACRD001420CADENASBPO" u="1"/>
        <s v="IBA1ACT000421AUTOSERVICIONUTRESA" u="1"/>
        <s v="PERECRD020715AUTOSERVICIOBPO" u="1"/>
        <s v="PERECRD021041TRADICIONALNUTRESA" u="1"/>
        <s v="CALICRD014116CADENASBPO" u="1"/>
        <s v="CARTCRD019365CADENASBPO" u="1"/>
        <s v="BARRCRD022718CADENASBPO" u="1"/>
        <s v="MEDEACT000177AUTOSERVICIONUTRESA" u="1"/>
        <s v="MEDEACT000277AUTOSERVICIONUTRESA" u="1"/>
        <s v="CARTCRD021235CADENASBPO" u="1"/>
        <s v="MEDEACT000377AUTOSERVICIONUTRESA" u="1"/>
        <s v="BARRCRD006670AUTOSERVICIOBPO" u="1"/>
        <s v="BGTACRD022807CADENASBPO" u="1"/>
        <s v="MEDECRD023094AUTOSERVICIONUTRESA" u="1"/>
        <s v="MEDECRD023280AUTOSERVICIONUTRESA" u="1"/>
        <s v="CALICRD009112CADENASNUTRESA" u="1"/>
        <s v="CALICRD013677AUTOSERVICIONUTRESA" u="1"/>
        <s v="BUCACRD020971TRADICIONALPROMOTORES" u="1"/>
        <s v="CARTCRD024860AUTOSERVICIOBPO" u="1"/>
        <s v="CARTCRD009243AUTOSERVICIOBPO" u="1"/>
        <s v="BGTACRD024073AUTOSERVICIOALTILLANO" u="1"/>
        <s v="BUCACRD020985TRADICIONALPROMOTORES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CADENAS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00411226849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600932870373" createdVersion="3" refreshedVersion="6" minRefreshableVersion="3" recordCount="387" xr:uid="{EDDB7452-BD62-4E8A-9C58-2ABB630F5C54}">
  <cacheSource type="worksheet">
    <worksheetSource ref="A1:AG388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9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</sharedItems>
    </cacheField>
    <cacheField name="DIA CERO PLUS" numFmtId="14">
      <sharedItems containsDate="1" containsBlank="1" containsMixedTypes="1" minDate="2021-11-01T00:00:00" maxDate="2021-12-02T00:00:00" count="8">
        <d v="2021-11-17T00:00:00"/>
        <d v="2021-12-01T00:00:00"/>
        <m/>
        <d v="2021-11-01T00:00:00"/>
        <d v="2021-11-15T00:00:00"/>
        <d v="2021-11-25T00:00:00"/>
        <s v="PENDIENTE"/>
        <d v="2021-11-16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4"/>
    </cacheField>
    <cacheField name="alto" numFmtId="0">
      <sharedItems containsSemiMixedTypes="0" containsString="0" containsNumber="1" minValue="0.1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6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x="5"/>
        <item x="13"/>
        <item x="7"/>
        <item x="8"/>
        <item x="6"/>
        <item x="9"/>
        <item x="10"/>
        <item x="11"/>
        <item x="0"/>
        <item x="1"/>
        <item x="12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x="3"/>
        <item x="1"/>
        <item x="4"/>
        <item x="5"/>
        <item x="0"/>
        <item x="7"/>
        <item x="2"/>
        <item x="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4"/>
      <x v="8"/>
      <x/>
    </i>
    <i>
      <x v="1"/>
      <x v="1"/>
      <x v="9"/>
      <x/>
    </i>
    <i>
      <x v="2"/>
      <x v="6"/>
      <x v="11"/>
      <x/>
    </i>
    <i r="2">
      <x v="12"/>
      <x/>
    </i>
    <i r="3">
      <x v="1"/>
    </i>
    <i>
      <x v="3"/>
      <x v="6"/>
      <x v="13"/>
      <x v="1"/>
    </i>
    <i>
      <x v="4"/>
      <x v="6"/>
      <x/>
      <x v="1"/>
    </i>
    <i>
      <x v="5"/>
      <x v="6"/>
      <x v="4"/>
      <x/>
    </i>
    <i>
      <x v="6"/>
      <x v="1"/>
      <x v="2"/>
      <x/>
    </i>
    <i>
      <x v="7"/>
      <x/>
      <x v="2"/>
      <x v="1"/>
    </i>
    <i>
      <x v="8"/>
      <x v="6"/>
      <x/>
      <x v="1"/>
    </i>
    <i>
      <x v="9"/>
      <x v="6"/>
      <x v="3"/>
      <x/>
    </i>
    <i>
      <x v="10"/>
      <x v="2"/>
      <x v="5"/>
      <x v="1"/>
    </i>
    <i r="2">
      <x v="6"/>
      <x v="1"/>
    </i>
    <i r="2">
      <x v="7"/>
      <x v="1"/>
    </i>
    <i r="2">
      <x v="8"/>
      <x v="1"/>
    </i>
    <i>
      <x v="11"/>
      <x v="1"/>
      <x v="4"/>
      <x v="1"/>
    </i>
    <i>
      <x v="12"/>
      <x v="3"/>
      <x v="4"/>
      <x/>
    </i>
    <i r="3">
      <x v="1"/>
    </i>
    <i>
      <x v="13"/>
      <x v="7"/>
      <x/>
      <x/>
    </i>
    <i r="2">
      <x v="2"/>
      <x/>
    </i>
    <i>
      <x v="14"/>
      <x v="2"/>
      <x v="6"/>
      <x v="1"/>
    </i>
    <i>
      <x v="15"/>
      <x v="5"/>
      <x v="4"/>
      <x/>
    </i>
    <i>
      <x v="16"/>
      <x v="4"/>
      <x v="10"/>
      <x v="1"/>
    </i>
    <i>
      <x v="17"/>
      <x/>
      <x v="1"/>
      <x v="1"/>
    </i>
    <i>
      <x v="18"/>
      <x/>
      <x v="2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9">
      <pivotArea type="all" dataOnly="0" outline="0" fieldPosition="0"/>
    </format>
    <format dxfId="278">
      <pivotArea outline="0" fieldPosition="0">
        <references count="1">
          <reference field="4294967294" count="1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7" count="0"/>
        </references>
      </pivotArea>
    </format>
    <format dxfId="269">
      <pivotArea field="3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dataOnly="0" labelOnly="1" outline="0" fieldPosition="0">
        <references count="1">
          <reference field="7" count="0"/>
        </references>
      </pivotArea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9">
      <pivotArea type="all" dataOnly="0" outline="0" fieldPosition="0"/>
    </format>
    <format dxfId="298">
      <pivotArea outline="0" fieldPosition="0">
        <references count="1">
          <reference field="4294967294" count="1">
            <x v="2"/>
          </reference>
        </references>
      </pivotArea>
    </format>
    <format dxfId="297">
      <pivotArea field="9" type="button" dataOnly="0" labelOnly="1" outline="0" axis="axisPage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field="9" type="button" dataOnly="0" labelOnly="1" outline="0" axis="axisPage" fieldPosition="0"/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field="9" type="button" dataOnly="0" labelOnly="1" outline="0" axis="axisPage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outline="0" collapsedLevelsAreSubtotals="1" fieldPosition="0"/>
    </format>
    <format dxfId="28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84">
      <pivotArea field="6" type="button" dataOnly="0" labelOnly="1" outline="0" axis="axisPage" fieldPosition="1"/>
    </format>
    <format dxfId="283">
      <pivotArea field="6" type="button" dataOnly="0" labelOnly="1" outline="0" axis="axisPage" fieldPosition="1"/>
    </format>
    <format dxfId="282">
      <pivotArea field="6" type="button" dataOnly="0" labelOnly="1" outline="0" axis="axisPage" fieldPosition="1"/>
    </format>
    <format dxfId="281">
      <pivotArea dataOnly="0" labelOnly="1" outline="0" fieldPosition="0">
        <references count="1">
          <reference field="7" count="1">
            <x v="0"/>
          </reference>
        </references>
      </pivotArea>
    </format>
    <format dxfId="2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9">
      <pivotArea type="all" dataOnly="0" outline="0" fieldPosition="0"/>
    </format>
    <format dxfId="318">
      <pivotArea outline="0" fieldPosition="0">
        <references count="1">
          <reference field="4294967294" count="1"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outline="0" collapsedLevelsAreSubtotals="1" fieldPosition="0"/>
    </format>
    <format dxfId="3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field="6" type="button" dataOnly="0" labelOnly="1" outline="0" axis="axisPage" fieldPosition="1"/>
    </format>
    <format dxfId="301">
      <pivotArea dataOnly="0" labelOnly="1" outline="0" fieldPosition="0">
        <references count="1">
          <reference field="7" count="0"/>
        </references>
      </pivotArea>
    </format>
    <format dxfId="3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9">
      <pivotArea type="all" dataOnly="0" outline="0" fieldPosition="0"/>
    </format>
    <format dxfId="338">
      <pivotArea outline="0" fieldPosition="0">
        <references count="1">
          <reference field="4294967294" count="1"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field="9" type="button" dataOnly="0" labelOnly="1" outline="0" axis="axisPage" fieldPosition="0"/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field="9" type="button" dataOnly="0" labelOnly="1" outline="0" axis="axisPage" fieldPosition="0"/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outline="0" fieldPosition="0">
        <references count="1">
          <reference field="4294967294" count="1">
            <x v="0"/>
          </reference>
        </references>
      </pivotArea>
    </format>
    <format dxfId="3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outline="0" collapsedLevelsAreSubtotals="1" fieldPosition="0"/>
    </format>
    <format dxfId="3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field="6" type="button" dataOnly="0" labelOnly="1" outline="0" axis="axisPage" fieldPosition="1"/>
    </format>
    <format dxfId="321">
      <pivotArea field="0" type="button" dataOnly="0" labelOnly="1" outline="0" axis="axisRow" fieldPosition="0"/>
    </format>
    <format dxfId="3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field="3" type="button" dataOnly="0" labelOnly="1" outline="0" axis="axisRow" fieldPosition="0"/>
    </format>
    <format dxfId="341">
      <pivotArea field="2" type="button" dataOnly="0" labelOnly="1" outline="0" axis="axisRow" fieldPosition="1"/>
    </format>
    <format dxfId="34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7">
      <pivotArea field="6" type="button" dataOnly="0" labelOnly="1" outline="0" axis="axisPage" fieldPosition="0"/>
    </format>
    <format dxfId="186">
      <pivotArea dataOnly="0" labelOnly="1" fieldPosition="0">
        <references count="1">
          <reference field="9" count="0"/>
        </references>
      </pivotArea>
    </format>
    <format dxfId="18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7">
      <pivotArea type="all" dataOnly="0" outline="0" fieldPosition="0"/>
    </format>
    <format dxfId="226">
      <pivotArea outline="0" fieldPosition="0">
        <references count="1">
          <reference field="4294967294" count="1">
            <x v="2"/>
          </reference>
        </references>
      </pivotArea>
    </format>
    <format dxfId="225">
      <pivotArea field="9" type="button" dataOnly="0" labelOnly="1" outline="0" axis="axisPage" fieldPosition="0"/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field="9" type="button" dataOnly="0" labelOnly="1" outline="0" axis="axisPage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fieldPosition="0">
        <references count="1">
          <reference field="4294967294" count="1">
            <x v="0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collapsedLevelsAreSubtotals="1" fieldPosition="0"/>
    </format>
    <format dxfId="2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0" type="button" dataOnly="0" labelOnly="1" outline="0" axis="axisRow" fieldPosition="0"/>
    </format>
    <format dxfId="208">
      <pivotArea field="2" type="button" dataOnly="0" labelOnly="1" outline="0" axis="axisRow" fieldPosition="1"/>
    </format>
    <format dxfId="207">
      <pivotArea field="3" type="button" dataOnly="0" labelOnly="1" outline="0" axis="axisRow" fieldPosition="2"/>
    </format>
    <format dxfId="206">
      <pivotArea field="14" type="button" dataOnly="0" labelOnly="1" outline="0" axis="axisRow" fieldPosition="4"/>
    </format>
    <format dxfId="205">
      <pivotArea field="14" type="button" dataOnly="0" labelOnly="1" outline="0" axis="axisRow" fieldPosition="4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7" type="button" dataOnly="0" labelOnly="1" outline="0" axis="axisRow" fieldPosition="3"/>
    </format>
    <format dxfId="20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6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5">
      <pivotArea type="all" dataOnly="0" outline="0" fieldPosition="0"/>
    </format>
    <format dxfId="24">
      <pivotArea outline="0" fieldPosition="0">
        <references count="1">
          <reference field="4294967294" count="1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dataOnly="0" labelOnly="1" outline="0" fieldPosition="0">
        <references count="1">
          <reference field="7" count="0"/>
        </references>
      </pivotArea>
    </format>
    <format dxfId="15">
      <pivotArea field="3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dataOnly="0" labelOnly="1" outline="0" fieldPosition="0">
        <references count="1">
          <reference field="7" count="0"/>
        </references>
      </pivotArea>
    </format>
    <format dxfId="1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4">
      <pivotArea type="all" dataOnly="0" outline="0" fieldPosition="0"/>
    </format>
    <format dxfId="43">
      <pivotArea outline="0" fieldPosition="0">
        <references count="1">
          <reference field="4294967294" count="1"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Page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9" type="button" dataOnly="0" labelOnly="1" outline="0" axis="axisPage" fieldPosition="0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outline="0" collapsedLevelsAreSubtotals="1" fieldPosition="0"/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">
      <pivotArea field="6" type="button" dataOnly="0" labelOnly="1" outline="0" axis="axisPage" fieldPosition="1"/>
    </format>
    <format dxfId="28">
      <pivotArea field="6" type="button" dataOnly="0" labelOnly="1" outline="0" axis="axisPage" fieldPosition="1"/>
    </format>
    <format dxfId="27">
      <pivotArea field="6" type="button" dataOnly="0" labelOnly="1" outline="0" axis="axisPage" fieldPosition="1"/>
    </format>
    <format dxfId="2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collapsedLevelsAreSubtotals="1" fieldPosition="0"/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6" type="button" dataOnly="0" labelOnly="1" outline="0" axis="axisPage" fieldPosition="1"/>
    </format>
    <format dxfId="46">
      <pivotArea field="0" type="button" dataOnly="0" labelOnly="1" outline="0" axis="axisRow" fieldPosition="0"/>
    </format>
    <format dxfId="4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3">
      <pivotArea type="all" dataOnly="0" outline="0" fieldPosition="0"/>
    </format>
    <format dxfId="82">
      <pivotArea outline="0" fieldPosition="0">
        <references count="1">
          <reference field="4294967294" count="1"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Page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collapsedLevelsAreSubtotals="1" fieldPosition="0"/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6" type="button" dataOnly="0" labelOnly="1" outline="0" axis="axisPage" fieldPosition="1"/>
    </format>
    <format dxfId="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collapsedLevelsAreSubtotals="1" fieldPosition="0"/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6" type="button" dataOnly="0" labelOnly="1" outline="0" axis="axisPage" fieldPosition="1"/>
    </format>
    <format dxfId="85">
      <pivotArea dataOnly="0" labelOnly="1" outline="0" fieldPosition="0">
        <references count="1">
          <reference field="7" count="1">
            <x v="0"/>
          </reference>
        </references>
      </pivotArea>
    </format>
    <format dxfId="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Row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06">
      <pivotArea field="6" type="button" dataOnly="0" labelOnly="1" outline="0" axis="axisPage" fieldPosition="0"/>
    </format>
    <format dxfId="105">
      <pivotArea dataOnly="0" labelOnly="1" fieldPosition="0">
        <references count="1">
          <reference field="9" count="0"/>
        </references>
      </pivotArea>
    </format>
    <format dxfId="1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3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1">
      <pivotArea type="all" dataOnly="0" outline="0" fieldPosition="0"/>
    </format>
    <format dxfId="150">
      <pivotArea outline="0" fieldPosition="0">
        <references count="1">
          <reference field="4294967294" count="1">
            <x v="2"/>
          </reference>
        </references>
      </pivotArea>
    </format>
    <format dxfId="149">
      <pivotArea field="9" type="button" dataOnly="0" labelOnly="1" outline="0" axis="axisPage" fieldPosition="0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9" type="button" dataOnly="0" labelOnly="1" outline="0" axis="axisPage" fieldPosition="0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9" type="button" dataOnly="0" labelOnly="1" outline="0" axis="axisPage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fieldPosition="0">
        <references count="1">
          <reference field="4294967294" count="1">
            <x v="0"/>
          </reference>
        </references>
      </pivotArea>
    </format>
    <format dxfId="1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outline="0" collapsedLevelsAreSubtotals="1" fieldPosition="0"/>
    </format>
    <format dxfId="1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6">
      <pivotArea field="6" type="button" dataOnly="0" labelOnly="1" outline="0" axis="axisPage" fieldPosition="1"/>
    </format>
    <format dxfId="135">
      <pivotArea field="6" type="button" dataOnly="0" labelOnly="1" outline="0" axis="axisPage" fieldPosition="1"/>
    </format>
    <format dxfId="134">
      <pivotArea field="6" type="button" dataOnly="0" labelOnly="1" outline="0" axis="axisPage" fieldPosition="1"/>
    </format>
    <format dxfId="133">
      <pivotArea dataOnly="0" labelOnly="1" outline="0" fieldPosition="0">
        <references count="1">
          <reference field="7" count="0"/>
        </references>
      </pivotArea>
    </format>
    <format dxfId="13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6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field="2" type="button" dataOnly="0" labelOnly="1" outline="0" axis="axisRow" fieldPosition="1"/>
    </format>
    <format dxfId="158">
      <pivotArea field="3" type="button" dataOnly="0" labelOnly="1" outline="0" axis="axisRow" fieldPosition="2"/>
    </format>
    <format dxfId="157">
      <pivotArea field="14" type="button" dataOnly="0" labelOnly="1" outline="0" axis="axisRow" fieldPosition="4"/>
    </format>
    <format dxfId="156">
      <pivotArea field="14" type="button" dataOnly="0" labelOnly="1" outline="0" axis="axisRow" fieldPosition="4"/>
    </format>
    <format dxfId="155">
      <pivotArea field="2" type="button" dataOnly="0" labelOnly="1" outline="0" axis="axisRow" fieldPosition="1"/>
    </format>
    <format dxfId="154">
      <pivotArea field="3" type="button" dataOnly="0" labelOnly="1" outline="0" axis="axisRow" fieldPosition="2"/>
    </format>
    <format dxfId="153">
      <pivotArea field="7" type="button" dataOnly="0" labelOnly="1" outline="0" axis="axisRow" fieldPosition="3"/>
    </format>
    <format dxfId="152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6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6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905"/>
        <item m="1" x="41"/>
        <item m="1" x="851"/>
        <item m="1" x="1970"/>
        <item m="1" x="1401"/>
        <item m="1" x="858"/>
        <item m="1" x="915"/>
        <item m="1" x="397"/>
        <item m="1" x="663"/>
        <item m="1" x="817"/>
        <item m="1" x="529"/>
        <item m="1" x="2146"/>
        <item m="1" x="170"/>
        <item m="1" x="1535"/>
        <item m="1" x="1730"/>
        <item m="1" x="1441"/>
        <item m="1" x="1556"/>
        <item m="1" x="1746"/>
        <item m="1" x="1195"/>
        <item m="1" x="1294"/>
        <item m="1" x="46"/>
        <item m="1" x="1477"/>
        <item m="1" x="1652"/>
        <item m="1" x="2116"/>
        <item m="1" x="769"/>
        <item m="1" x="1500"/>
        <item m="1" x="1682"/>
        <item m="1" x="1436"/>
        <item m="1" x="2002"/>
        <item m="1" x="1470"/>
        <item m="1" x="1637"/>
        <item m="1" x="914"/>
        <item m="1" x="1019"/>
        <item m="1" x="1420"/>
        <item m="1" x="726"/>
        <item m="1" x="198"/>
        <item m="1" x="1998"/>
        <item m="1" x="7"/>
        <item m="1" x="104"/>
        <item m="1" x="300"/>
        <item m="1" x="1931"/>
        <item m="1" x="609"/>
        <item m="1" x="1485"/>
        <item m="1" x="1667"/>
        <item m="1" x="1882"/>
        <item m="1" x="265"/>
        <item m="1" x="807"/>
        <item m="1" x="1272"/>
        <item m="1" x="2130"/>
        <item m="1" x="2029"/>
        <item m="1" x="107"/>
        <item m="1" x="301"/>
        <item m="1" x="789"/>
        <item m="1" x="978"/>
        <item m="1" x="366"/>
        <item m="1" x="67"/>
        <item m="1" x="420"/>
        <item m="1" x="1788"/>
        <item m="1" x="141"/>
        <item m="1" x="144"/>
        <item m="1" x="2141"/>
        <item m="1" x="2049"/>
        <item m="1" x="1247"/>
        <item m="1" x="1050"/>
        <item m="1" x="1412"/>
        <item m="1" x="560"/>
        <item m="1" x="1490"/>
        <item m="1" x="1102"/>
        <item m="1" x="2044"/>
        <item m="1" x="1073"/>
        <item m="1" x="1175"/>
        <item m="1" x="1258"/>
        <item m="1" x="1794"/>
        <item m="1" x="1434"/>
        <item m="1" x="322"/>
        <item m="1" x="281"/>
        <item m="1" x="449"/>
        <item m="1" x="918"/>
        <item m="1" x="513"/>
        <item m="1" x="2066"/>
        <item m="1" x="1707"/>
        <item m="1" x="1006"/>
        <item m="1" x="1712"/>
        <item m="1" x="1129"/>
        <item m="1" x="51"/>
        <item m="1" x="1109"/>
        <item m="1" x="585"/>
        <item m="1" x="461"/>
        <item m="1" x="1900"/>
        <item m="1" x="2072"/>
        <item m="1" x="394"/>
        <item m="1" x="120"/>
        <item m="1" x="180"/>
        <item m="1" x="365"/>
        <item m="1" x="29"/>
        <item m="1" x="2013"/>
        <item m="1" x="33"/>
        <item m="1" x="889"/>
        <item m="1" x="1082"/>
        <item m="1" x="1644"/>
        <item m="1" x="1844"/>
        <item m="1" x="1548"/>
        <item m="1" x="554"/>
        <item m="1" x="1230"/>
        <item m="1" x="763"/>
        <item m="1" x="736"/>
        <item m="1" x="904"/>
        <item m="1" x="885"/>
        <item m="1" x="1078"/>
        <item m="1" x="1081"/>
        <item m="1" x="1033"/>
        <item m="1" x="1256"/>
        <item m="1" x="522"/>
        <item m="1" x="682"/>
        <item m="1" x="767"/>
        <item m="1" x="987"/>
        <item m="1" x="939"/>
        <item m="1" x="1138"/>
        <item m="1" x="1429"/>
        <item m="1" x="1608"/>
        <item m="1" x="162"/>
        <item m="1" x="129"/>
        <item m="1" x="304"/>
        <item m="1" x="986"/>
        <item m="1" x="866"/>
        <item m="1" x="872"/>
        <item m="1" x="1899"/>
        <item m="1" x="2122"/>
        <item m="1" x="969"/>
        <item m="1" x="1179"/>
        <item m="1" x="729"/>
        <item m="1" x="899"/>
        <item m="1" x="1312"/>
        <item m="1" x="974"/>
        <item m="1" x="932"/>
        <item m="1" x="1127"/>
        <item m="1" x="2103"/>
        <item m="1" x="557"/>
        <item m="1" x="782"/>
        <item m="1" x="882"/>
        <item m="1" x="989"/>
        <item m="1" x="1800"/>
        <item m="1" x="252"/>
        <item m="1" x="563"/>
        <item m="1" x="1664"/>
        <item m="1" x="1574"/>
        <item m="1" x="1987"/>
        <item m="1" x="1416"/>
        <item m="1" x="1002"/>
        <item m="1" x="950"/>
        <item m="1" x="1159"/>
        <item m="1" x="1580"/>
        <item m="1" x="169"/>
        <item m="1" x="2077"/>
        <item m="1" x="1516"/>
        <item m="1" x="1669"/>
        <item m="1" x="1626"/>
        <item m="1" x="1816"/>
        <item m="1" x="119"/>
        <item m="1" x="1576"/>
        <item m="1" x="1772"/>
        <item m="1" x="1320"/>
        <item m="1" x="743"/>
        <item m="1" x="359"/>
        <item m="1" x="1114"/>
        <item m="1" x="667"/>
        <item m="1" x="325"/>
        <item m="1" x="519"/>
        <item m="1" x="2039"/>
        <item m="1" x="1530"/>
        <item m="1" x="1725"/>
        <item m="1" x="276"/>
        <item m="1" x="2089"/>
        <item m="1" x="842"/>
        <item m="1" x="1327"/>
        <item m="1" x="96"/>
        <item m="1" x="445"/>
        <item m="1" x="1228"/>
        <item m="1" x="1305"/>
        <item m="1" x="1486"/>
        <item m="1" x="1665"/>
        <item m="1" x="1266"/>
        <item m="1" x="511"/>
        <item m="1" x="801"/>
        <item m="1" x="466"/>
        <item m="1" x="194"/>
        <item m="1" x="1116"/>
        <item m="1" x="1861"/>
        <item m="1" x="1634"/>
        <item m="1" x="1584"/>
        <item m="1" x="1010"/>
        <item m="1" x="636"/>
        <item m="1" x="86"/>
        <item m="1" x="150"/>
        <item m="1" x="590"/>
        <item m="1" x="1238"/>
        <item m="1" x="1186"/>
        <item m="1" x="1857"/>
        <item m="1" x="714"/>
        <item m="1" x="186"/>
        <item m="1" x="1802"/>
        <item m="1" x="1873"/>
        <item m="1" x="1244"/>
        <item m="1" x="675"/>
        <item m="1" x="140"/>
        <item m="1" x="1745"/>
        <item m="1" x="1822"/>
        <item m="1" x="1194"/>
        <item m="1" x="1909"/>
        <item m="1" x="1342"/>
        <item m="1" x="754"/>
        <item m="1" x="718"/>
        <item m="1" x="1804"/>
        <item m="1" x="1956"/>
        <item m="1" x="1391"/>
        <item m="1" x="796"/>
        <item m="1" x="286"/>
        <item m="1" x="255"/>
        <item m="1" x="1126"/>
        <item m="1" x="850"/>
        <item m="1" x="1890"/>
        <item m="1" x="61"/>
        <item m="1" x="1824"/>
        <item m="1" x="1939"/>
        <item m="1" x="1367"/>
        <item m="1" x="958"/>
        <item m="1" x="1522"/>
        <item m="1" x="478"/>
        <item m="1" x="1004"/>
        <item m="1" x="2094"/>
        <item m="1" x="2102"/>
        <item m="1" x="2107"/>
        <item m="1" x="1208"/>
        <item m="1" x="1394"/>
        <item m="1" x="1907"/>
        <item m="1" x="1598"/>
        <item m="1" x="1675"/>
        <item m="1" x="1869"/>
        <item m="1" x="647"/>
        <item m="1" x="1335"/>
        <item m="1" x="69"/>
        <item m="1" x="443"/>
        <item m="1" x="947"/>
        <item m="1" x="1148"/>
        <item m="1" x="525"/>
        <item m="1" x="378"/>
        <item m="1" x="89"/>
        <item m="1" x="272"/>
        <item m="1" x="250"/>
        <item m="1" x="1123"/>
        <item m="1" x="400"/>
        <item m="1" x="584"/>
        <item m="1" x="305"/>
        <item m="1" x="496"/>
        <item m="1" x="739"/>
        <item m="1" x="2121"/>
        <item m="1" x="1805"/>
        <item m="1" x="1449"/>
        <item m="1" x="1415"/>
        <item m="1" x="331"/>
        <item m="1" x="526"/>
        <item m="1" x="85"/>
        <item m="1" x="294"/>
        <item m="1" x="489"/>
        <item m="1" x="1184"/>
        <item m="1" x="1433"/>
        <item m="1" x="348"/>
        <item m="1" x="1544"/>
        <item m="1" x="432"/>
        <item m="1" x="2045"/>
        <item m="1" x="1796"/>
        <item m="1" x="1693"/>
        <item m="1" x="1122"/>
        <item m="1" x="185"/>
        <item m="1" x="832"/>
        <item m="1" x="619"/>
        <item m="1" x="95"/>
        <item m="1" x="1153"/>
        <item m="1" x="777"/>
        <item m="1" x="957"/>
        <item m="1" x="1578"/>
        <item m="1" x="1007"/>
        <item m="1" x="523"/>
        <item m="1" x="923"/>
        <item m="1" x="880"/>
        <item m="1" x="1070"/>
        <item m="1" x="1563"/>
        <item m="1" x="2152"/>
        <item m="1" x="1357"/>
        <item m="1" x="1589"/>
        <item m="1" x="1014"/>
        <item m="1" x="500"/>
        <item m="1" x="1877"/>
        <item m="1" x="1539"/>
        <item m="1" x="964"/>
        <item m="1" x="452"/>
        <item m="1" x="2065"/>
        <item m="1" x="353"/>
        <item m="1" x="592"/>
        <item m="1" x="44"/>
        <item m="1" x="1641"/>
        <item m="1" x="1062"/>
        <item m="1" x="550"/>
        <item m="1" x="2156"/>
        <item m="1" x="990"/>
        <item m="1" x="481"/>
        <item m="1" x="1214"/>
        <item m="1" x="657"/>
        <item m="1" x="727"/>
        <item m="1" x="1831"/>
        <item m="1" x="2019"/>
        <item m="1" x="829"/>
        <item m="1" x="1025"/>
        <item m="1" x="1767"/>
        <item m="1" x="1047"/>
        <item m="1" x="1905"/>
        <item m="1" x="1421"/>
        <item m="1" x="1385"/>
        <item m="1" x="103"/>
        <item m="1" x="737"/>
        <item m="1" x="1768"/>
        <item m="1" x="1982"/>
        <item m="1" x="1683"/>
        <item m="1" x="671"/>
        <item m="1" x="1001"/>
        <item m="1" x="823"/>
        <item m="1" x="128"/>
        <item m="1" x="948"/>
        <item m="1" x="1843"/>
        <item m="1" x="798"/>
        <item m="1" x="492"/>
        <item m="1" x="439"/>
        <item m="1" x="2018"/>
        <item m="1" x="37"/>
        <item m="1" x="943"/>
        <item m="1" x="742"/>
        <item m="1" x="910"/>
        <item m="1" x="1913"/>
        <item m="1" x="600"/>
        <item m="1" x="708"/>
        <item m="1" x="869"/>
        <item m="1" x="425"/>
        <item m="1" x="606"/>
        <item m="1" x="1510"/>
        <item m="1" x="1689"/>
        <item m="1" x="76"/>
        <item m="1" x="159"/>
        <item m="1" x="1340"/>
        <item m="1" x="1523"/>
        <item m="1" x="1506"/>
        <item m="1" x="1685"/>
        <item m="1" x="1642"/>
        <item m="1" x="1842"/>
        <item m="1" x="1388"/>
        <item m="1" x="2114"/>
        <item m="1" x="132"/>
        <item m="1" x="797"/>
        <item m="1" x="1550"/>
        <item m="1" x="1738"/>
        <item m="1" x="689"/>
        <item m="1" x="845"/>
        <item m="1" x="1588"/>
        <item m="1" x="1557"/>
        <item m="1" x="546"/>
        <item m="1" x="1577"/>
        <item m="1" x="1773"/>
        <item m="1" x="1519"/>
        <item m="1" x="1536"/>
        <item m="1" x="1731"/>
        <item m="1" x="285"/>
        <item m="1" x="531"/>
        <item m="1" x="1593"/>
        <item m="1" x="1101"/>
        <item m="1" x="620"/>
        <item m="1" x="236"/>
        <item m="1" x="1061"/>
        <item m="1" x="1279"/>
        <item m="1" x="773"/>
        <item m="1" x="1881"/>
        <item m="1" x="87"/>
        <item m="1" x="16"/>
        <item m="1" x="1561"/>
        <item m="1" x="1749"/>
        <item m="1" x="1769"/>
        <item m="1" x="1968"/>
        <item m="1" x="197"/>
        <item m="1" x="349"/>
        <item m="1" x="1565"/>
        <item m="1" x="1755"/>
        <item m="1" x="2099"/>
        <item m="1" x="930"/>
        <item m="1" x="1125"/>
        <item m="1" x="20"/>
        <item m="1" x="192"/>
        <item m="1" x="112"/>
        <item m="1" x="1152"/>
        <item m="1" x="65"/>
        <item m="1" x="115"/>
        <item m="1" x="1876"/>
        <item m="1" x="1473"/>
        <item m="1" x="1639"/>
        <item m="1" x="875"/>
        <item m="1" x="1059"/>
        <item m="1" x="799"/>
        <item m="1" x="1562"/>
        <item m="1" x="1750"/>
        <item m="1" x="299"/>
        <item m="1" x="2132"/>
        <item m="1" x="145"/>
        <item m="1" x="813"/>
        <item m="1" x="172"/>
        <item m="1" x="1309"/>
        <item m="1" x="941"/>
        <item m="1" x="485"/>
        <item m="1" x="1925"/>
        <item m="1" x="1355"/>
        <item m="1" x="2027"/>
        <item m="1" x="2047"/>
        <item m="1" x="1330"/>
        <item m="1" x="749"/>
        <item m="1" x="1571"/>
        <item m="1" x="264"/>
        <item m="1" x="1032"/>
        <item m="1" x="1095"/>
        <item m="1" x="28"/>
        <item m="1" x="1996"/>
        <item m="1" x="1167"/>
        <item m="1" x="835"/>
        <item m="1" x="861"/>
        <item m="1" x="1052"/>
        <item m="1" x="1806"/>
        <item m="1" x="721"/>
        <item m="1" x="1465"/>
        <item m="1" x="1640"/>
        <item m="1" x="1841"/>
        <item m="1" x="216"/>
        <item m="1" x="395"/>
        <item m="1" x="1795"/>
        <item m="1" x="1995"/>
        <item m="1" x="533"/>
        <item m="1" x="1697"/>
        <item m="1" x="1902"/>
        <item m="1" x="232"/>
        <item m="1" x="901"/>
        <item m="1" x="2154"/>
        <item m="1" x="173"/>
        <item m="1" x="1003"/>
        <item m="1" x="1480"/>
        <item m="1" x="1688"/>
        <item m="1" x="1896"/>
        <item m="1" x="423"/>
        <item m="1" x="1498"/>
        <item m="1" x="994"/>
        <item m="1" x="940"/>
        <item m="1" x="428"/>
        <item m="1" x="891"/>
        <item m="1" x="377"/>
        <item m="1" x="1570"/>
        <item m="1" x="1759"/>
        <item m="1" x="916"/>
        <item m="1" x="398"/>
        <item m="1" x="2020"/>
        <item m="1" x="231"/>
        <item m="1" x="537"/>
        <item m="1" x="2140"/>
        <item m="1" x="1706"/>
        <item m="1" x="1910"/>
        <item m="1" x="2097"/>
        <item m="1" x="1118"/>
        <item m="1" x="1015"/>
        <item m="1" x="249"/>
        <item m="1" x="1872"/>
        <item m="1" x="454"/>
        <item m="1" x="2068"/>
        <item m="1" x="1507"/>
        <item m="1" x="1022"/>
        <item m="1" x="1233"/>
        <item m="1" x="2144"/>
        <item m="1" x="288"/>
        <item m="1" x="311"/>
        <item m="1" x="2026"/>
        <item m="1" x="704"/>
        <item m="1" x="82"/>
        <item m="1" x="1217"/>
        <item m="1" x="2088"/>
        <item m="1" x="890"/>
        <item m="1" x="2136"/>
        <item m="1" x="535"/>
        <item m="1" x="1484"/>
        <item m="1" x="679"/>
        <item m="1" x="837"/>
        <item m="1" x="1613"/>
        <item m="1" x="316"/>
        <item m="1" x="203"/>
        <item m="1" x="379"/>
        <item m="1" x="888"/>
        <item m="1" x="1079"/>
        <item m="1" x="38"/>
        <item m="1" x="219"/>
        <item m="1" x="887"/>
        <item m="1" x="340"/>
        <item m="1" x="534"/>
        <item m="1" x="1232"/>
        <item m="1" x="248"/>
        <item m="1" x="438"/>
        <item m="1" x="1643"/>
        <item m="1" x="1739"/>
        <item m="1" x="182"/>
        <item m="1" x="1395"/>
        <item m="1" x="280"/>
        <item m="1" x="476"/>
        <item m="1" x="237"/>
        <item m="1" x="429"/>
        <item m="1" x="1110"/>
        <item m="1" x="1097"/>
        <item m="1" x="291"/>
        <item m="1" x="1468"/>
        <item m="1" x="536"/>
        <item m="1" x="1733"/>
        <item m="1" x="1113"/>
        <item m="1" x="1633"/>
        <item m="1" x="1053"/>
        <item m="1" x="42"/>
        <item m="1" x="892"/>
        <item m="1" x="1440"/>
        <item m="1" x="1083"/>
        <item m="1" x="471"/>
        <item m="1" x="644"/>
        <item m="1" x="510"/>
        <item m="1" x="1801"/>
        <item m="1" x="859"/>
        <item m="1" x="820"/>
        <item m="1" x="756"/>
        <item m="1" x="819"/>
        <item m="1" x="1012"/>
        <item m="1" x="1518"/>
        <item m="1" x="929"/>
        <item m="1" x="410"/>
        <item m="1" x="1143"/>
        <item m="1" x="612"/>
        <item m="1" x="62"/>
        <item m="1" x="157"/>
        <item m="1" x="338"/>
        <item m="1" x="1766"/>
        <item m="1" x="1965"/>
        <item m="1" x="780"/>
        <item m="1" x="966"/>
        <item m="1" x="1000"/>
        <item m="1" x="1356"/>
        <item m="1" x="599"/>
        <item m="1" x="52"/>
        <item m="1" x="1653"/>
        <item m="1" x="684"/>
        <item m="1" x="1282"/>
        <item m="1" x="1334"/>
        <item m="1" x="1045"/>
        <item m="1" x="631"/>
        <item m="1" x="1112"/>
        <item m="1" x="666"/>
        <item m="1" x="1860"/>
        <item m="1" x="2052"/>
        <item m="1" x="1185"/>
        <item m="1" x="639"/>
        <item m="1" x="2113"/>
        <item m="1" x="1908"/>
        <item m="1" x="589"/>
        <item m="1" x="1854"/>
        <item m="1" x="1177"/>
        <item m="1" x="1054"/>
        <item m="1" x="1289"/>
        <item m="1" x="1445"/>
        <item m="1" x="1235"/>
        <item m="1" x="753"/>
        <item m="1" x="1911"/>
        <item m="1" x="926"/>
        <item m="1" x="1119"/>
        <item m="1" x="2079"/>
        <item m="1" x="94"/>
        <item m="1" x="373"/>
        <item m="1" x="558"/>
        <item m="1" x="1091"/>
        <item m="1" x="1295"/>
        <item m="1" x="1829"/>
        <item m="1" x="1853"/>
        <item m="1" x="2036"/>
        <item m="1" x="1243"/>
        <item m="1" x="1086"/>
        <item m="1" x="1292"/>
        <item m="1" x="1262"/>
        <item m="1" x="1443"/>
        <item m="1" x="688"/>
        <item m="1" x="844"/>
        <item m="1" x="952"/>
        <item m="1" x="1713"/>
        <item m="1" x="1914"/>
        <item m="1" x="1155"/>
        <item m="1" x="1348"/>
        <item m="1" x="501"/>
        <item m="1" x="1204"/>
        <item m="1" x="2030"/>
        <item m="1" x="1193"/>
        <item m="1" x="1384"/>
        <item m="1" x="1137"/>
        <item m="1" x="1344"/>
        <item m="1" x="131"/>
        <item m="1" x="1362"/>
        <item m="1" x="720"/>
        <item m="1" x="805"/>
        <item m="1" x="1284"/>
        <item m="1" x="712"/>
        <item m="1" x="139"/>
        <item m="1" x="54"/>
        <item m="1" x="1657"/>
        <item m="1" x="867"/>
        <item m="1" x="1206"/>
        <item m="1" x="418"/>
        <item m="1" x="117"/>
        <item m="1" x="1719"/>
        <item m="1" x="1810"/>
        <item m="1" x="570"/>
        <item m="1" x="722"/>
        <item m="1" x="1866"/>
        <item m="1" x="1776"/>
        <item m="1" x="1976"/>
        <item m="1" x="1381"/>
        <item m="1" x="1551"/>
        <item m="1" x="110"/>
        <item m="1" x="1787"/>
        <item m="1" x="1984"/>
        <item m="1" x="2125"/>
        <item m="1" x="2007"/>
        <item m="1" x="1446"/>
        <item m="1" x="846"/>
        <item m="1" x="1826"/>
        <item m="1" x="2009"/>
        <item m="1" x="60"/>
        <item m="1" x="1087"/>
        <item m="1" x="568"/>
        <item m="1" x="19"/>
        <item m="1" x="1200"/>
        <item m="1" x="577"/>
        <item m="1" x="735"/>
        <item m="1" x="1779"/>
        <item m="1" x="1979"/>
        <item m="1" x="296"/>
        <item m="1" x="1328"/>
        <item m="1" x="2085"/>
        <item m="1" x="1525"/>
        <item m="1" x="934"/>
        <item m="1" x="730"/>
        <item m="1" x="1552"/>
        <item m="1" x="972"/>
        <item m="1" x="512"/>
        <item m="1" x="528"/>
        <item m="1" x="687"/>
        <item m="1" x="1169"/>
        <item m="1" x="1732"/>
        <item m="1" x="1936"/>
        <item m="1" x="479"/>
        <item m="1" x="32"/>
        <item m="1" x="1954"/>
        <item m="1" x="1482"/>
        <item m="1" x="1187"/>
        <item m="1" x="545"/>
        <item m="1" x="1115"/>
        <item m="1" x="588"/>
        <item m="1" x="1055"/>
        <item m="1" x="1846"/>
        <item m="1" x="2101"/>
        <item m="1" x="1868"/>
        <item m="1" x="853"/>
        <item m="1" x="1971"/>
        <item m="1" x="1924"/>
        <item m="1" x="1807"/>
        <item m="1" x="1347"/>
        <item m="1" x="760"/>
        <item m="1" x="240"/>
        <item m="1" x="1447"/>
        <item m="1" x="848"/>
        <item m="1" x="339"/>
        <item m="1" x="1966"/>
        <item m="1" x="1454"/>
        <item m="1" x="960"/>
        <item m="1" x="2148"/>
        <item m="1" x="1586"/>
        <item m="1" x="1196"/>
        <item m="1" x="645"/>
        <item m="1" x="900"/>
        <item m="1" x="380"/>
        <item m="1" x="2005"/>
        <item m="1" x="1754"/>
        <item m="1" x="1331"/>
        <item m="1" x="761"/>
        <item m="1" x="1299"/>
        <item m="1" x="2008"/>
        <item m="1" x="1448"/>
        <item m="1" x="849"/>
        <item m="1" x="341"/>
        <item m="1" x="1969"/>
        <item m="1" x="1402"/>
        <item m="1" x="803"/>
        <item m="1" x="1493"/>
        <item m="1" x="907"/>
        <item m="1" x="1452"/>
        <item m="1" x="1972"/>
        <item m="1" x="1534"/>
        <item m="1" x="2060"/>
        <item m="1" x="1496"/>
        <item m="1" x="912"/>
        <item m="1" x="393"/>
        <item m="1" x="2017"/>
        <item m="1" x="1457"/>
        <item m="1" x="2149"/>
        <item m="1" x="1587"/>
        <item m="1" x="962"/>
        <item m="1" x="43"/>
        <item m="1" x="548"/>
        <item m="1" x="629"/>
        <item m="1" x="1341"/>
        <item m="1" x="1069"/>
        <item m="1" x="1008"/>
        <item m="1" x="1130"/>
        <item m="1" x="504"/>
        <item m="1" x="2025"/>
        <item m="1" x="1655"/>
        <item m="1" x="1921"/>
        <item m="1" x="1349"/>
        <item m="1" x="764"/>
        <item m="1" x="243"/>
        <item m="1" x="1867"/>
        <item m="1" x="1304"/>
        <item m="1" x="200"/>
        <item m="1" x="855"/>
        <item m="1" x="344"/>
        <item m="1" x="809"/>
        <item m="1" x="818"/>
        <item m="1" x="2021"/>
        <item m="1" x="2109"/>
        <item m="1" x="1656"/>
        <item m="1" x="1176"/>
        <item m="1" x="1864"/>
        <item m="1" x="765"/>
        <item m="1" x="245"/>
        <item m="1" x="1928"/>
        <item m="1" x="1462"/>
        <item m="1" x="405"/>
        <item m="1" x="290"/>
        <item m="1" x="1920"/>
        <item m="1" x="2057"/>
        <item m="1" x="347"/>
        <item m="1" x="1929"/>
        <item m="1" x="860"/>
        <item m="1" x="352"/>
        <item m="1" x="521"/>
        <item m="1" x="681"/>
        <item m="1" x="1192"/>
        <item m="1" x="946"/>
        <item m="1" x="1147"/>
        <item m="1" x="2118"/>
        <item m="1" x="640"/>
        <item m="1" x="1722"/>
        <item m="1" x="1927"/>
        <item m="1" x="287"/>
        <item m="1" x="483"/>
        <item m="1" x="1862"/>
        <item m="1" x="1541"/>
        <item m="1" x="1735"/>
        <item m="1" x="1721"/>
        <item m="1" x="1884"/>
        <item m="1" x="2056"/>
        <item m="1" x="1318"/>
        <item m="1" x="1590"/>
        <item m="1" x="1777"/>
        <item m="1" x="1977"/>
        <item m="1" x="480"/>
        <item m="1" x="649"/>
        <item m="1" x="1625"/>
        <item m="1" x="884"/>
        <item m="1" x="1076"/>
        <item m="1" x="1135"/>
        <item m="1" x="733"/>
        <item m="1" x="1813"/>
        <item m="1" x="2001"/>
        <item m="1" x="1607"/>
        <item m="1" x="1764"/>
        <item m="1" x="1964"/>
        <item m="1" x="503"/>
        <item m="1" x="715"/>
        <item m="1" x="193"/>
        <item m="1" x="1255"/>
        <item m="1" x="680"/>
        <item m="1" x="1400"/>
        <item m="1" x="981"/>
        <item m="1" x="1615"/>
        <item m="1" x="1828"/>
        <item m="1" x="787"/>
        <item m="1" x="1546"/>
        <item m="1" x="683"/>
        <item m="1" x="1748"/>
        <item m="1" x="1198"/>
        <item m="1" x="362"/>
        <item m="1" x="1711"/>
        <item m="1" x="417"/>
        <item m="1" x="125"/>
        <item m="1" x="298"/>
        <item m="1" x="225"/>
        <item m="1" x="212"/>
        <item m="1" x="1790"/>
        <item m="1" x="1988"/>
        <item m="1" x="411"/>
        <item m="1" x="573"/>
        <item m="1" x="963"/>
        <item m="1" x="266"/>
        <item m="1" x="2137"/>
        <item m="1" x="156"/>
        <item m="1" x="1173"/>
        <item m="1" x="408"/>
        <item m="1" x="1951"/>
        <item m="1" x="2138"/>
        <item m="1" x="1573"/>
        <item m="1" x="938"/>
        <item m="1" x="426"/>
        <item m="1" x="2041"/>
        <item m="1" x="1483"/>
        <item m="1" x="1103"/>
        <item m="1" x="1317"/>
        <item m="1" x="1215"/>
        <item m="1" x="178"/>
        <item m="1" x="363"/>
        <item m="1" x="1042"/>
        <item m="1" x="384"/>
        <item m="1" x="700"/>
        <item m="1" x="1191"/>
        <item m="1" x="828"/>
        <item m="1" x="2131"/>
        <item m="1" x="1564"/>
        <item m="1" x="992"/>
        <item m="1" x="68"/>
        <item m="1" x="648"/>
        <item m="1" x="450"/>
        <item m="1" x="498"/>
        <item m="1" x="2108"/>
        <item m="1" x="284"/>
        <item m="1" x="337"/>
        <item m="1" x="459"/>
        <item m="1" x="1509"/>
        <item m="1" x="922"/>
        <item m="1" x="1531"/>
        <item m="1" x="1753"/>
        <item m="1" x="1953"/>
        <item m="1" x="13"/>
        <item m="1" x="1803"/>
        <item m="1" x="1280"/>
        <item m="1" x="147"/>
        <item m="1" x="226"/>
        <item m="1" x="686"/>
        <item m="1" x="1840"/>
        <item m="1" x="979"/>
        <item m="1" x="1582"/>
        <item m="1" x="1785"/>
        <item m="1" x="88"/>
        <item m="1" x="34"/>
        <item m="1" x="1630"/>
        <item m="1" x="706"/>
        <item m="1" x="759"/>
        <item m="1" x="78"/>
        <item m="1" x="83"/>
        <item m="1" x="1089"/>
        <item m="1" x="218"/>
        <item m="1" x="24"/>
        <item m="1" x="569"/>
        <item m="1" x="1617"/>
        <item m="1" x="1034"/>
        <item m="1" x="603"/>
        <item m="1" x="385"/>
        <item m="1" x="98"/>
        <item m="1" x="4"/>
        <item m="1" x="403"/>
        <item m="1" x="1762"/>
        <item m="1" x="921"/>
        <item m="1" x="1411"/>
        <item m="1" x="1542"/>
        <item m="1" x="80"/>
        <item m="1" x="167"/>
        <item m="1" x="414"/>
        <item m="1" x="1345"/>
        <item m="1" x="1361"/>
        <item m="1" x="208"/>
        <item m="1" x="1263"/>
        <item m="1" x="1201"/>
        <item m="1" x="357"/>
        <item m="1" x="66"/>
        <item m="1" x="1674"/>
        <item m="1" x="222"/>
        <item m="1" x="919"/>
        <item m="1" x="1870"/>
        <item m="1" x="2004"/>
        <item m="1" x="879"/>
        <item m="1" x="643"/>
        <item m="1" x="540"/>
        <item m="1" x="1743"/>
        <item m="1" x="1734"/>
        <item m="1" x="1533"/>
        <item m="1" x="1752"/>
        <item m="1" x="1751"/>
        <item m="1" x="1041"/>
        <item m="1" x="396"/>
        <item m="1" x="374"/>
        <item m="1" x="1057"/>
        <item m="1" x="469"/>
        <item m="1" x="1527"/>
        <item m="1" x="1303"/>
        <item m="1" x="556"/>
        <item m="1" x="549"/>
        <item m="1" x="1005"/>
        <item m="1" x="491"/>
        <item m="1" x="2139"/>
        <item m="1" x="1260"/>
        <item m="1" x="1171"/>
        <item m="1" x="472"/>
        <item m="1" x="1139"/>
        <item m="1" x="2003"/>
        <item m="1" x="2095"/>
        <item m="1" x="1604"/>
        <item m="1" x="632"/>
        <item m="1" x="40"/>
        <item m="1" x="71"/>
        <item m="1" x="1742"/>
        <item m="1" x="93"/>
        <item m="1" x="751"/>
        <item m="1" x="149"/>
        <item m="1" x="642"/>
        <item m="1" x="745"/>
        <item m="1" x="1131"/>
        <item m="1" x="1306"/>
        <item m="1" x="740"/>
        <item m="1" x="662"/>
        <item m="1" x="1382"/>
        <item m="1" x="1947"/>
        <item m="1" x="1791"/>
        <item m="1" x="1229"/>
        <item m="1" x="174"/>
        <item m="1" x="354"/>
        <item m="1" x="1160"/>
        <item m="1" x="2046"/>
        <item m="1" x="595"/>
        <item m="1" x="2127"/>
        <item m="1" x="2071"/>
        <item m="1" x="1543"/>
        <item m="1" x="580"/>
        <item m="1" x="460"/>
        <item m="1" x="770"/>
        <item m="1" x="1283"/>
        <item m="1" x="387"/>
        <item m="1" x="242"/>
        <item m="1" x="388"/>
        <item m="1" x="142"/>
        <item m="1" x="1494"/>
        <item m="1" x="1104"/>
        <item m="1" x="1513"/>
        <item m="1" x="229"/>
        <item m="1" x="795"/>
        <item m="1" x="959"/>
        <item m="1" x="505"/>
        <item m="1" x="1020"/>
        <item m="1" x="70"/>
        <item m="1" x="1505"/>
        <item m="1" x="137"/>
        <item m="1" x="136"/>
        <item m="1" x="1690"/>
        <item m="1" x="669"/>
        <item m="1" x="1181"/>
        <item m="1" x="1218"/>
        <item m="1" x="1778"/>
        <item m="1" x="674"/>
        <item m="1" x="3"/>
        <item m="1" x="244"/>
        <item m="1" x="2090"/>
        <item m="1" x="786"/>
        <item m="1" x="187"/>
        <item m="1" x="1249"/>
        <item m="1" x="1963"/>
        <item m="1" x="1408"/>
        <item m="1" x="2051"/>
        <item m="1" x="1567"/>
        <item m="1" x="542"/>
        <item m="1" x="955"/>
        <item m="1" x="444"/>
        <item m="1" x="482"/>
        <item m="1" x="1809"/>
        <item m="1" x="1251"/>
        <item m="1" x="902"/>
        <item m="1" x="2135"/>
        <item m="1" x="381"/>
        <item m="1" x="731"/>
        <item m="1" x="812"/>
        <item m="1" x="53"/>
        <item m="1" x="206"/>
        <item m="1" x="810"/>
        <item m="1" x="1466"/>
        <item m="1" x="863"/>
        <item m="1" x="734"/>
        <item m="1" x="1818"/>
        <item m="1" x="506"/>
        <item m="1" x="1261"/>
        <item m="1" x="2115"/>
        <item m="1" x="364"/>
        <item m="1" x="2074"/>
        <item m="1" x="12"/>
        <item m="1" x="1286"/>
        <item m="1" x="728"/>
        <item x="0"/>
        <item m="1" x="1066"/>
        <item m="1" x="543"/>
        <item m="1" x="1051"/>
        <item m="1" x="1132"/>
        <item m="1" x="1888"/>
        <item m="1" x="227"/>
        <item m="1" x="1705"/>
        <item m="1" x="656"/>
        <item m="1" x="1064"/>
        <item m="1" x="74"/>
        <item m="1" x="2055"/>
        <item m="1" x="1817"/>
        <item m="1" x="2043"/>
        <item m="1" x="572"/>
        <item m="1" x="1696"/>
        <item m="1" x="1315"/>
        <item m="1" x="1983"/>
        <item m="1" x="1145"/>
        <item m="1" x="1165"/>
        <item m="1" x="486"/>
        <item m="1" x="133"/>
        <item m="1" x="1021"/>
        <item m="1" x="1460"/>
        <item m="1" x="1301"/>
        <item m="1" x="936"/>
        <item m="1" x="633"/>
        <item m="1" x="509"/>
        <item m="1" x="1111"/>
        <item m="1" x="897"/>
        <item m="1" x="1839"/>
        <item m="1" x="1856"/>
        <item m="1" x="79"/>
        <item m="1" x="1105"/>
        <item m="1" x="1670"/>
        <item m="1" x="282"/>
        <item m="1" x="530"/>
        <item m="1" x="1029"/>
        <item m="1" x="223"/>
        <item m="1" x="1259"/>
        <item m="1" x="811"/>
        <item m="1" x="404"/>
        <item m="1" x="1572"/>
        <item m="1" x="164"/>
        <item m="1" x="1569"/>
        <item m="1" x="22"/>
        <item m="1" x="2129"/>
        <item m="1" x="2112"/>
        <item m="1" x="1156"/>
        <item m="1" x="234"/>
        <item m="1" x="785"/>
        <item m="1" x="699"/>
        <item m="1" x="971"/>
        <item m="1" x="1254"/>
        <item m="1" x="1676"/>
        <item m="1" x="1216"/>
        <item m="1" x="622"/>
        <item m="1" x="1030"/>
        <item m="1" x="369"/>
        <item m="1" x="581"/>
        <item m="1" x="391"/>
        <item m="1" x="1242"/>
        <item m="1" x="1532"/>
        <item m="1" x="1792"/>
        <item m="1" x="306"/>
        <item m="1" x="251"/>
        <item m="1" x="1874"/>
        <item m="1" x="694"/>
        <item m="1" x="771"/>
        <item m="1" x="1308"/>
        <item m="1" x="874"/>
        <item m="1" x="158"/>
        <item m="1" x="106"/>
        <item m="1" x="1878"/>
        <item m="1" x="1142"/>
        <item m="1" x="1209"/>
        <item m="1" x="1620"/>
        <item m="1" x="134"/>
        <item m="1" x="135"/>
        <item m="1" x="315"/>
        <item m="1" x="1210"/>
        <item m="1" x="1302"/>
        <item m="1" x="1698"/>
        <item m="1" x="1013"/>
        <item m="1" x="1812"/>
        <item m="1" x="725"/>
        <item m="1" x="1646"/>
        <item m="1" x="2155"/>
        <item m="1" x="685"/>
        <item m="1" x="502"/>
        <item m="1" x="499"/>
        <item m="1" x="1660"/>
        <item m="1" x="292"/>
        <item m="1" x="2022"/>
        <item m="1" x="1088"/>
        <item m="1" x="1932"/>
        <item m="1" x="1865"/>
        <item m="1" x="1926"/>
        <item m="1" x="1727"/>
        <item m="1" x="451"/>
        <item m="1" x="1360"/>
        <item m="1" x="954"/>
        <item m="1" x="1248"/>
        <item m="1" x="1027"/>
        <item m="1" x="465"/>
        <item m="1" x="1601"/>
        <item m="1" x="77"/>
        <item m="1" x="446"/>
        <item m="1" x="330"/>
        <item m="1" x="324"/>
        <item m="1" x="1529"/>
        <item m="1" x="949"/>
        <item m="1" x="148"/>
        <item m="1" x="1311"/>
        <item m="1" x="1406"/>
        <item m="1" x="826"/>
        <item m="1" x="716"/>
        <item m="1" x="1397"/>
        <item m="1" x="762"/>
        <item m="1" x="1594"/>
        <item m="1" x="118"/>
        <item m="1" x="1699"/>
        <item m="1" x="17"/>
        <item m="1" x="2100"/>
        <item m="1" x="741"/>
        <item m="1" x="564"/>
        <item m="1" x="1959"/>
        <item m="1" x="368"/>
        <item m="1" x="555"/>
        <item m="1" x="551"/>
        <item m="1" x="1524"/>
        <item m="1" x="1747"/>
        <item m="1" x="1606"/>
        <item m="1" x="791"/>
        <item m="1" x="1379"/>
        <item m="1" x="1770"/>
        <item m="1" x="1933"/>
        <item m="1" x="56"/>
        <item m="1" x="925"/>
        <item m="1" x="1654"/>
        <item m="1" x="1172"/>
        <item m="1" x="774"/>
        <item m="1" x="616"/>
        <item m="1" x="630"/>
        <item m="1" x="1264"/>
        <item m="1" x="152"/>
        <item m="1" x="332"/>
        <item m="1" x="1850"/>
        <item m="1" x="433"/>
        <item m="1" x="1903"/>
        <item m="1" x="179"/>
        <item m="1" x="1997"/>
        <item m="1" x="1343"/>
        <item m="1" x="562"/>
        <item m="1" x="1488"/>
        <item m="1" x="487"/>
        <item m="1" x="1684"/>
        <item m="1" x="1227"/>
        <item m="1" x="894"/>
        <item m="1" x="1602"/>
        <item m="1" x="455"/>
        <item m="1" x="1455"/>
        <item m="1" x="956"/>
        <item m="1" x="732"/>
        <item m="1" x="1597"/>
        <item m="1" x="865"/>
        <item m="1" x="468"/>
        <item m="1" x="607"/>
        <item m="1" x="1140"/>
        <item m="1" x="2000"/>
        <item m="1" x="977"/>
        <item m="1" x="123"/>
        <item m="1" x="808"/>
        <item m="1" x="59"/>
        <item m="1" x="430"/>
        <item m="1" x="2010"/>
        <item m="1" x="1726"/>
        <item m="1" x="1775"/>
        <item m="1" x="665"/>
        <item m="1" x="241"/>
        <item m="1" x="313"/>
        <item m="1" x="1124"/>
        <item m="1" x="1378"/>
        <item m="1" x="422"/>
        <item m="1" x="552"/>
        <item m="1" x="386"/>
        <item m="1" x="289"/>
        <item m="1" x="951"/>
        <item m="1" x="2062"/>
        <item m="1" x="1651"/>
        <item m="1" x="2042"/>
        <item m="1" x="1117"/>
        <item m="1" x="328"/>
        <item m="1" x="1224"/>
        <item m="1" x="843"/>
        <item m="1" x="1967"/>
        <item m="1" x="256"/>
        <item m="1" x="1883"/>
        <item m="1" x="1174"/>
        <item m="1" x="976"/>
        <item m="1" x="1560"/>
        <item m="1" x="2126"/>
        <item m="1" x="1491"/>
        <item m="1" x="998"/>
        <item m="1" x="210"/>
        <item m="1" x="1098"/>
        <item m="1" x="1823"/>
        <item m="1" x="2035"/>
        <item m="1" x="1157"/>
        <item m="1" x="517"/>
        <item m="1" x="2038"/>
        <item m="1" x="1938"/>
        <item m="1" x="253"/>
        <item m="1" x="1765"/>
        <item m="1" x="553"/>
        <item m="1" x="935"/>
        <item m="1" x="421"/>
        <item m="1" x="1074"/>
        <item m="1" x="1024"/>
        <item m="1" x="1297"/>
        <item m="1" x="1036"/>
        <item m="1" x="1941"/>
        <item m="1" x="822"/>
        <item m="1" x="877"/>
        <item m="1" x="402"/>
        <item m="1" x="1031"/>
        <item m="1" x="257"/>
        <item m="1" x="1994"/>
        <item m="1" x="497"/>
        <item m="1" x="1350"/>
        <item m="1" x="1035"/>
        <item m="1" x="1161"/>
        <item m="1" x="625"/>
        <item m="1" x="1798"/>
        <item m="1" x="490"/>
        <item m="1" x="295"/>
        <item m="1" x="661"/>
        <item m="1" x="2023"/>
        <item m="1" x="1352"/>
        <item m="1" x="654"/>
        <item m="1" x="1154"/>
        <item m="1" x="113"/>
        <item m="1" x="544"/>
        <item m="1" x="1957"/>
        <item m="1" x="1133"/>
        <item m="1" x="1026"/>
        <item m="1" x="1265"/>
        <item m="1" x="154"/>
        <item m="1" x="1603"/>
        <item m="1" x="1374"/>
        <item m="1" x="652"/>
        <item m="1" x="1504"/>
        <item m="1" x="1270"/>
        <item m="1" x="334"/>
        <item m="1" x="1889"/>
        <item m="1" x="945"/>
        <item m="1" x="166"/>
        <item m="1" x="1832"/>
        <item m="1" x="1324"/>
        <item m="1" x="1478"/>
        <item m="1" x="1166"/>
        <item m="1" x="1658"/>
        <item m="1" x="1319"/>
        <item m="1" x="2123"/>
        <item m="1" x="927"/>
        <item m="1" x="55"/>
        <item m="1" x="1077"/>
        <item m="1" x="993"/>
        <item m="1" x="508"/>
        <item m="1" x="593"/>
        <item m="1" x="1399"/>
        <item m="1" x="800"/>
        <item m="1" x="1618"/>
        <item m="1" x="181"/>
        <item m="1" x="436"/>
        <item m="1" x="1450"/>
        <item m="1" x="601"/>
        <item m="1" x="213"/>
        <item m="1" x="668"/>
        <item m="1" x="1444"/>
        <item m="1" x="1797"/>
        <item m="1" x="1099"/>
        <item m="1" x="1757"/>
        <item m="1" x="1274"/>
        <item m="1" x="701"/>
        <item m="1" x="514"/>
        <item m="1" x="984"/>
        <item m="1" x="1090"/>
        <item m="1" x="547"/>
        <item m="1" x="474"/>
        <item m="1" x="1273"/>
        <item m="1" x="621"/>
        <item m="1" x="575"/>
        <item m="1" x="1595"/>
        <item m="1" x="1459"/>
        <item m="1" x="267"/>
        <item m="1" x="602"/>
        <item m="1" x="1134"/>
        <item m="1" x="1018"/>
        <item m="1" x="1600"/>
        <item m="1" x="1704"/>
        <item m="1" x="260"/>
        <item m="1" x="1930"/>
        <item m="1" x="705"/>
        <item m="1" x="1836"/>
        <item m="1" x="980"/>
        <item m="1" x="1974"/>
        <item m="1" x="2061"/>
        <item m="1" x="1011"/>
        <item m="1" x="1585"/>
        <item m="1" x="247"/>
        <item m="1" x="634"/>
        <item m="1" x="2150"/>
        <item m="1" x="1736"/>
        <item m="1" x="909"/>
        <item m="1" x="937"/>
        <item m="1" x="1"/>
        <item m="1" x="1495"/>
        <item m="1" x="678"/>
        <item m="1" x="413"/>
        <item m="1" x="1442"/>
        <item m="1" x="1439"/>
        <item m="1" x="1892"/>
        <item m="1" x="738"/>
        <item m="1" x="493"/>
        <item m="1" x="100"/>
        <item m="1" x="815"/>
        <item m="1" x="933"/>
        <item m="1" x="1666"/>
        <item m="1" x="470"/>
        <item m="1" x="1821"/>
        <item m="1" x="109"/>
        <item m="1" x="1269"/>
        <item m="1" x="1267"/>
        <item m="1" x="1891"/>
        <item m="1" x="2104"/>
        <item m="1" x="1948"/>
        <item m="1" x="1363"/>
        <item m="1" x="1430"/>
        <item m="1" x="1935"/>
        <item m="1" x="1999"/>
        <item m="1" x="833"/>
        <item m="1" x="604"/>
        <item m="1" x="1068"/>
        <item m="1" x="903"/>
        <item m="1" x="1180"/>
        <item m="1" x="130"/>
        <item m="1" x="35"/>
        <item m="1" x="1973"/>
        <item m="1" x="1918"/>
        <item m="1" x="342"/>
        <item m="1" x="1146"/>
        <item m="1" x="613"/>
        <item m="1" x="2143"/>
        <item m="1" x="610"/>
        <item m="1" x="25"/>
        <item m="1" x="983"/>
        <item m="1" x="1619"/>
        <item m="1" x="6"/>
        <item m="1" x="1371"/>
        <item m="1" x="263"/>
        <item m="1" x="143"/>
        <item m="1" x="873"/>
        <item m="1" x="360"/>
        <item m="1" x="2084"/>
        <item m="1" x="27"/>
        <item m="1" x="1894"/>
        <item m="1" x="1407"/>
        <item m="1" x="1915"/>
        <item m="1" x="1789"/>
        <item m="1" x="1623"/>
        <item m="1" x="1364"/>
        <item m="1" x="778"/>
        <item m="1" x="8"/>
        <item m="1" x="1366"/>
        <item m="1" x="696"/>
        <item m="1" x="1149"/>
        <item m="1" x="1605"/>
        <item m="1" x="2012"/>
        <item m="1" x="697"/>
        <item m="1" x="1880"/>
        <item m="1" x="214"/>
        <item m="1" x="1827"/>
        <item m="1" x="1724"/>
        <item m="1" x="707"/>
        <item m="1" x="259"/>
        <item m="1" x="1276"/>
        <item m="1" x="1065"/>
        <item m="1" x="691"/>
        <item m="1" x="155"/>
        <item m="1" x="1645"/>
        <item m="1" x="1960"/>
        <item m="1" x="1392"/>
        <item m="1" x="1579"/>
        <item m="1" x="448"/>
        <item m="1" x="1461"/>
        <item m="1" x="614"/>
        <item m="1" x="752"/>
        <item m="1" x="1858"/>
        <item m="1" x="475"/>
        <item m="1" x="1614"/>
        <item m="1" x="571"/>
        <item m="1" x="991"/>
        <item m="1" x="1471"/>
        <item m="1" x="221"/>
        <item m="1" x="1354"/>
        <item m="1" x="783"/>
        <item m="1" x="748"/>
        <item m="1" x="419"/>
        <item m="1" x="1071"/>
        <item m="1" x="1359"/>
        <item m="1" x="695"/>
        <item m="1" x="658"/>
        <item m="1" x="1427"/>
        <item m="1" x="676"/>
        <item m="1" x="2147"/>
        <item m="1" x="928"/>
        <item m="1" x="437"/>
        <item m="1" x="1298"/>
        <item m="1" x="314"/>
        <item m="1" x="111"/>
        <item m="1" x="1547"/>
        <item m="1" x="1559"/>
        <item m="1" x="1060"/>
        <item m="1" x="1538"/>
        <item m="1" x="917"/>
        <item m="1" x="372"/>
        <item m="1" x="2063"/>
        <item m="1" x="2106"/>
        <item m="1" x="1628"/>
        <item m="1" x="1681"/>
        <item m="1" x="1847"/>
        <item m="1" x="1703"/>
        <item m="1" x="847"/>
        <item m="1" x="1487"/>
        <item m="1" x="646"/>
        <item m="1" x="965"/>
        <item m="1" x="1199"/>
        <item m="1" x="1067"/>
        <item m="1" x="473"/>
        <item m="1" x="1673"/>
        <item m="1" x="999"/>
        <item m="1" x="608"/>
        <item m="1" x="427"/>
        <item m="1" x="988"/>
        <item m="1" x="618"/>
        <item m="1" x="518"/>
        <item m="1" x="412"/>
        <item m="1" x="1717"/>
        <item m="1" x="1205"/>
        <item m="1" x="303"/>
        <item m="1" x="146"/>
        <item m="1" x="467"/>
        <item m="1" x="102"/>
        <item m="1" x="1916"/>
        <item m="1" x="1438"/>
        <item m="1" x="30"/>
        <item m="1" x="371"/>
        <item m="1" x="376"/>
        <item m="1" x="1554"/>
        <item m="1" x="1781"/>
        <item m="1" x="870"/>
        <item m="1" x="1763"/>
        <item m="1" x="361"/>
        <item m="1" x="224"/>
        <item m="1" x="1410"/>
        <item m="1" x="1170"/>
        <item m="1" x="1991"/>
        <item m="1" x="626"/>
        <item m="1" x="1271"/>
        <item m="1" x="72"/>
        <item m="1" x="1056"/>
        <item m="1" x="271"/>
        <item m="1" x="692"/>
        <item m="1" x="2105"/>
        <item m="1" x="1275"/>
        <item m="1" x="781"/>
        <item m="1" x="746"/>
        <item m="1" x="830"/>
        <item m="1" x="370"/>
        <item m="1" x="1741"/>
        <item m="1" x="1390"/>
        <item m="1" x="1121"/>
        <item m="1" x="1514"/>
        <item m="1" x="2075"/>
        <item m="1" x="906"/>
        <item m="1" x="463"/>
        <item m="1" x="719"/>
        <item m="1" x="2091"/>
        <item m="1" x="177"/>
        <item m="1" x="1528"/>
        <item m="1" x="375"/>
        <item m="1" x="1501"/>
        <item m="1" x="539"/>
        <item m="1" x="711"/>
        <item m="1" x="793"/>
        <item m="1" x="1686"/>
        <item m="1" x="99"/>
        <item m="1" x="464"/>
        <item m="1" x="1583"/>
        <item m="1" x="1092"/>
        <item m="1" x="199"/>
        <item m="1" x="1293"/>
        <item m="1" x="574"/>
        <item m="1" x="163"/>
        <item m="1" x="1671"/>
        <item m="1" x="856"/>
        <item m="1" x="1321"/>
        <item m="1" x="63"/>
        <item m="1" x="1314"/>
        <item m="1" x="1893"/>
        <item m="1" x="2015"/>
        <item m="1" x="2"/>
        <item m="1" x="1369"/>
        <item m="1" x="1467"/>
        <item m="1" x="1039"/>
        <item m="1" x="779"/>
        <item m="1" x="1771"/>
        <item m="1" x="350"/>
        <item m="1" x="1716"/>
        <item m="1" x="1365"/>
        <item m="1" x="1937"/>
        <item m="1" x="1945"/>
        <item m="1" x="92"/>
        <item m="1" x="1063"/>
        <item m="1" x="757"/>
        <item m="1" x="1325"/>
        <item m="1" x="886"/>
        <item m="1" x="1729"/>
        <item m="1" x="1875"/>
        <item m="1" x="598"/>
        <item m="1" x="1212"/>
        <item m="1" x="693"/>
        <item m="1" x="191"/>
        <item m="1" x="1610"/>
        <item m="1" x="1760"/>
        <item m="1" x="883"/>
        <item m="1" x="1075"/>
        <item m="1" x="1942"/>
        <item m="1" x="1237"/>
        <item m="1" x="1692"/>
        <item m="1" x="1120"/>
        <item m="1" x="1855"/>
        <item m="1" x="1285"/>
        <item m="1" x="184"/>
        <item m="1" x="1799"/>
        <item m="1" x="1240"/>
        <item m="1" x="672"/>
        <item m="1" x="1744"/>
        <item m="1" x="1190"/>
        <item m="1" x="1197"/>
        <item m="1" x="26"/>
        <item m="1" x="975"/>
        <item m="1" x="985"/>
        <item m="1" x="1231"/>
        <item m="1" x="1307"/>
        <item m="1" x="1158"/>
        <item m="1" x="1537"/>
        <item m="1" x="1437"/>
        <item m="1" x="2096"/>
        <item m="1" x="532"/>
        <item m="1" x="1043"/>
        <item m="1" x="982"/>
        <item m="1" x="1695"/>
        <item m="1" x="594"/>
        <item m="1" x="806"/>
        <item m="1" x="1353"/>
        <item m="1" x="2058"/>
        <item m="1" x="261"/>
        <item m="1" x="623"/>
        <item m="1" x="1373"/>
        <item m="1" x="1961"/>
        <item m="1" x="2006"/>
        <item m="1" x="235"/>
        <item m="1" x="1290"/>
        <item m="1" x="2031"/>
        <item m="1" x="1515"/>
        <item m="1" x="1616"/>
        <item m="1" x="1596"/>
        <item m="1" x="1990"/>
        <item m="1" x="1419"/>
        <item m="1" x="1489"/>
        <item m="1" x="1472"/>
        <item m="1" x="293"/>
        <item m="1" x="1226"/>
        <item m="1" x="2128"/>
        <item m="1" x="160"/>
        <item m="1" x="114"/>
        <item m="1" x="2092"/>
        <item m="1" x="1453"/>
        <item m="1" x="1182"/>
        <item m="1" x="895"/>
        <item m="1" x="1835"/>
        <item m="1" x="1511"/>
        <item m="1" x="406"/>
        <item m="1" x="195"/>
        <item m="1" x="1904"/>
        <item m="1" x="1164"/>
        <item m="1" x="1398"/>
        <item m="1" x="431"/>
        <item m="1" x="1377"/>
        <item m="1" x="1150"/>
        <item m="1" x="274"/>
        <item m="1" x="1919"/>
        <item m="1" x="435"/>
        <item m="1" x="802"/>
        <item m="1" x="1413"/>
        <item m="1" x="1268"/>
        <item m="1" x="1952"/>
        <item m="1" x="409"/>
        <item m="1" x="457"/>
        <item m="1" x="458"/>
        <item m="1" x="246"/>
        <item m="1" x="1661"/>
        <item m="1" x="308"/>
        <item m="1" x="1718"/>
        <item m="1" x="204"/>
        <item m="1" x="2151"/>
        <item m="1" x="297"/>
        <item m="1" x="1636"/>
        <item m="1" x="2054"/>
        <item m="1" x="1048"/>
        <item m="1" x="1591"/>
        <item m="1" x="189"/>
        <item m="1" x="1463"/>
        <item m="1" x="1136"/>
        <item m="1" x="456"/>
        <item m="1" x="367"/>
        <item m="1" x="1128"/>
        <item m="1" x="2024"/>
        <item m="1" x="1975"/>
        <item m="1" x="1405"/>
        <item m="1" x="1017"/>
        <item m="1" x="825"/>
        <item m="1" x="1338"/>
        <item m="1" x="587"/>
        <item m="1" x="495"/>
        <item m="1" x="383"/>
        <item m="1" x="356"/>
        <item m="1" x="1144"/>
        <item m="1" x="1687"/>
        <item m="1" x="1863"/>
        <item m="1" x="1296"/>
        <item m="1" x="1241"/>
        <item m="1" x="2033"/>
        <item m="1" x="673"/>
        <item m="1" x="2142"/>
        <item m="1" x="1300"/>
        <item m="1" x="1622"/>
        <item m="1" x="1503"/>
        <item m="1" x="1549"/>
        <item m="1" x="670"/>
        <item m="1" x="238"/>
        <item m="1" x="1838"/>
        <item m="1" x="924"/>
        <item m="1" x="477"/>
        <item m="1" x="1277"/>
        <item m="1" x="1211"/>
        <item m="1" x="996"/>
        <item m="1" x="1084"/>
        <item m="1" x="1336"/>
        <item m="1" x="868"/>
        <item m="1" x="1425"/>
        <item m="1" x="1946"/>
        <item m="1" x="653"/>
        <item m="1" x="1380"/>
        <item m="1" x="108"/>
        <item m="1" x="278"/>
        <item m="1" x="390"/>
        <item m="1" x="1431"/>
        <item m="1" x="1426"/>
        <item m="1" x="2014"/>
        <item m="1" x="1635"/>
        <item m="1" x="1058"/>
        <item m="1" x="841"/>
        <item m="1" x="121"/>
        <item m="1" x="23"/>
        <item m="1" x="275"/>
        <item m="1" x="1333"/>
        <item m="1" x="750"/>
        <item m="1" x="1481"/>
        <item m="1" x="168"/>
        <item m="1" x="1782"/>
        <item m="1" x="1220"/>
        <item m="1" x="660"/>
        <item m="1" x="126"/>
        <item m="1" x="1668"/>
        <item m="1" x="307"/>
        <item m="1" x="415"/>
        <item m="1" x="171"/>
        <item m="1" x="355"/>
        <item m="1" x="703"/>
        <item m="1" x="862"/>
        <item m="1" x="1222"/>
        <item m="1" x="1409"/>
        <item m="1" x="1783"/>
        <item m="1" x="1981"/>
        <item m="1" x="2117"/>
        <item m="1" x="538"/>
        <item m="1" x="1250"/>
        <item m="1" x="1497"/>
        <item m="1" x="1723"/>
        <item m="1" x="2119"/>
        <item m="1" x="784"/>
        <item m="1" x="788"/>
        <item m="1" x="1168"/>
        <item m="1" x="269"/>
        <item m="1" x="1897"/>
        <item m="1" x="1329"/>
        <item m="1" x="1246"/>
        <item m="1" x="2069"/>
        <item m="1" x="1710"/>
        <item m="1" x="1786"/>
        <item m="1" x="1627"/>
        <item m="1" x="567"/>
        <item m="1" x="893"/>
        <item m="1" x="1502"/>
        <item m="1" x="453"/>
        <item m="1" x="596"/>
        <item m="1" x="47"/>
        <item m="1" x="1257"/>
        <item m="1" x="804"/>
        <item m="1" x="2078"/>
        <item m="1" x="1040"/>
        <item m="1" x="1834"/>
        <item m="1" x="2048"/>
        <item m="1" x="1424"/>
        <item m="1" x="794"/>
        <item m="1" x="2082"/>
        <item m="1" x="283"/>
        <item m="1" x="605"/>
        <item m="1" x="944"/>
        <item m="1" x="317"/>
        <item m="1" x="1163"/>
        <item m="1" x="559"/>
        <item m="1" x="627"/>
        <item m="1" x="14"/>
        <item m="1" x="75"/>
        <item m="1" x="105"/>
        <item m="1" x="1922"/>
        <item m="1" x="1709"/>
        <item m="1" x="1784"/>
        <item m="1" x="1141"/>
        <item m="1" x="1223"/>
        <item m="1" x="1313"/>
        <item m="1" x="1383"/>
        <item m="1" x="2086"/>
        <item m="1" x="515"/>
        <item m="1" x="838"/>
        <item m="1" x="836"/>
        <item m="1" x="2083"/>
        <item m="1" x="1521"/>
        <item m="1" x="931"/>
        <item m="1" x="1662"/>
        <item m="1" x="1898"/>
        <item m="1" x="1845"/>
        <item m="1" x="2032"/>
        <item m="1" x="270"/>
        <item m="1" x="228"/>
        <item m="1" x="407"/>
        <item m="1" x="747"/>
        <item m="1" x="710"/>
        <item m="1" x="876"/>
        <item m="1" x="1326"/>
        <item m="1" x="1281"/>
        <item m="1" x="1474"/>
        <item m="1" x="723"/>
        <item m="1" x="664"/>
        <item m="1" x="2040"/>
        <item m="1" x="1808"/>
        <item m="1" x="967"/>
        <item m="1" x="1225"/>
        <item m="1" x="318"/>
        <item m="1" x="323"/>
        <item m="1" x="2124"/>
        <item m="1" x="1678"/>
        <item m="1" x="326"/>
        <item m="1" x="434"/>
        <item m="1" x="776"/>
        <item m="1" x="1252"/>
        <item m="1" x="920"/>
        <item m="1" x="973"/>
        <item m="1" x="768"/>
        <item m="1" x="516"/>
        <item m="1" x="1310"/>
        <item m="1" x="1950"/>
        <item m="1" x="1188"/>
        <item m="1" x="1632"/>
        <item m="1" x="1403"/>
        <item m="1" x="1085"/>
        <item m="1" x="262"/>
        <item m="1" x="1955"/>
        <item m="1" x="447"/>
        <item m="1" x="1940"/>
        <item m="1" x="709"/>
        <item m="1" x="1370"/>
        <item m="1" x="1611"/>
        <item m="1" x="2098"/>
        <item m="1" x="175"/>
        <item m="1" x="161"/>
        <item m="1" x="1774"/>
        <item m="1" x="310"/>
        <item m="1" x="1740"/>
        <item m="1" x="1183"/>
        <item m="1" x="638"/>
        <item m="1" x="90"/>
        <item m="1" x="713"/>
        <item m="1" x="2120"/>
        <item m="1" x="1555"/>
        <item m="1" x="81"/>
        <item m="1" x="21"/>
        <item m="1" x="215"/>
        <item m="1" x="1151"/>
        <item m="1" x="1346"/>
        <item m="1" x="1714"/>
        <item m="1" x="1917"/>
        <item m="1" x="64"/>
        <item m="1" x="239"/>
        <item m="1" x="615"/>
        <item m="1" x="758"/>
        <item m="1" x="908"/>
        <item m="1" x="84"/>
        <item m="1" x="1108"/>
        <item m="1" x="329"/>
        <item m="1" x="1958"/>
        <item m="1" x="1393"/>
        <item m="1" x="2093"/>
        <item m="1" x="744"/>
        <item m="1" x="913"/>
        <item m="1" x="1825"/>
        <item m="1" x="1830"/>
        <item m="1" x="1458"/>
        <item m="1" x="2081"/>
        <item m="1" x="1375"/>
        <item m="1" x="321"/>
        <item m="1" x="5"/>
        <item m="1" x="190"/>
        <item m="1" x="488"/>
        <item m="1" x="49"/>
        <item m="1" x="205"/>
        <item m="1" x="1517"/>
        <item m="1" x="628"/>
        <item m="1" x="1691"/>
        <item m="1" x="995"/>
        <item m="1" x="690"/>
        <item m="1" x="153"/>
        <item m="1" x="1432"/>
        <item m="1" x="2110"/>
        <item m="1" x="201"/>
        <item m="1" x="2028"/>
        <item m="1" x="358"/>
        <item m="1" x="1417"/>
        <item m="1" x="821"/>
        <item m="1" x="1553"/>
        <item m="1" x="1203"/>
        <item m="1" x="650"/>
        <item m="1" x="1044"/>
        <item m="1" x="1638"/>
        <item m="1" x="389"/>
        <item m="1" x="335"/>
        <item m="1" x="1962"/>
        <item m="1" x="202"/>
        <item m="1" x="1815"/>
        <item m="1" x="1978"/>
        <item m="1" x="1469"/>
        <item m="1" x="566"/>
        <item m="1" x="18"/>
        <item m="1" x="1612"/>
        <item m="1" x="151"/>
        <item m="1" x="1761"/>
        <item m="1" x="254"/>
        <item m="1" x="442"/>
        <item m="1" x="772"/>
        <item m="1" x="953"/>
        <item m="1" x="1316"/>
        <item m="1" x="1492"/>
        <item m="1" x="1879"/>
        <item m="1" x="2053"/>
        <item m="1" x="624"/>
        <item m="1" x="1332"/>
        <item m="1" x="1575"/>
        <item m="1" x="1609"/>
        <item m="1" x="1028"/>
        <item m="1" x="207"/>
        <item m="1" x="1820"/>
        <item m="1" x="724"/>
        <item m="1" x="864"/>
        <item m="1" x="1278"/>
        <item m="1" x="1886"/>
        <item m="1" x="871"/>
        <item m="1" x="1358"/>
        <item m="1" x="2064"/>
        <item m="1" x="58"/>
        <item m="1" x="1663"/>
        <item m="1" x="351"/>
        <item m="1" x="1980"/>
        <item m="1" x="2076"/>
        <item m="1" x="2059"/>
        <item m="1" x="1291"/>
        <item m="1" x="127"/>
        <item m="1" x="1648"/>
        <item m="1" x="2153"/>
        <item m="1" x="840"/>
        <item m="1" x="1592"/>
        <item m="1" x="327"/>
        <item m="1" x="1649"/>
        <item m="1" x="73"/>
        <item m="1" x="1100"/>
        <item m="1" x="702"/>
        <item m="1" x="1428"/>
        <item m="1" x="319"/>
        <item m="1" x="1387"/>
        <item m="1" x="277"/>
        <item m="1" x="1906"/>
        <item m="1" x="424"/>
        <item m="1" x="217"/>
        <item m="1" x="586"/>
        <item m="1" x="39"/>
        <item m="1" x="507"/>
        <item m="1" x="1545"/>
        <item m="1" x="968"/>
        <item m="1" x="1700"/>
        <item m="1" x="911"/>
        <item m="1" x="392"/>
        <item m="1" x="2016"/>
        <item m="1" x="1456"/>
        <item m="1" x="857"/>
        <item m="1" x="345"/>
        <item m="1" x="961"/>
        <item m="1" x="401"/>
        <item m="1" x="1912"/>
        <item m="1" x="641"/>
        <item m="1" x="1599"/>
        <item m="1" x="582"/>
        <item m="1" x="1107"/>
        <item m="1" x="1631"/>
        <item m="1" x="36"/>
        <item m="1" x="1475"/>
        <item m="1" x="176"/>
        <item m="1" x="1985"/>
        <item m="1" x="1016"/>
        <item m="1" x="1404"/>
        <item m="1" x="196"/>
        <item m="1" x="1814"/>
        <item m="1" x="1701"/>
        <item m="1" x="45"/>
        <item m="1" x="211"/>
        <item m="1" x="814"/>
        <item m="1" x="1901"/>
        <item m="1" x="1837"/>
        <item m="1" x="524"/>
        <item m="1" x="1568"/>
        <item m="1" x="792"/>
        <item m="1" x="122"/>
        <item m="1" x="440"/>
        <item m="1" x="2067"/>
        <item m="1" x="343"/>
        <item m="1" x="1715"/>
        <item m="1" x="382"/>
        <item m="1" x="1049"/>
        <item m="1" x="2070"/>
        <item m="1" x="1508"/>
        <item m="1" x="1949"/>
        <item m="1" x="655"/>
        <item m="1" x="1253"/>
        <item m="1" x="1414"/>
        <item m="1" x="816"/>
        <item m="1" x="309"/>
        <item m="1" x="970"/>
        <item m="1" x="1080"/>
        <item m="1" x="1288"/>
        <item m="1" x="1659"/>
        <item m="1" x="1859"/>
        <item m="1" x="15"/>
        <item m="1" x="188"/>
        <item m="1" x="561"/>
        <item m="1" x="717"/>
        <item m="1" x="31"/>
        <item m="1" x="302"/>
        <item m="1" x="1934"/>
        <item m="1" x="565"/>
        <item m="1" x="1871"/>
        <item m="1" x="1520"/>
        <item m="1" x="11"/>
        <item m="1" x="1396"/>
        <item m="1" x="1094"/>
        <item m="1" x="124"/>
        <item m="1" x="1895"/>
        <item m="1" x="1213"/>
        <item m="1" x="1720"/>
        <item m="1" x="1849"/>
        <item m="1" x="1793"/>
        <item m="1" x="1851"/>
        <item m="1" x="1106"/>
        <item m="1" x="591"/>
        <item m="1" x="1852"/>
        <item m="1" x="183"/>
        <item m="1" x="1239"/>
        <item m="1" x="1323"/>
        <item m="1" x="1245"/>
        <item m="1" x="333"/>
        <item m="1" x="91"/>
        <item m="1" x="2145"/>
        <item m="1" x="1581"/>
        <item m="1" x="1096"/>
        <item m="1" x="637"/>
        <item m="1" x="1009"/>
        <item m="1" x="1702"/>
        <item m="1" x="1287"/>
        <item m="1" x="1923"/>
        <item m="1" x="1351"/>
        <item m="1" x="766"/>
        <item m="1" x="854"/>
        <item m="1" x="1499"/>
        <item m="1" x="1389"/>
        <item m="1" x="279"/>
        <item m="1" x="336"/>
        <item m="1" x="312"/>
        <item m="1" x="1944"/>
        <item m="1" x="2133"/>
        <item m="1" x="138"/>
        <item m="1" x="755"/>
        <item m="1" x="399"/>
        <item m="1" x="10"/>
        <item m="1" x="1986"/>
        <item m="1" x="209"/>
        <item m="1" x="2134"/>
        <item m="1" x="1451"/>
        <item m="1" x="852"/>
        <item m="1" x="258"/>
        <item m="1" x="1887"/>
        <item m="1" x="1621"/>
        <item m="1" x="1037"/>
        <item m="1" x="896"/>
        <item m="1" x="1322"/>
        <item m="1" x="9"/>
        <item m="1" x="2111"/>
        <item m="1" x="1540"/>
        <item m="1" x="2011"/>
        <item m="1" x="527"/>
        <item m="1" x="1989"/>
        <item m="1" x="1418"/>
        <item m="1" x="1558"/>
        <item m="1" x="1236"/>
        <item m="1" x="1038"/>
        <item m="1" x="165"/>
        <item m="1" x="1219"/>
        <item m="1" x="1943"/>
        <item m="1" x="1376"/>
        <item m="1" x="268"/>
        <item m="1" x="220"/>
        <item m="1" x="1833"/>
        <item m="1" x="824"/>
        <item m="1" x="2037"/>
        <item m="1" x="50"/>
        <item m="1" x="416"/>
        <item m="1" x="597"/>
        <item m="1" x="881"/>
        <item m="1" x="1072"/>
        <item m="1" x="1476"/>
        <item m="1" x="1650"/>
        <item m="1" x="1189"/>
        <item m="1" x="1479"/>
        <item m="1" x="1993"/>
        <item m="1" x="1422"/>
        <item m="1" x="1624"/>
        <item m="1" x="520"/>
        <item m="1" x="1756"/>
        <item m="1" x="1202"/>
        <item m="1" x="1368"/>
        <item m="1" x="116"/>
        <item m="1" x="1435"/>
        <item m="1" x="839"/>
        <item m="1" x="462"/>
        <item m="1" x="2073"/>
        <item m="1" x="1512"/>
        <item m="1" x="48"/>
        <item m="1" x="1647"/>
        <item m="1" x="2034"/>
        <item m="1" x="1162"/>
        <item m="1" x="1672"/>
        <item m="1" x="1677"/>
        <item m="1" x="831"/>
        <item m="1" x="1728"/>
        <item m="1" x="677"/>
        <item m="1" x="1023"/>
        <item m="1" x="1234"/>
        <item m="1" x="1694"/>
        <item m="1" x="578"/>
        <item m="1" x="1221"/>
        <item m="1" x="579"/>
        <item m="1" x="1629"/>
        <item m="1" x="1046"/>
        <item m="1" x="1780"/>
        <item m="1" x="1093"/>
        <item m="1" x="1992"/>
        <item m="1" x="1423"/>
        <item m="1" x="827"/>
        <item m="1" x="1679"/>
        <item m="1" x="611"/>
        <item m="1" x="698"/>
        <item m="1" x="484"/>
        <item m="1" x="651"/>
        <item m="1" x="997"/>
        <item m="1" x="1207"/>
        <item m="1" x="1526"/>
        <item m="1" x="1708"/>
        <item m="1" x="2087"/>
        <item m="1" x="101"/>
        <item m="1" x="659"/>
        <item m="1" x="775"/>
        <item m="1" x="2080"/>
        <item m="1" x="1372"/>
        <item m="1" x="1464"/>
        <item m="1" x="1339"/>
        <item m="1" x="1811"/>
        <item m="1" x="1819"/>
        <item m="1" x="1885"/>
        <item m="1" x="617"/>
        <item m="1" x="346"/>
        <item m="1" x="1758"/>
        <item m="1" x="898"/>
        <item m="1" x="233"/>
        <item m="1" x="273"/>
        <item m="1" x="576"/>
        <item m="1" x="541"/>
        <item m="1" x="57"/>
        <item m="1" x="878"/>
        <item m="1" x="441"/>
        <item m="1" x="2050"/>
        <item m="1" x="583"/>
        <item m="1" x="230"/>
        <item m="1" x="1848"/>
        <item m="1" x="834"/>
        <item m="1" x="320"/>
        <item m="1" x="97"/>
        <item m="1" x="494"/>
        <item m="1" x="1566"/>
        <item m="1" x="1386"/>
        <item m="1" x="790"/>
        <item m="1" x="942"/>
        <item m="1" x="1680"/>
        <item m="1" x="1737"/>
        <item m="1" x="1178"/>
        <item m="1" x="635"/>
        <item m="1" x="13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4" t="s">
        <v>42</v>
      </c>
      <c r="C2" s="134"/>
      <c r="D2" s="134"/>
      <c r="E2" s="134"/>
      <c r="F2" s="134"/>
      <c r="G2" s="134"/>
      <c r="H2" s="134"/>
      <c r="I2" s="134"/>
      <c r="J2" s="134"/>
      <c r="K2" s="134"/>
    </row>
    <row r="3" spans="2:1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</row>
    <row r="4" spans="2:11" x14ac:dyDescent="0.25">
      <c r="B4" s="134"/>
      <c r="C4" s="134"/>
      <c r="D4" s="134"/>
      <c r="E4" s="134"/>
      <c r="F4" s="134"/>
      <c r="G4" s="134"/>
      <c r="H4" s="134"/>
      <c r="I4" s="134"/>
      <c r="J4" s="134"/>
      <c r="K4" s="13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5" t="s">
        <v>21</v>
      </c>
      <c r="C10" s="135"/>
      <c r="D10" s="135"/>
      <c r="E10" s="3"/>
      <c r="F10" s="135" t="s">
        <v>31</v>
      </c>
      <c r="G10" s="135"/>
      <c r="H10" s="135"/>
      <c r="I10" s="135"/>
      <c r="J10" s="135"/>
      <c r="K10" s="135"/>
    </row>
    <row r="11" spans="2:11" x14ac:dyDescent="0.25">
      <c r="B11" s="135" t="s">
        <v>22</v>
      </c>
      <c r="C11" s="135"/>
      <c r="D11" s="135"/>
      <c r="E11" s="3"/>
      <c r="F11" s="135" t="s">
        <v>32</v>
      </c>
      <c r="G11" s="135"/>
      <c r="H11" s="135"/>
      <c r="I11" s="135"/>
      <c r="J11" s="135"/>
      <c r="K11" s="135"/>
    </row>
    <row r="12" spans="2:11" x14ac:dyDescent="0.25">
      <c r="B12" s="135" t="s">
        <v>28</v>
      </c>
      <c r="C12" s="135"/>
      <c r="D12" s="135"/>
      <c r="E12" s="3"/>
      <c r="F12" s="135" t="s">
        <v>34</v>
      </c>
      <c r="G12" s="135"/>
      <c r="H12" s="135"/>
      <c r="I12" s="135"/>
      <c r="J12" s="135"/>
      <c r="K12" s="135"/>
    </row>
    <row r="13" spans="2:11" x14ac:dyDescent="0.25">
      <c r="B13" s="135" t="s">
        <v>11</v>
      </c>
      <c r="C13" s="135"/>
      <c r="D13" s="135"/>
      <c r="E13" s="3"/>
      <c r="F13" s="135" t="s">
        <v>35</v>
      </c>
      <c r="G13" s="135"/>
      <c r="H13" s="135"/>
      <c r="I13" s="135"/>
      <c r="J13" s="135"/>
      <c r="K13" s="135"/>
    </row>
    <row r="14" spans="2:11" x14ac:dyDescent="0.25">
      <c r="B14" s="135" t="s">
        <v>23</v>
      </c>
      <c r="C14" s="135"/>
      <c r="D14" s="135"/>
      <c r="E14" s="3"/>
      <c r="F14" s="135" t="s">
        <v>36</v>
      </c>
      <c r="G14" s="135"/>
      <c r="H14" s="135"/>
      <c r="I14" s="135"/>
      <c r="J14" s="135"/>
      <c r="K14" s="135"/>
    </row>
    <row r="15" spans="2:11" x14ac:dyDescent="0.25">
      <c r="B15" s="135" t="s">
        <v>24</v>
      </c>
      <c r="C15" s="135"/>
      <c r="D15" s="135"/>
      <c r="E15" s="3"/>
      <c r="F15" s="135" t="s">
        <v>38</v>
      </c>
      <c r="G15" s="135"/>
      <c r="H15" s="135"/>
      <c r="I15" s="135"/>
      <c r="J15" s="135"/>
      <c r="K15" s="135"/>
    </row>
    <row r="16" spans="2:11" x14ac:dyDescent="0.25">
      <c r="B16" s="135" t="s">
        <v>25</v>
      </c>
      <c r="C16" s="135"/>
      <c r="D16" s="135"/>
      <c r="E16" s="3"/>
      <c r="F16" s="135" t="s">
        <v>33</v>
      </c>
      <c r="G16" s="135"/>
      <c r="H16" s="135"/>
      <c r="I16" s="135"/>
      <c r="J16" s="135"/>
      <c r="K16" s="135"/>
    </row>
    <row r="17" spans="2:11" x14ac:dyDescent="0.25">
      <c r="B17" s="135" t="s">
        <v>29</v>
      </c>
      <c r="C17" s="135"/>
      <c r="D17" s="135"/>
      <c r="E17" s="3"/>
      <c r="F17" s="135" t="s">
        <v>40</v>
      </c>
      <c r="G17" s="135"/>
      <c r="H17" s="135"/>
      <c r="I17" s="135"/>
      <c r="J17" s="135"/>
      <c r="K17" s="135"/>
    </row>
    <row r="18" spans="2:11" x14ac:dyDescent="0.25">
      <c r="B18" s="135" t="s">
        <v>26</v>
      </c>
      <c r="C18" s="135"/>
      <c r="D18" s="135"/>
      <c r="E18" s="3"/>
      <c r="F18" s="135" t="s">
        <v>37</v>
      </c>
      <c r="G18" s="135"/>
      <c r="H18" s="135"/>
      <c r="I18" s="135"/>
      <c r="J18" s="135"/>
      <c r="K18" s="135"/>
    </row>
    <row r="19" spans="2:11" x14ac:dyDescent="0.25">
      <c r="B19" s="135" t="s">
        <v>27</v>
      </c>
      <c r="C19" s="135"/>
      <c r="D19" s="135"/>
      <c r="E19" s="3"/>
      <c r="F19" s="135" t="s">
        <v>39</v>
      </c>
      <c r="G19" s="135"/>
      <c r="H19" s="135"/>
      <c r="I19" s="135"/>
      <c r="J19" s="135"/>
      <c r="K19" s="135"/>
    </row>
    <row r="21" spans="2:11" x14ac:dyDescent="0.25">
      <c r="B21" s="136" t="s">
        <v>43</v>
      </c>
      <c r="C21" s="136"/>
      <c r="D21" s="136"/>
      <c r="E21" s="136"/>
      <c r="F21" s="136"/>
      <c r="G21" s="136"/>
      <c r="H21" s="136"/>
      <c r="I21" s="136"/>
      <c r="J21" s="136"/>
      <c r="K21" s="136"/>
    </row>
    <row r="22" spans="2:11" x14ac:dyDescent="0.25">
      <c r="B22" s="136"/>
      <c r="C22" s="136"/>
      <c r="D22" s="136"/>
      <c r="E22" s="136"/>
      <c r="F22" s="136"/>
      <c r="G22" s="136"/>
      <c r="H22" s="136"/>
      <c r="I22" s="136"/>
      <c r="J22" s="136"/>
      <c r="K22" s="136"/>
    </row>
    <row r="23" spans="2:11" x14ac:dyDescent="0.25"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2:1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2:1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2:11" x14ac:dyDescent="0.25"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7" t="s">
        <v>107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11"/>
      <c r="M1" s="111"/>
      <c r="N1" s="112"/>
      <c r="O1" s="112"/>
      <c r="P1" s="112"/>
      <c r="Q1" s="112"/>
    </row>
    <row r="2" spans="1:17" ht="15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36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40" t="s">
        <v>107</v>
      </c>
      <c r="D2" s="140"/>
      <c r="E2" s="140"/>
      <c r="F2" s="140"/>
      <c r="K2" s="51"/>
      <c r="L2" s="51"/>
    </row>
    <row r="3" spans="1:56" s="6" customFormat="1" ht="25.5" x14ac:dyDescent="0.25">
      <c r="C3" s="139" t="s">
        <v>143</v>
      </c>
      <c r="D3" s="139"/>
      <c r="E3" s="139"/>
      <c r="F3" s="13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8"/>
      <c r="D6" s="138"/>
      <c r="E6" s="138"/>
      <c r="F6" s="138"/>
      <c r="G6" s="138"/>
      <c r="H6" s="138"/>
      <c r="L6" s="46"/>
    </row>
    <row r="7" spans="1:56" s="6" customFormat="1" ht="18.75" x14ac:dyDescent="0.3">
      <c r="L7" s="46"/>
      <c r="S7" s="46"/>
      <c r="T7" s="138"/>
      <c r="U7" s="138"/>
      <c r="V7" s="138"/>
      <c r="W7" s="138"/>
      <c r="X7" s="138"/>
      <c r="Y7" s="138"/>
    </row>
    <row r="8" spans="1:56" ht="18.75" x14ac:dyDescent="0.3">
      <c r="B8" s="63"/>
      <c r="C8" s="138" t="s">
        <v>403</v>
      </c>
      <c r="D8" s="138"/>
      <c r="E8" s="138"/>
      <c r="F8" s="138"/>
      <c r="G8" s="138"/>
      <c r="H8" s="13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20">
        <v>44531</v>
      </c>
      <c r="E12" s="120">
        <v>44523</v>
      </c>
      <c r="F12" s="117" t="s">
        <v>139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1195</v>
      </c>
      <c r="D13" s="117" t="s">
        <v>124</v>
      </c>
      <c r="E13" s="120">
        <v>44559</v>
      </c>
      <c r="F13" s="117" t="s">
        <v>139</v>
      </c>
      <c r="G13" s="97"/>
      <c r="H13" s="98">
        <v>63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1195</v>
      </c>
      <c r="D14" s="117" t="s">
        <v>124</v>
      </c>
      <c r="E14" s="120">
        <v>44564</v>
      </c>
      <c r="F14" s="117" t="s">
        <v>139</v>
      </c>
      <c r="G14" s="97"/>
      <c r="H14" s="98">
        <v>1248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1195</v>
      </c>
      <c r="D15" s="117" t="s">
        <v>124</v>
      </c>
      <c r="E15" s="120">
        <v>44564</v>
      </c>
      <c r="F15" s="117" t="s">
        <v>46</v>
      </c>
      <c r="G15" s="97"/>
      <c r="H15" s="98">
        <v>307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1207</v>
      </c>
      <c r="D16" s="117" t="s">
        <v>124</v>
      </c>
      <c r="E16" s="120">
        <v>44576</v>
      </c>
      <c r="F16" s="117" t="s">
        <v>46</v>
      </c>
      <c r="G16" s="97"/>
      <c r="H16" s="98">
        <v>129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7" t="s">
        <v>124</v>
      </c>
      <c r="E17" s="120">
        <v>44510</v>
      </c>
      <c r="F17" s="117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7" t="s">
        <v>124</v>
      </c>
      <c r="E18" s="120">
        <v>44512</v>
      </c>
      <c r="F18" s="117" t="s">
        <v>139</v>
      </c>
      <c r="G18" s="97"/>
      <c r="H18" s="98">
        <v>17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20">
        <v>44531</v>
      </c>
      <c r="E19" s="120">
        <v>44516</v>
      </c>
      <c r="F19" s="117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7" t="s">
        <v>124</v>
      </c>
      <c r="E21" s="120">
        <v>44510</v>
      </c>
      <c r="F21" s="117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7" t="s">
        <v>124</v>
      </c>
      <c r="E22" s="120">
        <v>44468</v>
      </c>
      <c r="F22" s="117" t="s">
        <v>139</v>
      </c>
      <c r="G22" s="97">
        <v>1170</v>
      </c>
      <c r="H22" s="98">
        <v>1178</v>
      </c>
      <c r="I22" s="99">
        <v>0.99320882852292025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20">
        <v>44515</v>
      </c>
      <c r="E23" s="120">
        <v>44505</v>
      </c>
      <c r="F23" s="117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20">
        <v>44515</v>
      </c>
      <c r="E24" s="120">
        <v>44518</v>
      </c>
      <c r="F24" s="117" t="s">
        <v>46</v>
      </c>
      <c r="G24" s="97"/>
      <c r="H24" s="98">
        <v>46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20">
        <v>44515</v>
      </c>
      <c r="E25" s="120">
        <v>44513</v>
      </c>
      <c r="F25" s="117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20">
        <v>44515</v>
      </c>
      <c r="E26" s="120">
        <v>44517</v>
      </c>
      <c r="F26" s="117" t="s">
        <v>46</v>
      </c>
      <c r="G26" s="97">
        <v>1</v>
      </c>
      <c r="H26" s="98">
        <v>52</v>
      </c>
      <c r="I26" s="99">
        <v>1.9230769230769232E-2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329</v>
      </c>
      <c r="D27" s="120">
        <v>44531</v>
      </c>
      <c r="E27" s="120">
        <v>44512</v>
      </c>
      <c r="F27" s="117" t="s">
        <v>46</v>
      </c>
      <c r="G27" s="97">
        <v>192</v>
      </c>
      <c r="H27" s="98">
        <v>400</v>
      </c>
      <c r="I27" s="99">
        <v>0.48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382</v>
      </c>
      <c r="D28" s="120">
        <v>44525</v>
      </c>
      <c r="E28" s="120">
        <v>44512</v>
      </c>
      <c r="F28" s="117" t="s">
        <v>139</v>
      </c>
      <c r="G28" s="97"/>
      <c r="H28" s="98">
        <v>16790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382</v>
      </c>
      <c r="D29" s="120">
        <v>44525</v>
      </c>
      <c r="E29" s="120">
        <v>44512</v>
      </c>
      <c r="F29" s="117" t="s">
        <v>46</v>
      </c>
      <c r="G29" s="97"/>
      <c r="H29" s="98">
        <v>994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395</v>
      </c>
      <c r="D30" s="117" t="s">
        <v>322</v>
      </c>
      <c r="E30" s="120">
        <v>44510</v>
      </c>
      <c r="F30" s="117" t="s">
        <v>139</v>
      </c>
      <c r="G30" s="97">
        <v>90500</v>
      </c>
      <c r="H30" s="98">
        <v>210500</v>
      </c>
      <c r="I30" s="99">
        <v>0.42992874109263657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395</v>
      </c>
      <c r="D31" s="117" t="s">
        <v>322</v>
      </c>
      <c r="E31" s="120">
        <v>44516</v>
      </c>
      <c r="F31" s="117" t="s">
        <v>139</v>
      </c>
      <c r="G31" s="97"/>
      <c r="H31" s="98">
        <v>20000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264</v>
      </c>
      <c r="D32" s="120">
        <v>44515</v>
      </c>
      <c r="E32" s="120">
        <v>44518</v>
      </c>
      <c r="F32" s="117" t="s">
        <v>46</v>
      </c>
      <c r="G32" s="97"/>
      <c r="H32" s="98">
        <v>2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408</v>
      </c>
      <c r="D33" s="120">
        <v>44516</v>
      </c>
      <c r="E33" s="120">
        <v>44512</v>
      </c>
      <c r="F33" s="117" t="s">
        <v>139</v>
      </c>
      <c r="G33" s="97"/>
      <c r="H33" s="98">
        <v>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413</v>
      </c>
      <c r="D34" s="120">
        <v>44517</v>
      </c>
      <c r="E34" s="120">
        <v>44526</v>
      </c>
      <c r="F34" s="117" t="s">
        <v>46</v>
      </c>
      <c r="G34" s="97"/>
      <c r="H34" s="98">
        <v>128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346</v>
      </c>
      <c r="D35" s="120">
        <v>44501</v>
      </c>
      <c r="E35" s="120">
        <v>44491</v>
      </c>
      <c r="F35" s="117" t="s">
        <v>46</v>
      </c>
      <c r="G35" s="97">
        <v>23</v>
      </c>
      <c r="H35" s="98">
        <v>38</v>
      </c>
      <c r="I35" s="99">
        <v>0.60526315789473684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1178</v>
      </c>
      <c r="D36" s="120">
        <v>44501</v>
      </c>
      <c r="E36" s="120">
        <v>44516</v>
      </c>
      <c r="F36" s="117" t="s">
        <v>139</v>
      </c>
      <c r="G36" s="97"/>
      <c r="H36" s="98">
        <v>6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36">
    <cfRule type="cellIs" dxfId="464" priority="408" operator="equal">
      <formula>1</formula>
    </cfRule>
  </conditionalFormatting>
  <conditionalFormatting pivot="1" sqref="I11:I36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L13" sqref="L13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0" t="s">
        <v>123</v>
      </c>
      <c r="C2" s="140"/>
      <c r="D2" s="140"/>
      <c r="E2" s="140"/>
      <c r="F2" s="140"/>
      <c r="G2" s="14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212</v>
      </c>
      <c r="D31" s="46" t="s">
        <v>395</v>
      </c>
      <c r="E31" s="46" t="s">
        <v>0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247</v>
      </c>
      <c r="D32" s="46" t="s">
        <v>395</v>
      </c>
      <c r="E32" s="46" t="s">
        <v>0</v>
      </c>
      <c r="F32" s="46" t="s">
        <v>139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249</v>
      </c>
      <c r="D33" s="46" t="s">
        <v>395</v>
      </c>
      <c r="E33" s="46" t="s">
        <v>0</v>
      </c>
      <c r="F33" s="46" t="s">
        <v>139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732</v>
      </c>
      <c r="D34" s="46" t="s">
        <v>269</v>
      </c>
      <c r="E34" s="46" t="s">
        <v>1</v>
      </c>
      <c r="F34" s="46" t="s">
        <v>139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733</v>
      </c>
      <c r="D35" s="46" t="s">
        <v>269</v>
      </c>
      <c r="E35" s="46" t="s">
        <v>1</v>
      </c>
      <c r="F35" s="46" t="s">
        <v>139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734</v>
      </c>
      <c r="D36" s="46" t="s">
        <v>269</v>
      </c>
      <c r="E36" s="46" t="s">
        <v>1</v>
      </c>
      <c r="F36" s="46" t="s">
        <v>139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735</v>
      </c>
      <c r="D37" s="46" t="s">
        <v>269</v>
      </c>
      <c r="E37" s="46" t="s">
        <v>1</v>
      </c>
      <c r="F37" s="46" t="s">
        <v>139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736</v>
      </c>
      <c r="D38" s="46" t="s">
        <v>269</v>
      </c>
      <c r="E38" s="46" t="s">
        <v>1</v>
      </c>
      <c r="F38" s="46" t="s">
        <v>139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737</v>
      </c>
      <c r="D39" s="46" t="s">
        <v>269</v>
      </c>
      <c r="E39" s="46" t="s">
        <v>1</v>
      </c>
      <c r="F39" s="46" t="s">
        <v>139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278</v>
      </c>
      <c r="D40" s="46" t="s">
        <v>269</v>
      </c>
      <c r="E40" s="46" t="s">
        <v>1</v>
      </c>
      <c r="F40" s="46" t="s">
        <v>139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738</v>
      </c>
      <c r="D41" s="46" t="s">
        <v>269</v>
      </c>
      <c r="E41" s="46" t="s">
        <v>1</v>
      </c>
      <c r="F41" s="46" t="s">
        <v>139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739</v>
      </c>
      <c r="D42" s="46" t="s">
        <v>269</v>
      </c>
      <c r="E42" s="46" t="s">
        <v>1</v>
      </c>
      <c r="F42" s="46" t="s">
        <v>139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740</v>
      </c>
      <c r="D43" s="46" t="s">
        <v>269</v>
      </c>
      <c r="E43" s="46" t="s">
        <v>1</v>
      </c>
      <c r="F43" s="46" t="s">
        <v>139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298</v>
      </c>
      <c r="D44" s="46" t="s">
        <v>269</v>
      </c>
      <c r="E44" s="46" t="s">
        <v>1</v>
      </c>
      <c r="F44" s="46" t="s">
        <v>139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300</v>
      </c>
      <c r="D45" s="46" t="s">
        <v>269</v>
      </c>
      <c r="E45" s="46" t="s">
        <v>1</v>
      </c>
      <c r="F45" s="46" t="s">
        <v>139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346</v>
      </c>
      <c r="D46" s="46" t="s">
        <v>346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385</v>
      </c>
      <c r="D47" s="46" t="s">
        <v>386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407</v>
      </c>
      <c r="D48" s="46" t="s">
        <v>408</v>
      </c>
      <c r="E48" s="46" t="s">
        <v>1</v>
      </c>
      <c r="F48" s="46" t="s">
        <v>139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412</v>
      </c>
      <c r="D49" s="46" t="s">
        <v>413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1170</v>
      </c>
      <c r="D50" s="46" t="s">
        <v>329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1172</v>
      </c>
      <c r="D51" s="46" t="s">
        <v>382</v>
      </c>
      <c r="E51" s="46" t="s">
        <v>2</v>
      </c>
      <c r="F51" s="46" t="s">
        <v>139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382</v>
      </c>
      <c r="E52" s="46" t="s">
        <v>2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1175</v>
      </c>
      <c r="D53" s="46" t="s">
        <v>382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435</v>
      </c>
      <c r="D54" s="46" t="s">
        <v>382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437</v>
      </c>
      <c r="D55" s="46" t="s">
        <v>382</v>
      </c>
      <c r="E55" s="46" t="s">
        <v>0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439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1176</v>
      </c>
      <c r="D57" s="46" t="s">
        <v>383</v>
      </c>
      <c r="E57" s="46" t="s">
        <v>1</v>
      </c>
      <c r="F57" s="46" t="s">
        <v>139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321</v>
      </c>
      <c r="D58" s="46" t="s">
        <v>348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745</v>
      </c>
      <c r="D59" s="46" t="s">
        <v>390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753</v>
      </c>
      <c r="D60" s="46" t="s">
        <v>390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754</v>
      </c>
      <c r="D61" s="46" t="s">
        <v>390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445</v>
      </c>
      <c r="D62" s="46" t="s">
        <v>201</v>
      </c>
      <c r="E62" s="46" t="s">
        <v>1</v>
      </c>
      <c r="F62" s="46" t="s">
        <v>139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264</v>
      </c>
      <c r="D63" s="46" t="s">
        <v>264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1190</v>
      </c>
      <c r="D64" s="46" t="s">
        <v>405</v>
      </c>
      <c r="E64" s="46" t="s">
        <v>1</v>
      </c>
      <c r="F64" s="46" t="s">
        <v>139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448</v>
      </c>
      <c r="D65" s="46" t="s">
        <v>405</v>
      </c>
      <c r="E65" s="46" t="s">
        <v>1</v>
      </c>
      <c r="F65" s="46" t="s">
        <v>139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1191</v>
      </c>
      <c r="D66" s="46" t="s">
        <v>405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410</v>
      </c>
      <c r="D67" s="46" t="s">
        <v>283</v>
      </c>
      <c r="E67" s="46" t="s">
        <v>1</v>
      </c>
      <c r="F67" s="46" t="s">
        <v>139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724</v>
      </c>
      <c r="C68" s="39" t="s">
        <v>212</v>
      </c>
      <c r="D68" s="46" t="s">
        <v>395</v>
      </c>
      <c r="E68" s="46" t="s">
        <v>0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247</v>
      </c>
      <c r="D69" s="46" t="s">
        <v>395</v>
      </c>
      <c r="E69" s="46" t="s">
        <v>0</v>
      </c>
      <c r="F69" s="46" t="s">
        <v>139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249</v>
      </c>
      <c r="D70" s="46" t="s">
        <v>395</v>
      </c>
      <c r="E70" s="46" t="s">
        <v>0</v>
      </c>
      <c r="F70" s="46" t="s">
        <v>139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1170</v>
      </c>
      <c r="D71" s="46" t="s">
        <v>329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1172</v>
      </c>
      <c r="D72" s="46" t="s">
        <v>382</v>
      </c>
      <c r="E72" s="46" t="s">
        <v>2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1175</v>
      </c>
      <c r="D73" s="46" t="s">
        <v>382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435</v>
      </c>
      <c r="D74" s="46" t="s">
        <v>382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437</v>
      </c>
      <c r="D75" s="46" t="s">
        <v>382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439</v>
      </c>
      <c r="D76" s="46" t="s">
        <v>382</v>
      </c>
      <c r="E76" s="46" t="s">
        <v>2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212</v>
      </c>
      <c r="D77" s="46" t="s">
        <v>395</v>
      </c>
      <c r="E77" s="46" t="s">
        <v>0</v>
      </c>
      <c r="F77" s="46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247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249</v>
      </c>
      <c r="D79" s="46" t="s">
        <v>395</v>
      </c>
      <c r="E79" s="46" t="s">
        <v>0</v>
      </c>
      <c r="F79" s="46" t="s">
        <v>139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732</v>
      </c>
      <c r="D80" s="46" t="s">
        <v>269</v>
      </c>
      <c r="E80" s="46" t="s">
        <v>1</v>
      </c>
      <c r="F80" s="46" t="s">
        <v>139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733</v>
      </c>
      <c r="D81" s="46" t="s">
        <v>269</v>
      </c>
      <c r="E81" s="46" t="s">
        <v>1</v>
      </c>
      <c r="F81" s="46" t="s">
        <v>139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736</v>
      </c>
      <c r="D82" s="46" t="s">
        <v>269</v>
      </c>
      <c r="E82" s="46" t="s">
        <v>1</v>
      </c>
      <c r="F82" s="46" t="s">
        <v>139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278</v>
      </c>
      <c r="D83" s="46" t="s">
        <v>269</v>
      </c>
      <c r="E83" s="46" t="s">
        <v>1</v>
      </c>
      <c r="F83" s="46" t="s">
        <v>139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739</v>
      </c>
      <c r="D84" s="46" t="s">
        <v>269</v>
      </c>
      <c r="E84" s="46" t="s">
        <v>1</v>
      </c>
      <c r="F84" s="46" t="s">
        <v>139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741</v>
      </c>
      <c r="D85" s="46" t="s">
        <v>269</v>
      </c>
      <c r="E85" s="46" t="s">
        <v>1</v>
      </c>
      <c r="F85" s="46" t="s">
        <v>139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298</v>
      </c>
      <c r="D86" s="46" t="s">
        <v>269</v>
      </c>
      <c r="E86" s="46" t="s">
        <v>1</v>
      </c>
      <c r="F86" s="46" t="s">
        <v>139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346</v>
      </c>
      <c r="D87" s="46" t="s">
        <v>346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407</v>
      </c>
      <c r="D88" s="46" t="s">
        <v>408</v>
      </c>
      <c r="E88" s="46" t="s">
        <v>1</v>
      </c>
      <c r="F88" s="46" t="s">
        <v>139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412</v>
      </c>
      <c r="D89" s="46" t="s">
        <v>413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1170</v>
      </c>
      <c r="D90" s="46" t="s">
        <v>329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1172</v>
      </c>
      <c r="D91" s="46" t="s">
        <v>382</v>
      </c>
      <c r="E91" s="46" t="s">
        <v>2</v>
      </c>
      <c r="F91" s="46" t="s">
        <v>139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1174</v>
      </c>
      <c r="D92" s="46" t="s">
        <v>382</v>
      </c>
      <c r="E92" s="46" t="s">
        <v>2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1175</v>
      </c>
      <c r="D93" s="46" t="s">
        <v>382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435</v>
      </c>
      <c r="D94" s="46" t="s">
        <v>382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437</v>
      </c>
      <c r="D95" s="46" t="s">
        <v>382</v>
      </c>
      <c r="E95" s="46" t="s">
        <v>0</v>
      </c>
      <c r="F95" s="46" t="s">
        <v>139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439</v>
      </c>
      <c r="D96" s="46" t="s">
        <v>382</v>
      </c>
      <c r="E96" s="46" t="s">
        <v>2</v>
      </c>
      <c r="F96" s="46" t="s">
        <v>139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1176</v>
      </c>
      <c r="D97" s="46" t="s">
        <v>383</v>
      </c>
      <c r="E97" s="46" t="s">
        <v>1</v>
      </c>
      <c r="F97" s="46" t="s">
        <v>139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321</v>
      </c>
      <c r="D98" s="46" t="s">
        <v>348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742</v>
      </c>
      <c r="D99" s="46" t="s">
        <v>390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743</v>
      </c>
      <c r="D100" s="46" t="s">
        <v>390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753</v>
      </c>
      <c r="D101" s="46" t="s">
        <v>390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754</v>
      </c>
      <c r="D102" s="46" t="s">
        <v>390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212</v>
      </c>
      <c r="D103" s="46" t="s">
        <v>395</v>
      </c>
      <c r="E103" s="46" t="s">
        <v>0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247</v>
      </c>
      <c r="D104" s="46" t="s">
        <v>395</v>
      </c>
      <c r="E104" s="46" t="s">
        <v>0</v>
      </c>
      <c r="F104" s="46" t="s">
        <v>139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249</v>
      </c>
      <c r="D105" s="46" t="s">
        <v>395</v>
      </c>
      <c r="E105" s="46" t="s">
        <v>0</v>
      </c>
      <c r="F105" s="46" t="s">
        <v>139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732</v>
      </c>
      <c r="D106" s="46" t="s">
        <v>269</v>
      </c>
      <c r="E106" s="46" t="s">
        <v>1</v>
      </c>
      <c r="F106" s="46" t="s">
        <v>139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733</v>
      </c>
      <c r="D107" s="46" t="s">
        <v>269</v>
      </c>
      <c r="E107" s="46" t="s">
        <v>1</v>
      </c>
      <c r="F107" s="46" t="s">
        <v>139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735</v>
      </c>
      <c r="D108" s="46" t="s">
        <v>269</v>
      </c>
      <c r="E108" s="46" t="s">
        <v>1</v>
      </c>
      <c r="F108" s="46" t="s">
        <v>139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736</v>
      </c>
      <c r="D109" s="46" t="s">
        <v>269</v>
      </c>
      <c r="E109" s="46" t="s">
        <v>1</v>
      </c>
      <c r="F109" s="46" t="s">
        <v>139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737</v>
      </c>
      <c r="D110" s="46" t="s">
        <v>269</v>
      </c>
      <c r="E110" s="46" t="s">
        <v>1</v>
      </c>
      <c r="F110" s="46" t="s">
        <v>139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278</v>
      </c>
      <c r="D111" s="46" t="s">
        <v>269</v>
      </c>
      <c r="E111" s="46" t="s">
        <v>1</v>
      </c>
      <c r="F111" s="46" t="s">
        <v>139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738</v>
      </c>
      <c r="D112" s="46" t="s">
        <v>269</v>
      </c>
      <c r="E112" s="46" t="s">
        <v>1</v>
      </c>
      <c r="F112" s="46" t="s">
        <v>139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739</v>
      </c>
      <c r="D113" s="46" t="s">
        <v>269</v>
      </c>
      <c r="E113" s="46" t="s">
        <v>1</v>
      </c>
      <c r="F113" s="46" t="s">
        <v>139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300</v>
      </c>
      <c r="D114" s="46" t="s">
        <v>269</v>
      </c>
      <c r="E114" s="46" t="s">
        <v>1</v>
      </c>
      <c r="F114" s="46" t="s">
        <v>139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346</v>
      </c>
      <c r="D115" s="46" t="s">
        <v>346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412</v>
      </c>
      <c r="D116" s="46" t="s">
        <v>413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1170</v>
      </c>
      <c r="D117" s="46" t="s">
        <v>329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1172</v>
      </c>
      <c r="D118" s="46" t="s">
        <v>382</v>
      </c>
      <c r="E118" s="46" t="s">
        <v>2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1174</v>
      </c>
      <c r="D119" s="46" t="s">
        <v>382</v>
      </c>
      <c r="E119" s="46" t="s">
        <v>2</v>
      </c>
      <c r="F119" s="46" t="s">
        <v>139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1175</v>
      </c>
      <c r="D120" s="46" t="s">
        <v>382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435</v>
      </c>
      <c r="D121" s="46" t="s">
        <v>382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437</v>
      </c>
      <c r="D122" s="46" t="s">
        <v>382</v>
      </c>
      <c r="E122" s="46" t="s">
        <v>0</v>
      </c>
      <c r="F122" s="46" t="s">
        <v>139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439</v>
      </c>
      <c r="D123" s="46" t="s">
        <v>382</v>
      </c>
      <c r="E123" s="46" t="s">
        <v>2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1176</v>
      </c>
      <c r="D124" s="46" t="s">
        <v>383</v>
      </c>
      <c r="E124" s="46" t="s">
        <v>1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1178</v>
      </c>
      <c r="D125" s="46" t="s">
        <v>1178</v>
      </c>
      <c r="E125" s="46" t="s">
        <v>1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321</v>
      </c>
      <c r="D126" s="46" t="s">
        <v>348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743</v>
      </c>
      <c r="D127" s="46" t="s">
        <v>390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745</v>
      </c>
      <c r="D128" s="46" t="s">
        <v>390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747</v>
      </c>
      <c r="D129" s="46" t="s">
        <v>390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393</v>
      </c>
      <c r="D130" s="46" t="s">
        <v>390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750</v>
      </c>
      <c r="D131" s="46" t="s">
        <v>390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752</v>
      </c>
      <c r="D132" s="46" t="s">
        <v>390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753</v>
      </c>
      <c r="D133" s="46" t="s">
        <v>390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754</v>
      </c>
      <c r="D134" s="46" t="s">
        <v>390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755</v>
      </c>
      <c r="D135" s="46" t="s">
        <v>390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445</v>
      </c>
      <c r="D136" s="46" t="s">
        <v>201</v>
      </c>
      <c r="E136" s="46" t="s">
        <v>1</v>
      </c>
      <c r="F136" s="46" t="s">
        <v>139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1190</v>
      </c>
      <c r="D137" s="46" t="s">
        <v>405</v>
      </c>
      <c r="E137" s="46" t="s">
        <v>1</v>
      </c>
      <c r="F137" s="46" t="s">
        <v>139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448</v>
      </c>
      <c r="D138" s="46" t="s">
        <v>405</v>
      </c>
      <c r="E138" s="46" t="s">
        <v>1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1191</v>
      </c>
      <c r="D139" s="46" t="s">
        <v>405</v>
      </c>
      <c r="E139" s="46" t="s">
        <v>1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410</v>
      </c>
      <c r="D140" s="46" t="s">
        <v>283</v>
      </c>
      <c r="E140" s="46" t="s">
        <v>1</v>
      </c>
      <c r="F140" s="46" t="s">
        <v>139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212</v>
      </c>
      <c r="D141" s="46" t="s">
        <v>395</v>
      </c>
      <c r="E141" s="46" t="s">
        <v>0</v>
      </c>
      <c r="F141" s="46" t="s">
        <v>139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730</v>
      </c>
      <c r="D142" s="46" t="s">
        <v>269</v>
      </c>
      <c r="E142" s="46" t="s">
        <v>1</v>
      </c>
      <c r="F142" s="46" t="s">
        <v>139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732</v>
      </c>
      <c r="D143" s="46" t="s">
        <v>269</v>
      </c>
      <c r="E143" s="46" t="s">
        <v>1</v>
      </c>
      <c r="F143" s="46" t="s">
        <v>139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733</v>
      </c>
      <c r="D144" s="46" t="s">
        <v>269</v>
      </c>
      <c r="E144" s="46" t="s">
        <v>1</v>
      </c>
      <c r="F144" s="46" t="s">
        <v>139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736</v>
      </c>
      <c r="D145" s="46" t="s">
        <v>269</v>
      </c>
      <c r="E145" s="46" t="s">
        <v>1</v>
      </c>
      <c r="F145" s="46" t="s">
        <v>139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737</v>
      </c>
      <c r="D146" s="46" t="s">
        <v>269</v>
      </c>
      <c r="E146" s="46" t="s">
        <v>1</v>
      </c>
      <c r="F146" s="46" t="s">
        <v>139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278</v>
      </c>
      <c r="D147" s="46" t="s">
        <v>269</v>
      </c>
      <c r="E147" s="46" t="s">
        <v>1</v>
      </c>
      <c r="F147" s="46" t="s">
        <v>139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269</v>
      </c>
      <c r="E148" s="46" t="s">
        <v>1</v>
      </c>
      <c r="F148" s="46" t="s">
        <v>139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740</v>
      </c>
      <c r="D149" s="46" t="s">
        <v>269</v>
      </c>
      <c r="E149" s="46" t="s">
        <v>1</v>
      </c>
      <c r="F149" s="46" t="s">
        <v>139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741</v>
      </c>
      <c r="D150" s="46" t="s">
        <v>269</v>
      </c>
      <c r="E150" s="46" t="s">
        <v>1</v>
      </c>
      <c r="F150" s="46" t="s">
        <v>139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346</v>
      </c>
      <c r="D151" s="46" t="s">
        <v>346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1170</v>
      </c>
      <c r="D152" s="46" t="s">
        <v>329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1172</v>
      </c>
      <c r="D153" s="46" t="s">
        <v>382</v>
      </c>
      <c r="E153" s="46" t="s">
        <v>2</v>
      </c>
      <c r="F153" s="46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1174</v>
      </c>
      <c r="D154" s="46" t="s">
        <v>382</v>
      </c>
      <c r="E154" s="46" t="s">
        <v>2</v>
      </c>
      <c r="F154" s="46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1175</v>
      </c>
      <c r="D155" s="46" t="s">
        <v>382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435</v>
      </c>
      <c r="D156" s="46" t="s">
        <v>382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437</v>
      </c>
      <c r="D157" s="46" t="s">
        <v>382</v>
      </c>
      <c r="E157" s="46" t="s">
        <v>0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439</v>
      </c>
      <c r="D158" s="46" t="s">
        <v>382</v>
      </c>
      <c r="E158" s="46" t="s">
        <v>2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1176</v>
      </c>
      <c r="D159" s="46" t="s">
        <v>383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321</v>
      </c>
      <c r="D160" s="46" t="s">
        <v>348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445</v>
      </c>
      <c r="D161" s="46" t="s">
        <v>201</v>
      </c>
      <c r="E161" s="46" t="s">
        <v>1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1190</v>
      </c>
      <c r="D162" s="46" t="s">
        <v>405</v>
      </c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448</v>
      </c>
      <c r="D163" s="46" t="s">
        <v>405</v>
      </c>
      <c r="E163" s="46" t="s">
        <v>1</v>
      </c>
      <c r="F163" s="46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1191</v>
      </c>
      <c r="D164" s="46" t="s">
        <v>405</v>
      </c>
      <c r="E164" s="46" t="s">
        <v>1</v>
      </c>
      <c r="F164" s="46" t="s">
        <v>139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410</v>
      </c>
      <c r="D165" s="46" t="s">
        <v>283</v>
      </c>
      <c r="E165" s="46" t="s">
        <v>1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149</v>
      </c>
      <c r="C166" s="39" t="s">
        <v>212</v>
      </c>
      <c r="D166" s="46" t="s">
        <v>395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247</v>
      </c>
      <c r="D167" s="46" t="s">
        <v>395</v>
      </c>
      <c r="E167" s="46" t="s">
        <v>0</v>
      </c>
      <c r="F167" s="46" t="s">
        <v>139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249</v>
      </c>
      <c r="D168" s="46" t="s">
        <v>395</v>
      </c>
      <c r="E168" s="46" t="s">
        <v>0</v>
      </c>
      <c r="F168" s="46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1170</v>
      </c>
      <c r="D169" s="46" t="s">
        <v>329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1172</v>
      </c>
      <c r="D170" s="46" t="s">
        <v>382</v>
      </c>
      <c r="E170" s="46" t="s">
        <v>2</v>
      </c>
      <c r="F170" s="46" t="s">
        <v>139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1175</v>
      </c>
      <c r="D171" s="46" t="s">
        <v>382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435</v>
      </c>
      <c r="D172" s="46" t="s">
        <v>382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437</v>
      </c>
      <c r="D173" s="46" t="s">
        <v>382</v>
      </c>
      <c r="E173" s="46" t="s">
        <v>0</v>
      </c>
      <c r="F173" s="46" t="s">
        <v>139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439</v>
      </c>
      <c r="D174" s="46" t="s">
        <v>382</v>
      </c>
      <c r="E174" s="46" t="s">
        <v>2</v>
      </c>
      <c r="F174" s="46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1176</v>
      </c>
      <c r="D175" s="46" t="s">
        <v>383</v>
      </c>
      <c r="E175" s="46" t="s">
        <v>1</v>
      </c>
      <c r="F175" s="46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410</v>
      </c>
      <c r="D176" s="46" t="s">
        <v>283</v>
      </c>
      <c r="E176" s="46" t="s">
        <v>1</v>
      </c>
      <c r="F176" s="46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212</v>
      </c>
      <c r="D177" s="46" t="s">
        <v>395</v>
      </c>
      <c r="E177" s="46" t="s">
        <v>0</v>
      </c>
      <c r="F177" s="46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247</v>
      </c>
      <c r="D178" s="46" t="s">
        <v>395</v>
      </c>
      <c r="E178" s="46" t="s">
        <v>0</v>
      </c>
      <c r="F178" s="46" t="s">
        <v>139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249</v>
      </c>
      <c r="D179" s="46" t="s">
        <v>395</v>
      </c>
      <c r="E179" s="46" t="s">
        <v>0</v>
      </c>
      <c r="F179" s="46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732</v>
      </c>
      <c r="D180" s="46" t="s">
        <v>269</v>
      </c>
      <c r="E180" s="46" t="s">
        <v>1</v>
      </c>
      <c r="F180" s="46" t="s">
        <v>139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733</v>
      </c>
      <c r="D181" s="46" t="s">
        <v>269</v>
      </c>
      <c r="E181" s="46" t="s">
        <v>1</v>
      </c>
      <c r="F181" s="46" t="s">
        <v>139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734</v>
      </c>
      <c r="D182" s="46" t="s">
        <v>269</v>
      </c>
      <c r="E182" s="46" t="s">
        <v>1</v>
      </c>
      <c r="F182" s="46" t="s">
        <v>139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737</v>
      </c>
      <c r="D183" s="46" t="s">
        <v>269</v>
      </c>
      <c r="E183" s="46" t="s">
        <v>1</v>
      </c>
      <c r="F183" s="46" t="s">
        <v>139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278</v>
      </c>
      <c r="D184" s="46" t="s">
        <v>269</v>
      </c>
      <c r="E184" s="46" t="s">
        <v>1</v>
      </c>
      <c r="F184" s="46" t="s">
        <v>139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739</v>
      </c>
      <c r="D185" s="46" t="s">
        <v>269</v>
      </c>
      <c r="E185" s="46" t="s">
        <v>1</v>
      </c>
      <c r="F185" s="46" t="s">
        <v>139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298</v>
      </c>
      <c r="D186" s="46" t="s">
        <v>269</v>
      </c>
      <c r="E186" s="46" t="s">
        <v>1</v>
      </c>
      <c r="F186" s="46" t="s">
        <v>139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346</v>
      </c>
      <c r="D187" s="46" t="s">
        <v>346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412</v>
      </c>
      <c r="D188" s="46" t="s">
        <v>413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1170</v>
      </c>
      <c r="D189" s="46" t="s">
        <v>329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1172</v>
      </c>
      <c r="D190" s="46" t="s">
        <v>382</v>
      </c>
      <c r="E190" s="46" t="s">
        <v>2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1175</v>
      </c>
      <c r="D191" s="46" t="s">
        <v>382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435</v>
      </c>
      <c r="D192" s="46" t="s">
        <v>382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437</v>
      </c>
      <c r="D193" s="46" t="s">
        <v>382</v>
      </c>
      <c r="E193" s="46" t="s">
        <v>0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439</v>
      </c>
      <c r="D194" s="46" t="s">
        <v>382</v>
      </c>
      <c r="E194" s="46" t="s">
        <v>2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1176</v>
      </c>
      <c r="D195" s="46" t="s">
        <v>383</v>
      </c>
      <c r="E195" s="46" t="s">
        <v>1</v>
      </c>
      <c r="F195" s="46" t="s">
        <v>139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321</v>
      </c>
      <c r="D196" s="46" t="s">
        <v>348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742</v>
      </c>
      <c r="D197" s="46" t="s">
        <v>390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743</v>
      </c>
      <c r="D198" s="46" t="s">
        <v>390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744</v>
      </c>
      <c r="D199" s="46" t="s">
        <v>390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745</v>
      </c>
      <c r="D200" s="46" t="s">
        <v>390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748</v>
      </c>
      <c r="D201" s="46" t="s">
        <v>390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749</v>
      </c>
      <c r="D202" s="46" t="s">
        <v>390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750</v>
      </c>
      <c r="D203" s="46" t="s">
        <v>390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751</v>
      </c>
      <c r="D204" s="46" t="s">
        <v>390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752</v>
      </c>
      <c r="D205" s="46" t="s">
        <v>390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753</v>
      </c>
      <c r="D206" s="46" t="s">
        <v>390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212</v>
      </c>
      <c r="D207" s="46" t="s">
        <v>395</v>
      </c>
      <c r="E207" s="46" t="s">
        <v>0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247</v>
      </c>
      <c r="D208" s="46" t="s">
        <v>395</v>
      </c>
      <c r="E208" s="46" t="s">
        <v>0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249</v>
      </c>
      <c r="D209" s="46" t="s">
        <v>395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732</v>
      </c>
      <c r="D210" s="46" t="s">
        <v>269</v>
      </c>
      <c r="E210" s="46" t="s">
        <v>1</v>
      </c>
      <c r="F210" s="46" t="s">
        <v>139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733</v>
      </c>
      <c r="D211" s="46" t="s">
        <v>269</v>
      </c>
      <c r="E211" s="46" t="s">
        <v>1</v>
      </c>
      <c r="F211" s="46" t="s">
        <v>139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736</v>
      </c>
      <c r="D212" s="46" t="s">
        <v>269</v>
      </c>
      <c r="E212" s="46" t="s">
        <v>1</v>
      </c>
      <c r="F212" s="46" t="s">
        <v>139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278</v>
      </c>
      <c r="D213" s="46" t="s">
        <v>269</v>
      </c>
      <c r="E213" s="46" t="s">
        <v>1</v>
      </c>
      <c r="F213" s="46" t="s">
        <v>139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739</v>
      </c>
      <c r="D214" s="46" t="s">
        <v>269</v>
      </c>
      <c r="E214" s="46" t="s">
        <v>1</v>
      </c>
      <c r="F214" s="46" t="s">
        <v>139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740</v>
      </c>
      <c r="D215" s="46" t="s">
        <v>269</v>
      </c>
      <c r="E215" s="46" t="s">
        <v>1</v>
      </c>
      <c r="F215" s="46" t="s">
        <v>139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741</v>
      </c>
      <c r="D216" s="46" t="s">
        <v>269</v>
      </c>
      <c r="E216" s="46" t="s">
        <v>1</v>
      </c>
      <c r="F216" s="46" t="s">
        <v>139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298</v>
      </c>
      <c r="D217" s="46" t="s">
        <v>269</v>
      </c>
      <c r="E217" s="46" t="s">
        <v>1</v>
      </c>
      <c r="F217" s="46" t="s">
        <v>139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300</v>
      </c>
      <c r="D218" s="46" t="s">
        <v>269</v>
      </c>
      <c r="E218" s="46" t="s">
        <v>1</v>
      </c>
      <c r="F218" s="46" t="s">
        <v>139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346</v>
      </c>
      <c r="D219" s="46" t="s">
        <v>346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376</v>
      </c>
      <c r="D220" s="46" t="s">
        <v>376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385</v>
      </c>
      <c r="D221" s="46" t="s">
        <v>386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407</v>
      </c>
      <c r="D222" s="46" t="s">
        <v>408</v>
      </c>
      <c r="E222" s="46" t="s">
        <v>1</v>
      </c>
      <c r="F222" s="46" t="s">
        <v>139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412</v>
      </c>
      <c r="D223" s="46" t="s">
        <v>413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1170</v>
      </c>
      <c r="D224" s="46" t="s">
        <v>329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1172</v>
      </c>
      <c r="D225" s="46" t="s">
        <v>382</v>
      </c>
      <c r="E225" s="46" t="s">
        <v>2</v>
      </c>
      <c r="F225" s="46" t="s">
        <v>139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1174</v>
      </c>
      <c r="D226" s="46" t="s">
        <v>382</v>
      </c>
      <c r="E226" s="46" t="s">
        <v>2</v>
      </c>
      <c r="F226" s="46" t="s">
        <v>139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1175</v>
      </c>
      <c r="D227" s="46" t="s">
        <v>382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435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437</v>
      </c>
      <c r="D229" s="46" t="s">
        <v>382</v>
      </c>
      <c r="E229" s="46" t="s">
        <v>0</v>
      </c>
      <c r="F229" s="46" t="s">
        <v>139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439</v>
      </c>
      <c r="D230" s="46" t="s">
        <v>382</v>
      </c>
      <c r="E230" s="46" t="s">
        <v>2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1176</v>
      </c>
      <c r="D231" s="46" t="s">
        <v>383</v>
      </c>
      <c r="E231" s="46" t="s">
        <v>1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321</v>
      </c>
      <c r="D232" s="46" t="s">
        <v>348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445</v>
      </c>
      <c r="D233" s="46" t="s">
        <v>201</v>
      </c>
      <c r="E233" s="46" t="s">
        <v>1</v>
      </c>
      <c r="F233" s="46" t="s">
        <v>139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1190</v>
      </c>
      <c r="D234" s="46" t="s">
        <v>405</v>
      </c>
      <c r="E234" s="46" t="s">
        <v>1</v>
      </c>
      <c r="F234" s="46" t="s">
        <v>139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448</v>
      </c>
      <c r="D235" s="46" t="s">
        <v>405</v>
      </c>
      <c r="E235" s="46" t="s">
        <v>1</v>
      </c>
      <c r="F235" s="46" t="s">
        <v>139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1191</v>
      </c>
      <c r="D236" s="46" t="s">
        <v>405</v>
      </c>
      <c r="E236" s="46" t="s">
        <v>1</v>
      </c>
      <c r="F236" s="46" t="s">
        <v>139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410</v>
      </c>
      <c r="D237" s="46" t="s">
        <v>283</v>
      </c>
      <c r="E237" s="46" t="s">
        <v>1</v>
      </c>
      <c r="F237" s="46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212</v>
      </c>
      <c r="D238" s="46" t="s">
        <v>395</v>
      </c>
      <c r="E238" s="46" t="s">
        <v>0</v>
      </c>
      <c r="F238" s="46" t="s">
        <v>139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247</v>
      </c>
      <c r="D239" s="46" t="s">
        <v>395</v>
      </c>
      <c r="E239" s="46" t="s">
        <v>0</v>
      </c>
      <c r="F239" s="46" t="s">
        <v>139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249</v>
      </c>
      <c r="D240" s="46" t="s">
        <v>395</v>
      </c>
      <c r="E240" s="46" t="s">
        <v>0</v>
      </c>
      <c r="F240" s="46" t="s">
        <v>139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732</v>
      </c>
      <c r="D241" s="46" t="s">
        <v>269</v>
      </c>
      <c r="E241" s="46" t="s">
        <v>1</v>
      </c>
      <c r="F241" s="46" t="s">
        <v>139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733</v>
      </c>
      <c r="D242" s="46" t="s">
        <v>269</v>
      </c>
      <c r="E242" s="46" t="s">
        <v>1</v>
      </c>
      <c r="F242" s="46" t="s">
        <v>139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734</v>
      </c>
      <c r="D243" s="46" t="s">
        <v>269</v>
      </c>
      <c r="E243" s="46" t="s">
        <v>1</v>
      </c>
      <c r="F243" s="46" t="s">
        <v>139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736</v>
      </c>
      <c r="D244" s="46" t="s">
        <v>269</v>
      </c>
      <c r="E244" s="46" t="s">
        <v>1</v>
      </c>
      <c r="F244" s="46" t="s">
        <v>139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737</v>
      </c>
      <c r="D245" s="46" t="s">
        <v>269</v>
      </c>
      <c r="E245" s="46" t="s">
        <v>1</v>
      </c>
      <c r="F245" s="46" t="s">
        <v>139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278</v>
      </c>
      <c r="D246" s="46" t="s">
        <v>269</v>
      </c>
      <c r="E246" s="46" t="s">
        <v>1</v>
      </c>
      <c r="F246" s="46" t="s">
        <v>139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738</v>
      </c>
      <c r="D247" s="46" t="s">
        <v>269</v>
      </c>
      <c r="E247" s="46" t="s">
        <v>1</v>
      </c>
      <c r="F247" s="46" t="s">
        <v>139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739</v>
      </c>
      <c r="D248" s="46" t="s">
        <v>269</v>
      </c>
      <c r="E248" s="46" t="s">
        <v>1</v>
      </c>
      <c r="F248" s="46" t="s">
        <v>139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300</v>
      </c>
      <c r="D249" s="46" t="s">
        <v>269</v>
      </c>
      <c r="E249" s="46" t="s">
        <v>1</v>
      </c>
      <c r="F249" s="46" t="s">
        <v>139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346</v>
      </c>
      <c r="D250" s="46" t="s">
        <v>346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1170</v>
      </c>
      <c r="D251" s="46" t="s">
        <v>329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1172</v>
      </c>
      <c r="D252" s="46" t="s">
        <v>382</v>
      </c>
      <c r="E252" s="46" t="s">
        <v>2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1175</v>
      </c>
      <c r="D253" s="46" t="s">
        <v>382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435</v>
      </c>
      <c r="D254" s="46" t="s">
        <v>382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437</v>
      </c>
      <c r="D255" s="46" t="s">
        <v>382</v>
      </c>
      <c r="E255" s="46" t="s">
        <v>0</v>
      </c>
      <c r="F255" s="46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439</v>
      </c>
      <c r="D256" s="46" t="s">
        <v>382</v>
      </c>
      <c r="E256" s="46" t="s">
        <v>2</v>
      </c>
      <c r="F256" s="46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1176</v>
      </c>
      <c r="D257" s="46" t="s">
        <v>383</v>
      </c>
      <c r="E257" s="46" t="s">
        <v>1</v>
      </c>
      <c r="F257" s="46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745</v>
      </c>
      <c r="D258" s="46" t="s">
        <v>390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746</v>
      </c>
      <c r="D259" s="46" t="s">
        <v>390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393</v>
      </c>
      <c r="D260" s="46" t="s">
        <v>390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750</v>
      </c>
      <c r="D261" s="46" t="s">
        <v>390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445</v>
      </c>
      <c r="D262" s="46" t="s">
        <v>201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1190</v>
      </c>
      <c r="D263" s="46" t="s">
        <v>405</v>
      </c>
      <c r="E263" s="46" t="s">
        <v>1</v>
      </c>
      <c r="F263" s="46" t="s">
        <v>139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448</v>
      </c>
      <c r="D264" s="46" t="s">
        <v>405</v>
      </c>
      <c r="E264" s="46" t="s">
        <v>1</v>
      </c>
      <c r="F264" s="46" t="s">
        <v>139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1191</v>
      </c>
      <c r="D265" s="46" t="s">
        <v>405</v>
      </c>
      <c r="E265" s="46" t="s">
        <v>1</v>
      </c>
      <c r="F265" s="46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150</v>
      </c>
      <c r="C266" s="39" t="s">
        <v>212</v>
      </c>
      <c r="D266" s="46" t="s">
        <v>395</v>
      </c>
      <c r="E266" s="46" t="s">
        <v>0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247</v>
      </c>
      <c r="D267" s="46" t="s">
        <v>395</v>
      </c>
      <c r="E267" s="46" t="s">
        <v>0</v>
      </c>
      <c r="F267" s="46" t="s">
        <v>139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249</v>
      </c>
      <c r="D268" s="46" t="s">
        <v>395</v>
      </c>
      <c r="E268" s="46" t="s">
        <v>0</v>
      </c>
      <c r="F268" s="46" t="s">
        <v>139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298</v>
      </c>
      <c r="D269" s="46" t="s">
        <v>269</v>
      </c>
      <c r="E269" s="46" t="s">
        <v>1</v>
      </c>
      <c r="F269" s="46" t="s">
        <v>139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1170</v>
      </c>
      <c r="D270" s="46" t="s">
        <v>329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1172</v>
      </c>
      <c r="D271" s="46" t="s">
        <v>382</v>
      </c>
      <c r="E271" s="46" t="s">
        <v>2</v>
      </c>
      <c r="F271" s="46" t="s">
        <v>139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1175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435</v>
      </c>
      <c r="D273" s="46" t="s">
        <v>382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437</v>
      </c>
      <c r="D274" s="46" t="s">
        <v>382</v>
      </c>
      <c r="E274" s="46" t="s">
        <v>0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439</v>
      </c>
      <c r="D275" s="46" t="s">
        <v>382</v>
      </c>
      <c r="E275" s="46" t="s">
        <v>2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1176</v>
      </c>
      <c r="D276" s="46" t="s">
        <v>383</v>
      </c>
      <c r="E276" s="46" t="s">
        <v>1</v>
      </c>
      <c r="F276" s="46" t="s">
        <v>139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1191</v>
      </c>
      <c r="D277" s="46" t="s">
        <v>405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1" t="s">
        <v>416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2:48" ht="18" customHeight="1" x14ac:dyDescent="0.25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724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149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150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1" t="s">
        <v>122</v>
      </c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179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221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271</v>
      </c>
      <c r="N38" s="3" t="s">
        <v>733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272</v>
      </c>
      <c r="N39" s="3" t="s">
        <v>734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273</v>
      </c>
      <c r="N40" s="3" t="s">
        <v>735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274</v>
      </c>
      <c r="N41" s="3" t="s">
        <v>736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275</v>
      </c>
      <c r="N42" s="3" t="s">
        <v>737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276</v>
      </c>
      <c r="N43" s="3" t="s">
        <v>738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277</v>
      </c>
      <c r="N44" s="3" t="s">
        <v>278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294</v>
      </c>
      <c r="N45" s="3" t="s">
        <v>739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295</v>
      </c>
      <c r="N46" s="3" t="s">
        <v>740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297</v>
      </c>
      <c r="N47" s="3" t="s">
        <v>298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299</v>
      </c>
      <c r="N48" s="3" t="s">
        <v>300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345</v>
      </c>
      <c r="N49" s="3" t="s">
        <v>346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384</v>
      </c>
      <c r="N50" s="3" t="s">
        <v>385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406</v>
      </c>
      <c r="N51" s="3" t="s">
        <v>407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411</v>
      </c>
      <c r="N52" s="3" t="s">
        <v>412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1169</v>
      </c>
      <c r="N53" s="3" t="s">
        <v>1170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1171</v>
      </c>
      <c r="N54" s="3" t="s">
        <v>1172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1173</v>
      </c>
      <c r="N55" s="3" t="s">
        <v>1174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433</v>
      </c>
      <c r="N56" s="3" t="s">
        <v>1175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434</v>
      </c>
      <c r="N57" s="3" t="s">
        <v>435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436</v>
      </c>
      <c r="N58" s="3" t="s">
        <v>437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438</v>
      </c>
      <c r="N59" s="3" t="s">
        <v>439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440</v>
      </c>
      <c r="N60" s="3" t="s">
        <v>1176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1180</v>
      </c>
      <c r="N61" s="3" t="s">
        <v>321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391</v>
      </c>
      <c r="N62" s="3" t="s">
        <v>745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240</v>
      </c>
      <c r="N63" s="3" t="s">
        <v>753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238</v>
      </c>
      <c r="N64" s="3" t="s">
        <v>754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444</v>
      </c>
      <c r="N65" s="3" t="s">
        <v>445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263</v>
      </c>
      <c r="N66" s="3" t="s">
        <v>264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446</v>
      </c>
      <c r="N67" s="3" t="s">
        <v>1190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447</v>
      </c>
      <c r="N68" s="3" t="s">
        <v>448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449</v>
      </c>
      <c r="N69" s="3" t="s">
        <v>1191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409</v>
      </c>
      <c r="N70" s="3" t="s">
        <v>410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724</v>
      </c>
      <c r="M71" s="3" t="s">
        <v>181</v>
      </c>
      <c r="N71" s="3" t="s">
        <v>212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246</v>
      </c>
      <c r="N72" s="3" t="s">
        <v>247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248</v>
      </c>
      <c r="N73" s="3" t="s">
        <v>249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1169</v>
      </c>
      <c r="N74" s="3" t="s">
        <v>1170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1171</v>
      </c>
      <c r="N75" s="3" t="s">
        <v>1172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433</v>
      </c>
      <c r="N76" s="3" t="s">
        <v>1175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434</v>
      </c>
      <c r="N77" s="3" t="s">
        <v>435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436</v>
      </c>
      <c r="N78" s="3" t="s">
        <v>437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438</v>
      </c>
      <c r="N79" s="3" t="s">
        <v>439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181</v>
      </c>
      <c r="N80" s="3" t="s">
        <v>212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246</v>
      </c>
      <c r="N81" s="3" t="s">
        <v>247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248</v>
      </c>
      <c r="N82" s="3" t="s">
        <v>249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270</v>
      </c>
      <c r="N83" s="3" t="s">
        <v>732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271</v>
      </c>
      <c r="N84" s="3" t="s">
        <v>733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274</v>
      </c>
      <c r="N85" s="3" t="s">
        <v>736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277</v>
      </c>
      <c r="N86" s="3" t="s">
        <v>278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294</v>
      </c>
      <c r="N87" s="3" t="s">
        <v>739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296</v>
      </c>
      <c r="N88" s="3" t="s">
        <v>741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297</v>
      </c>
      <c r="N89" s="3" t="s">
        <v>298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345</v>
      </c>
      <c r="N90" s="3" t="s">
        <v>346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406</v>
      </c>
      <c r="N91" s="3" t="s">
        <v>407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411</v>
      </c>
      <c r="N92" s="3" t="s">
        <v>412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1169</v>
      </c>
      <c r="N93" s="3" t="s">
        <v>1170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1171</v>
      </c>
      <c r="N94" s="3" t="s">
        <v>1172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1173</v>
      </c>
      <c r="N95" s="3" t="s">
        <v>1174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433</v>
      </c>
      <c r="N96" s="3" t="s">
        <v>1175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434</v>
      </c>
      <c r="N97" s="3" t="s">
        <v>435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436</v>
      </c>
      <c r="N98" s="3" t="s">
        <v>437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438</v>
      </c>
      <c r="N99" s="3" t="s">
        <v>439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440</v>
      </c>
      <c r="N100" s="3" t="s">
        <v>1176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1180</v>
      </c>
      <c r="N101" s="3" t="s">
        <v>321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1182</v>
      </c>
      <c r="N102" s="3" t="s">
        <v>742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245</v>
      </c>
      <c r="N103" s="3" t="s">
        <v>743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240</v>
      </c>
      <c r="N104" s="3" t="s">
        <v>753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238</v>
      </c>
      <c r="N105" s="3" t="s">
        <v>754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181</v>
      </c>
      <c r="N106" s="3" t="s">
        <v>212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246</v>
      </c>
      <c r="N107" s="3" t="s">
        <v>247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248</v>
      </c>
      <c r="N108" s="3" t="s">
        <v>249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270</v>
      </c>
      <c r="N109" s="3" t="s">
        <v>732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271</v>
      </c>
      <c r="N110" s="3" t="s">
        <v>733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273</v>
      </c>
      <c r="N111" s="3" t="s">
        <v>735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274</v>
      </c>
      <c r="N112" s="3" t="s">
        <v>736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275</v>
      </c>
      <c r="N113" s="3" t="s">
        <v>737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276</v>
      </c>
      <c r="N114" s="3" t="s">
        <v>738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277</v>
      </c>
      <c r="N115" s="3" t="s">
        <v>278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294</v>
      </c>
      <c r="N116" s="3" t="s">
        <v>739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299</v>
      </c>
      <c r="N117" s="3" t="s">
        <v>300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345</v>
      </c>
      <c r="N118" s="3" t="s">
        <v>346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411</v>
      </c>
      <c r="N119" s="3" t="s">
        <v>412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1169</v>
      </c>
      <c r="N120" s="3" t="s">
        <v>1170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1171</v>
      </c>
      <c r="N121" s="3" t="s">
        <v>1172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1173</v>
      </c>
      <c r="N122" s="3" t="s">
        <v>1174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433</v>
      </c>
      <c r="N123" s="3" t="s">
        <v>1175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434</v>
      </c>
      <c r="N124" s="3" t="s">
        <v>435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436</v>
      </c>
      <c r="N125" s="3" t="s">
        <v>437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438</v>
      </c>
      <c r="N126" s="3" t="s">
        <v>439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440</v>
      </c>
      <c r="N127" s="3" t="s">
        <v>1176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1177</v>
      </c>
      <c r="N128" s="3" t="s">
        <v>1178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1180</v>
      </c>
      <c r="N129" s="3" t="s">
        <v>321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245</v>
      </c>
      <c r="N130" s="3" t="s">
        <v>743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391</v>
      </c>
      <c r="N131" s="3" t="s">
        <v>745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1185</v>
      </c>
      <c r="N132" s="3" t="s">
        <v>747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392</v>
      </c>
      <c r="N133" s="3" t="s">
        <v>393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243</v>
      </c>
      <c r="N134" s="3" t="s">
        <v>750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1189</v>
      </c>
      <c r="N135" s="3" t="s">
        <v>752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240</v>
      </c>
      <c r="N136" s="3" t="s">
        <v>753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238</v>
      </c>
      <c r="N137" s="3" t="s">
        <v>754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394</v>
      </c>
      <c r="N138" s="3" t="s">
        <v>755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444</v>
      </c>
      <c r="N139" s="3" t="s">
        <v>445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446</v>
      </c>
      <c r="N140" s="3" t="s">
        <v>1190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447</v>
      </c>
      <c r="N141" s="3" t="s">
        <v>448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449</v>
      </c>
      <c r="N142" s="3" t="s">
        <v>1191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409</v>
      </c>
      <c r="N143" s="3" t="s">
        <v>410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181</v>
      </c>
      <c r="N144" s="3" t="s">
        <v>212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268</v>
      </c>
      <c r="N145" s="3" t="s">
        <v>730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270</v>
      </c>
      <c r="N146" s="3" t="s">
        <v>732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271</v>
      </c>
      <c r="N147" s="3" t="s">
        <v>733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274</v>
      </c>
      <c r="N148" s="3" t="s">
        <v>736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275</v>
      </c>
      <c r="N149" s="3" t="s">
        <v>737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277</v>
      </c>
      <c r="N150" s="3" t="s">
        <v>278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294</v>
      </c>
      <c r="N151" s="3" t="s">
        <v>739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295</v>
      </c>
      <c r="N152" s="3" t="s">
        <v>740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296</v>
      </c>
      <c r="N153" s="3" t="s">
        <v>741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345</v>
      </c>
      <c r="N154" s="3" t="s">
        <v>346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1169</v>
      </c>
      <c r="N155" s="3" t="s">
        <v>1170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1171</v>
      </c>
      <c r="N156" s="3" t="s">
        <v>1172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1173</v>
      </c>
      <c r="N157" s="3" t="s">
        <v>1174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433</v>
      </c>
      <c r="N158" s="3" t="s">
        <v>1175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434</v>
      </c>
      <c r="N159" s="3" t="s">
        <v>435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436</v>
      </c>
      <c r="N160" s="3" t="s">
        <v>437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1176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1180</v>
      </c>
      <c r="N163" s="3" t="s">
        <v>321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444</v>
      </c>
      <c r="N164" s="3" t="s">
        <v>445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446</v>
      </c>
      <c r="N165" s="3" t="s">
        <v>1190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447</v>
      </c>
      <c r="N166" s="3" t="s">
        <v>448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449</v>
      </c>
      <c r="N167" s="3" t="s">
        <v>1191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409</v>
      </c>
      <c r="N168" s="3" t="s">
        <v>410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149</v>
      </c>
      <c r="M169" s="3" t="s">
        <v>181</v>
      </c>
      <c r="N169" s="3" t="s">
        <v>212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246</v>
      </c>
      <c r="N170" s="3" t="s">
        <v>247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248</v>
      </c>
      <c r="N171" s="3" t="s">
        <v>249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1169</v>
      </c>
      <c r="N172" s="3" t="s">
        <v>1170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1171</v>
      </c>
      <c r="N173" s="3" t="s">
        <v>1172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433</v>
      </c>
      <c r="N174" s="3" t="s">
        <v>1175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434</v>
      </c>
      <c r="N175" s="3" t="s">
        <v>435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436</v>
      </c>
      <c r="N176" s="3" t="s">
        <v>437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438</v>
      </c>
      <c r="N177" s="3" t="s">
        <v>439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440</v>
      </c>
      <c r="N178" s="3" t="s">
        <v>1176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409</v>
      </c>
      <c r="N179" s="3" t="s">
        <v>410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181</v>
      </c>
      <c r="N180" s="3" t="s">
        <v>212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246</v>
      </c>
      <c r="N181" s="3" t="s">
        <v>247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248</v>
      </c>
      <c r="N182" s="3" t="s">
        <v>249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270</v>
      </c>
      <c r="N183" s="3" t="s">
        <v>732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271</v>
      </c>
      <c r="N184" s="3" t="s">
        <v>733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272</v>
      </c>
      <c r="N185" s="3" t="s">
        <v>734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275</v>
      </c>
      <c r="N186" s="3" t="s">
        <v>737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277</v>
      </c>
      <c r="N187" s="3" t="s">
        <v>278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294</v>
      </c>
      <c r="N188" s="3" t="s">
        <v>739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297</v>
      </c>
      <c r="N189" s="3" t="s">
        <v>298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345</v>
      </c>
      <c r="N190" s="3" t="s">
        <v>346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411</v>
      </c>
      <c r="N191" s="3" t="s">
        <v>412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1169</v>
      </c>
      <c r="N192" s="3" t="s">
        <v>1170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1171</v>
      </c>
      <c r="N193" s="3" t="s">
        <v>1172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433</v>
      </c>
      <c r="N194" s="3" t="s">
        <v>1175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434</v>
      </c>
      <c r="N195" s="3" t="s">
        <v>435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436</v>
      </c>
      <c r="N196" s="3" t="s">
        <v>437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438</v>
      </c>
      <c r="N197" s="3" t="s">
        <v>439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440</v>
      </c>
      <c r="N198" s="3" t="s">
        <v>1176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1180</v>
      </c>
      <c r="N199" s="3" t="s">
        <v>321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1182</v>
      </c>
      <c r="N200" s="3" t="s">
        <v>742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245</v>
      </c>
      <c r="N201" s="3" t="s">
        <v>743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744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391</v>
      </c>
      <c r="N203" s="3" t="s">
        <v>745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1186</v>
      </c>
      <c r="N204" s="3" t="s">
        <v>748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1187</v>
      </c>
      <c r="N205" s="3" t="s">
        <v>749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243</v>
      </c>
      <c r="N206" s="3" t="s">
        <v>750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1188</v>
      </c>
      <c r="N207" s="3" t="s">
        <v>751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1189</v>
      </c>
      <c r="N208" s="3" t="s">
        <v>752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240</v>
      </c>
      <c r="N209" s="3" t="s">
        <v>753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181</v>
      </c>
      <c r="N210" s="3" t="s">
        <v>212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246</v>
      </c>
      <c r="N211" s="3" t="s">
        <v>247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248</v>
      </c>
      <c r="N212" s="3" t="s">
        <v>249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270</v>
      </c>
      <c r="N213" s="3" t="s">
        <v>732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271</v>
      </c>
      <c r="N214" s="3" t="s">
        <v>733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274</v>
      </c>
      <c r="N215" s="3" t="s">
        <v>736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277</v>
      </c>
      <c r="N216" s="3" t="s">
        <v>278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294</v>
      </c>
      <c r="N217" s="3" t="s">
        <v>739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295</v>
      </c>
      <c r="N218" s="3" t="s">
        <v>740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296</v>
      </c>
      <c r="N219" s="3" t="s">
        <v>741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297</v>
      </c>
      <c r="N220" s="3" t="s">
        <v>298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299</v>
      </c>
      <c r="N221" s="3" t="s">
        <v>300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345</v>
      </c>
      <c r="N222" s="3" t="s">
        <v>346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726</v>
      </c>
      <c r="N223" s="3" t="s">
        <v>376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384</v>
      </c>
      <c r="N224" s="3" t="s">
        <v>385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406</v>
      </c>
      <c r="N225" s="3" t="s">
        <v>407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411</v>
      </c>
      <c r="N226" s="3" t="s">
        <v>412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1169</v>
      </c>
      <c r="N227" s="3" t="s">
        <v>1170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1171</v>
      </c>
      <c r="N228" s="3" t="s">
        <v>1172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1173</v>
      </c>
      <c r="N229" s="3" t="s">
        <v>1174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433</v>
      </c>
      <c r="N230" s="3" t="s">
        <v>1175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434</v>
      </c>
      <c r="N231" s="3" t="s">
        <v>435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436</v>
      </c>
      <c r="N232" s="3" t="s">
        <v>437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438</v>
      </c>
      <c r="N233" s="3" t="s">
        <v>439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440</v>
      </c>
      <c r="N234" s="3" t="s">
        <v>1176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1180</v>
      </c>
      <c r="N235" s="3" t="s">
        <v>321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444</v>
      </c>
      <c r="N236" s="3" t="s">
        <v>445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446</v>
      </c>
      <c r="N237" s="3" t="s">
        <v>1190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447</v>
      </c>
      <c r="N238" s="3" t="s">
        <v>448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449</v>
      </c>
      <c r="N239" s="3" t="s">
        <v>1191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409</v>
      </c>
      <c r="N240" s="3" t="s">
        <v>410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181</v>
      </c>
      <c r="N241" s="3" t="s">
        <v>212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246</v>
      </c>
      <c r="N242" s="3" t="s">
        <v>247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248</v>
      </c>
      <c r="N243" s="3" t="s">
        <v>249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270</v>
      </c>
      <c r="N244" s="3" t="s">
        <v>732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271</v>
      </c>
      <c r="N245" s="3" t="s">
        <v>733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272</v>
      </c>
      <c r="N246" s="3" t="s">
        <v>734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274</v>
      </c>
      <c r="N247" s="3" t="s">
        <v>736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275</v>
      </c>
      <c r="N248" s="3" t="s">
        <v>737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276</v>
      </c>
      <c r="N249" s="3" t="s">
        <v>738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277</v>
      </c>
      <c r="N250" s="3" t="s">
        <v>278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294</v>
      </c>
      <c r="N251" s="3" t="s">
        <v>739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299</v>
      </c>
      <c r="N252" s="3" t="s">
        <v>300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345</v>
      </c>
      <c r="N253" s="3" t="s">
        <v>346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1169</v>
      </c>
      <c r="N254" s="3" t="s">
        <v>1170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1171</v>
      </c>
      <c r="N255" s="3" t="s">
        <v>1172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433</v>
      </c>
      <c r="N256" s="3" t="s">
        <v>1175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434</v>
      </c>
      <c r="N257" s="3" t="s">
        <v>435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436</v>
      </c>
      <c r="N258" s="3" t="s">
        <v>437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438</v>
      </c>
      <c r="N259" s="3" t="s">
        <v>439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440</v>
      </c>
      <c r="N260" s="3" t="s">
        <v>1176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391</v>
      </c>
      <c r="N261" s="3" t="s">
        <v>745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1184</v>
      </c>
      <c r="N262" s="3" t="s">
        <v>746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392</v>
      </c>
      <c r="N263" s="3" t="s">
        <v>393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243</v>
      </c>
      <c r="N264" s="3" t="s">
        <v>750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444</v>
      </c>
      <c r="N265" s="3" t="s">
        <v>445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446</v>
      </c>
      <c r="N266" s="3" t="s">
        <v>1190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447</v>
      </c>
      <c r="N267" s="3" t="s">
        <v>448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449</v>
      </c>
      <c r="N268" s="3" t="s">
        <v>1191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150</v>
      </c>
      <c r="M269" s="3" t="s">
        <v>181</v>
      </c>
      <c r="N269" s="3" t="s">
        <v>212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246</v>
      </c>
      <c r="N270" s="3" t="s">
        <v>247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248</v>
      </c>
      <c r="N271" s="3" t="s">
        <v>249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297</v>
      </c>
      <c r="N272" s="3" t="s">
        <v>298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1169</v>
      </c>
      <c r="N273" s="3" t="s">
        <v>1170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1171</v>
      </c>
      <c r="N274" s="3" t="s">
        <v>1172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433</v>
      </c>
      <c r="N275" s="3" t="s">
        <v>1175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434</v>
      </c>
      <c r="N276" s="3" t="s">
        <v>435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436</v>
      </c>
      <c r="N277" s="3" t="s">
        <v>437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438</v>
      </c>
      <c r="N278" s="3" t="s">
        <v>439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440</v>
      </c>
      <c r="N279" s="3" t="s">
        <v>1176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449</v>
      </c>
      <c r="N280" s="3" t="s">
        <v>1191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179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221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2" t="s">
        <v>109</v>
      </c>
      <c r="C36" s="142"/>
      <c r="D36" s="142"/>
      <c r="E36" s="142"/>
      <c r="F36" s="142"/>
      <c r="G36" s="142"/>
      <c r="H36" s="142"/>
      <c r="I36" s="142"/>
      <c r="J36" s="142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724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149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150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2" t="s">
        <v>122</v>
      </c>
      <c r="C59" s="142"/>
      <c r="D59" s="142"/>
      <c r="E59" s="142"/>
      <c r="F59" s="142"/>
      <c r="G59" s="142"/>
      <c r="H59" s="142"/>
      <c r="I59" s="142"/>
      <c r="J59" s="14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88"/>
  <sheetViews>
    <sheetView showGridLines="0" tabSelected="1" topLeftCell="M315" zoomScale="97" zoomScaleNormal="97" workbookViewId="0">
      <selection sqref="A1:AG388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</v>
      </c>
      <c r="Y2" s="13">
        <v>30</v>
      </c>
      <c r="Z2" s="13">
        <v>100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44553</v>
      </c>
      <c r="AH3" s="13">
        <f t="shared" ref="AH3:AH66" ca="1" si="6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</v>
      </c>
      <c r="Y4" s="13">
        <v>30</v>
      </c>
      <c r="Z4" s="13">
        <v>100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44553</v>
      </c>
      <c r="AH4" s="13">
        <f t="shared" ca="1" si="6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</v>
      </c>
      <c r="Y5" s="13">
        <v>30</v>
      </c>
      <c r="Z5" s="13">
        <v>100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44553</v>
      </c>
      <c r="AH5" s="13">
        <f t="shared" ca="1" si="6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</v>
      </c>
      <c r="Y6" s="13">
        <v>30</v>
      </c>
      <c r="Z6" s="13">
        <v>100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44553</v>
      </c>
      <c r="AH6" s="13">
        <f t="shared" ca="1" si="6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</v>
      </c>
      <c r="Y7" s="13">
        <v>30</v>
      </c>
      <c r="Z7" s="13">
        <v>100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44553</v>
      </c>
      <c r="AH7" s="13">
        <f t="shared" ca="1" si="6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</v>
      </c>
      <c r="Y8" s="13">
        <v>30</v>
      </c>
      <c r="Z8" s="13">
        <v>100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44553</v>
      </c>
      <c r="AH8" s="13">
        <f t="shared" ca="1" si="6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</v>
      </c>
      <c r="Y9" s="13">
        <v>30</v>
      </c>
      <c r="Z9" s="13">
        <v>100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44553</v>
      </c>
      <c r="AH9" s="13">
        <f t="shared" ca="1" si="6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</v>
      </c>
      <c r="Y10" s="13">
        <v>30</v>
      </c>
      <c r="Z10" s="13">
        <v>100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44553</v>
      </c>
      <c r="AH10" s="13">
        <f t="shared" ca="1" si="6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44553</v>
      </c>
      <c r="AH11" s="13">
        <f t="shared" ca="1" si="6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44553</v>
      </c>
      <c r="AH12" s="13">
        <f t="shared" ca="1" si="6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44553</v>
      </c>
      <c r="AH13" s="13">
        <f t="shared" ca="1" si="6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</v>
      </c>
      <c r="Z14" s="13">
        <v>11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44553</v>
      </c>
      <c r="AH14" s="13">
        <f t="shared" ca="1" si="6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</v>
      </c>
      <c r="Z15" s="13">
        <v>11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44553</v>
      </c>
      <c r="AH15" s="13">
        <f t="shared" ca="1" si="6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</v>
      </c>
      <c r="Z16" s="13">
        <v>11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44553</v>
      </c>
      <c r="AH16" s="13">
        <f t="shared" ca="1" si="6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44553</v>
      </c>
      <c r="AH17" s="13">
        <f t="shared" ca="1" si="6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44553</v>
      </c>
      <c r="AH18" s="13">
        <f t="shared" ca="1" si="6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44553</v>
      </c>
      <c r="AH19" s="13">
        <f t="shared" ca="1" si="6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</v>
      </c>
      <c r="Y20" s="13">
        <v>25</v>
      </c>
      <c r="Z20" s="13">
        <v>130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44553</v>
      </c>
      <c r="AH20" s="13">
        <f t="shared" ca="1" si="6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</v>
      </c>
      <c r="Y21" s="13">
        <v>25</v>
      </c>
      <c r="Z21" s="13">
        <v>130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44553</v>
      </c>
      <c r="AH21" s="13">
        <f t="shared" ca="1" si="6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</v>
      </c>
      <c r="Y22" s="13">
        <v>25</v>
      </c>
      <c r="Z22" s="13">
        <v>130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44553</v>
      </c>
      <c r="AH22" s="13">
        <f t="shared" ca="1" si="6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</v>
      </c>
      <c r="Y23" s="13">
        <v>22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44553</v>
      </c>
      <c r="AH23" s="13">
        <f t="shared" ca="1" si="6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</v>
      </c>
      <c r="Y24" s="13">
        <v>22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44553</v>
      </c>
      <c r="AH24" s="13">
        <f t="shared" ca="1" si="6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</v>
      </c>
      <c r="Y25" s="13">
        <v>22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44553</v>
      </c>
      <c r="AH25" s="13">
        <f t="shared" ca="1" si="6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</v>
      </c>
      <c r="Y26" s="13">
        <v>22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44553</v>
      </c>
      <c r="AH26" s="13">
        <f t="shared" ca="1" si="6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</v>
      </c>
      <c r="Y27" s="13">
        <v>22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44553</v>
      </c>
      <c r="AH27" s="13">
        <f t="shared" ca="1" si="6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</v>
      </c>
      <c r="Y28" s="13">
        <v>22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44553</v>
      </c>
      <c r="AH28" s="13">
        <f t="shared" ca="1" si="6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</v>
      </c>
      <c r="Y29" s="13">
        <v>22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44553</v>
      </c>
      <c r="AH29" s="13">
        <f t="shared" ca="1" si="6"/>
        <v>30</v>
      </c>
    </row>
    <row r="30" spans="1:34" x14ac:dyDescent="0.25">
      <c r="A30" s="13" t="s">
        <v>10</v>
      </c>
      <c r="B30" s="13" t="s">
        <v>10</v>
      </c>
      <c r="C30" s="13" t="s">
        <v>1193</v>
      </c>
      <c r="D30" s="13" t="s">
        <v>1194</v>
      </c>
      <c r="E30" s="13" t="s">
        <v>723</v>
      </c>
      <c r="F30" s="13">
        <v>4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PERECRD025035CADENASNUTRESA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</v>
      </c>
      <c r="Y30" s="13">
        <v>100</v>
      </c>
      <c r="Z30" s="13">
        <v>200</v>
      </c>
      <c r="AA30" s="13">
        <v>3000</v>
      </c>
      <c r="AB30" s="13">
        <v>3000</v>
      </c>
      <c r="AC30" s="13">
        <v>2.0830000000000002E-3</v>
      </c>
      <c r="AD30" s="110">
        <f t="shared" si="4"/>
        <v>44563</v>
      </c>
      <c r="AE30" s="13" t="e">
        <f>IF(AND(AD30&lt;=$AI$4,#REF!&lt;1),1,"")</f>
        <v>#REF!</v>
      </c>
      <c r="AF30" s="110">
        <f t="shared" ca="1" si="5"/>
        <v>44553</v>
      </c>
      <c r="AH30" s="13">
        <f t="shared" ca="1" si="6"/>
        <v>-6</v>
      </c>
    </row>
    <row r="31" spans="1:34" x14ac:dyDescent="0.25">
      <c r="A31" s="13" t="s">
        <v>6</v>
      </c>
      <c r="B31" s="13" t="s">
        <v>6</v>
      </c>
      <c r="C31" s="13" t="s">
        <v>1198</v>
      </c>
      <c r="D31" s="13" t="s">
        <v>1199</v>
      </c>
      <c r="E31" s="13" t="s">
        <v>723</v>
      </c>
      <c r="F31" s="13">
        <v>2</v>
      </c>
      <c r="G31" s="2" t="s">
        <v>1195</v>
      </c>
      <c r="H31" s="13" t="s">
        <v>0</v>
      </c>
      <c r="I31" s="13" t="s">
        <v>140</v>
      </c>
      <c r="J31" s="13" t="s">
        <v>46</v>
      </c>
      <c r="K31" s="109">
        <v>44564</v>
      </c>
      <c r="Q31" s="13" t="str">
        <f t="shared" si="0"/>
        <v>CALICRD025033AUTOSERVICIONUTRESA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30</v>
      </c>
      <c r="Y31" s="13">
        <v>40</v>
      </c>
      <c r="Z31" s="13">
        <v>140</v>
      </c>
      <c r="AA31" s="13">
        <v>3000</v>
      </c>
      <c r="AB31" s="13">
        <v>3000</v>
      </c>
      <c r="AC31" s="13">
        <v>2.0830000000000002E-3</v>
      </c>
      <c r="AD31" s="110">
        <f t="shared" si="4"/>
        <v>44568</v>
      </c>
      <c r="AE31" s="13" t="e">
        <f>IF(AND(AD31&lt;=$AI$4,#REF!&lt;1),1,"")</f>
        <v>#REF!</v>
      </c>
      <c r="AF31" s="110">
        <f t="shared" ca="1" si="5"/>
        <v>44553</v>
      </c>
      <c r="AH31" s="13">
        <f t="shared" ca="1" si="6"/>
        <v>-11</v>
      </c>
    </row>
    <row r="32" spans="1:34" x14ac:dyDescent="0.25">
      <c r="A32" s="13" t="s">
        <v>5</v>
      </c>
      <c r="B32" s="13" t="s">
        <v>5</v>
      </c>
      <c r="C32" s="13" t="s">
        <v>1200</v>
      </c>
      <c r="D32" s="13" t="s">
        <v>1201</v>
      </c>
      <c r="E32" s="13" t="s">
        <v>723</v>
      </c>
      <c r="F32" s="13">
        <v>6</v>
      </c>
      <c r="G32" s="2" t="s">
        <v>1195</v>
      </c>
      <c r="H32" s="13" t="s">
        <v>0</v>
      </c>
      <c r="I32" s="13" t="s">
        <v>140</v>
      </c>
      <c r="J32" s="13" t="s">
        <v>46</v>
      </c>
      <c r="K32" s="109">
        <v>44564</v>
      </c>
      <c r="Q32" s="13" t="str">
        <f t="shared" si="0"/>
        <v>BUCACRD025034AUTOSERVICIONUTRESA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30</v>
      </c>
      <c r="Y32" s="13">
        <v>40</v>
      </c>
      <c r="Z32" s="13">
        <v>140</v>
      </c>
      <c r="AA32" s="13">
        <v>3000</v>
      </c>
      <c r="AB32" s="13">
        <v>3000</v>
      </c>
      <c r="AC32" s="13">
        <v>2.0830000000000002E-3</v>
      </c>
      <c r="AD32" s="110">
        <f t="shared" si="4"/>
        <v>44568</v>
      </c>
      <c r="AE32" s="13" t="e">
        <f>IF(AND(AD32&lt;=$AI$4,#REF!&lt;1),1,"")</f>
        <v>#REF!</v>
      </c>
      <c r="AF32" s="110">
        <f t="shared" ca="1" si="5"/>
        <v>44553</v>
      </c>
      <c r="AH32" s="13">
        <f t="shared" ca="1" si="6"/>
        <v>-11</v>
      </c>
    </row>
    <row r="33" spans="1:34" x14ac:dyDescent="0.25">
      <c r="A33" s="13" t="s">
        <v>149</v>
      </c>
      <c r="B33" s="13" t="s">
        <v>149</v>
      </c>
      <c r="C33" s="13" t="s">
        <v>1193</v>
      </c>
      <c r="D33" s="13" t="s">
        <v>1194</v>
      </c>
      <c r="E33" s="13" t="s">
        <v>723</v>
      </c>
      <c r="F33" s="13">
        <v>3</v>
      </c>
      <c r="G33" s="2" t="s">
        <v>1195</v>
      </c>
      <c r="H33" s="13" t="s">
        <v>0</v>
      </c>
      <c r="I33" s="13" t="s">
        <v>140</v>
      </c>
      <c r="J33" s="13" t="s">
        <v>139</v>
      </c>
      <c r="K33" s="109">
        <v>44564</v>
      </c>
      <c r="Q33" s="13" t="str">
        <f t="shared" si="0"/>
        <v>DUITCRD025035AUTOSERVICIONUTRESA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5</v>
      </c>
      <c r="Y33" s="13">
        <v>100</v>
      </c>
      <c r="Z33" s="13">
        <v>200</v>
      </c>
      <c r="AA33" s="13">
        <v>3000</v>
      </c>
      <c r="AB33" s="13">
        <v>3000</v>
      </c>
      <c r="AC33" s="13">
        <v>2.0830000000000002E-3</v>
      </c>
      <c r="AD33" s="110">
        <f t="shared" si="4"/>
        <v>44568</v>
      </c>
      <c r="AE33" s="13" t="e">
        <f>IF(AND(AD33&lt;=$AI$4,#REF!&lt;1),1,"")</f>
        <v>#REF!</v>
      </c>
      <c r="AF33" s="110">
        <f t="shared" ca="1" si="5"/>
        <v>44553</v>
      </c>
      <c r="AH33" s="13">
        <f t="shared" ca="1" si="6"/>
        <v>-11</v>
      </c>
    </row>
    <row r="34" spans="1:34" x14ac:dyDescent="0.25">
      <c r="A34" s="13" t="s">
        <v>4</v>
      </c>
      <c r="B34" s="13" t="s">
        <v>4</v>
      </c>
      <c r="C34" s="13" t="s">
        <v>1204</v>
      </c>
      <c r="D34" s="13" t="s">
        <v>1205</v>
      </c>
      <c r="E34" s="13" t="s">
        <v>723</v>
      </c>
      <c r="F34" s="13">
        <v>90</v>
      </c>
      <c r="G34" s="2" t="s">
        <v>1195</v>
      </c>
      <c r="H34" s="13" t="s">
        <v>0</v>
      </c>
      <c r="I34" s="13" t="s">
        <v>140</v>
      </c>
      <c r="J34" s="13" t="s">
        <v>139</v>
      </c>
      <c r="K34" s="109">
        <v>44564</v>
      </c>
      <c r="Q34" s="13" t="str">
        <f t="shared" si="0"/>
        <v>BGTACRD025037AUTOSERVICIONUTRESA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5</v>
      </c>
      <c r="Y34" s="13">
        <v>30</v>
      </c>
      <c r="Z34" s="13">
        <v>35</v>
      </c>
      <c r="AA34" s="13">
        <v>3000</v>
      </c>
      <c r="AB34" s="13">
        <v>3000</v>
      </c>
      <c r="AC34" s="13">
        <v>2.0830000000000002E-3</v>
      </c>
      <c r="AD34" s="110">
        <f t="shared" si="4"/>
        <v>44568</v>
      </c>
      <c r="AE34" s="13" t="e">
        <f>IF(AND(AD34&lt;=$AI$4,#REF!&lt;1),1,"")</f>
        <v>#REF!</v>
      </c>
      <c r="AF34" s="110">
        <f t="shared" ca="1" si="5"/>
        <v>44553</v>
      </c>
      <c r="AH34" s="13">
        <f t="shared" ca="1" si="6"/>
        <v>-11</v>
      </c>
    </row>
    <row r="35" spans="1:34" x14ac:dyDescent="0.25">
      <c r="A35" s="13" t="s">
        <v>9</v>
      </c>
      <c r="B35" s="13" t="s">
        <v>9</v>
      </c>
      <c r="C35" s="13" t="s">
        <v>1204</v>
      </c>
      <c r="D35" s="13" t="s">
        <v>1205</v>
      </c>
      <c r="E35" s="13" t="s">
        <v>723</v>
      </c>
      <c r="F35" s="13">
        <v>50</v>
      </c>
      <c r="G35" s="2" t="s">
        <v>1195</v>
      </c>
      <c r="H35" s="13" t="s">
        <v>0</v>
      </c>
      <c r="I35" s="13" t="s">
        <v>140</v>
      </c>
      <c r="J35" s="13" t="s">
        <v>139</v>
      </c>
      <c r="K35" s="109">
        <v>44564</v>
      </c>
      <c r="Q35" s="13" t="str">
        <f t="shared" si="0"/>
        <v>MEDECRD025037AUTOSERVICIONUTRESA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5</v>
      </c>
      <c r="Y35" s="13">
        <v>30</v>
      </c>
      <c r="Z35" s="13">
        <v>35</v>
      </c>
      <c r="AA35" s="13">
        <v>3000</v>
      </c>
      <c r="AB35" s="13">
        <v>3000</v>
      </c>
      <c r="AC35" s="13">
        <v>2.0830000000000002E-3</v>
      </c>
      <c r="AD35" s="110">
        <f t="shared" si="4"/>
        <v>44568</v>
      </c>
      <c r="AE35" s="13" t="e">
        <f>IF(AND(AD35&lt;=$AI$4,#REF!&lt;1),1,"")</f>
        <v>#REF!</v>
      </c>
      <c r="AF35" s="110">
        <f t="shared" ca="1" si="5"/>
        <v>44553</v>
      </c>
      <c r="AH35" s="13">
        <f t="shared" ca="1" si="6"/>
        <v>-11</v>
      </c>
    </row>
    <row r="36" spans="1:34" x14ac:dyDescent="0.25">
      <c r="A36" s="13" t="s">
        <v>6</v>
      </c>
      <c r="B36" s="13" t="s">
        <v>6</v>
      </c>
      <c r="C36" s="13" t="s">
        <v>1193</v>
      </c>
      <c r="D36" s="13" t="s">
        <v>1194</v>
      </c>
      <c r="E36" s="13" t="s">
        <v>723</v>
      </c>
      <c r="F36" s="13">
        <v>3</v>
      </c>
      <c r="G36" s="2" t="s">
        <v>1195</v>
      </c>
      <c r="H36" s="13" t="s">
        <v>1</v>
      </c>
      <c r="I36" s="13" t="s">
        <v>140</v>
      </c>
      <c r="J36" s="13" t="s">
        <v>139</v>
      </c>
      <c r="K36" s="109">
        <v>44559</v>
      </c>
      <c r="Q36" s="13" t="str">
        <f t="shared" si="0"/>
        <v>CALICRD025035CADENASNUTRESA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5</v>
      </c>
      <c r="Y36" s="13">
        <v>100</v>
      </c>
      <c r="Z36" s="13">
        <v>200</v>
      </c>
      <c r="AA36" s="13">
        <v>3000</v>
      </c>
      <c r="AB36" s="13">
        <v>3000</v>
      </c>
      <c r="AC36" s="13">
        <v>2.0830000000000002E-3</v>
      </c>
      <c r="AD36" s="110">
        <f t="shared" si="4"/>
        <v>44563</v>
      </c>
      <c r="AE36" s="13" t="e">
        <f>IF(AND(AD36&lt;=$AI$4,#REF!&lt;1),1,"")</f>
        <v>#REF!</v>
      </c>
      <c r="AF36" s="110">
        <f t="shared" ca="1" si="5"/>
        <v>44553</v>
      </c>
      <c r="AH36" s="13">
        <f t="shared" ca="1" si="6"/>
        <v>-6</v>
      </c>
    </row>
    <row r="37" spans="1:34" x14ac:dyDescent="0.25">
      <c r="A37" s="13" t="s">
        <v>10</v>
      </c>
      <c r="B37" s="13" t="s">
        <v>10</v>
      </c>
      <c r="C37" s="13" t="s">
        <v>1193</v>
      </c>
      <c r="D37" s="13" t="s">
        <v>1194</v>
      </c>
      <c r="E37" s="13" t="s">
        <v>723</v>
      </c>
      <c r="F37" s="13">
        <v>4</v>
      </c>
      <c r="G37" s="2" t="s">
        <v>1195</v>
      </c>
      <c r="H37" s="13" t="s">
        <v>1</v>
      </c>
      <c r="I37" s="13" t="s">
        <v>140</v>
      </c>
      <c r="J37" s="13" t="s">
        <v>139</v>
      </c>
      <c r="K37" s="109">
        <v>44559</v>
      </c>
      <c r="Q37" s="13" t="str">
        <f t="shared" si="0"/>
        <v>PERECRD025035CADENASNUTRESA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</v>
      </c>
      <c r="Y37" s="13">
        <v>100</v>
      </c>
      <c r="Z37" s="13">
        <v>200</v>
      </c>
      <c r="AA37" s="13">
        <v>3000</v>
      </c>
      <c r="AB37" s="13">
        <v>3000</v>
      </c>
      <c r="AC37" s="13">
        <v>2.0830000000000002E-3</v>
      </c>
      <c r="AD37" s="110">
        <f t="shared" si="4"/>
        <v>44563</v>
      </c>
      <c r="AE37" s="13" t="e">
        <f>IF(AND(AD37&lt;=$AI$4,#REF!&lt;1),1,"")</f>
        <v>#REF!</v>
      </c>
      <c r="AF37" s="110">
        <f t="shared" ca="1" si="5"/>
        <v>44553</v>
      </c>
      <c r="AH37" s="13">
        <f t="shared" ca="1" si="6"/>
        <v>-6</v>
      </c>
    </row>
    <row r="38" spans="1:34" x14ac:dyDescent="0.25">
      <c r="A38" s="13" t="s">
        <v>724</v>
      </c>
      <c r="B38" s="13" t="s">
        <v>724</v>
      </c>
      <c r="C38" s="13" t="s">
        <v>1198</v>
      </c>
      <c r="D38" s="13" t="s">
        <v>1199</v>
      </c>
      <c r="E38" s="13" t="s">
        <v>723</v>
      </c>
      <c r="F38" s="13">
        <v>15</v>
      </c>
      <c r="G38" s="2" t="s">
        <v>1195</v>
      </c>
      <c r="H38" s="13" t="s">
        <v>0</v>
      </c>
      <c r="I38" s="13" t="s">
        <v>145</v>
      </c>
      <c r="J38" s="13" t="s">
        <v>46</v>
      </c>
      <c r="K38" s="109">
        <v>44564</v>
      </c>
      <c r="Q38" s="13" t="str">
        <f t="shared" si="0"/>
        <v>BGTA ALTCRD025033AUTOSERVICIOALTILLANO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30</v>
      </c>
      <c r="Y38" s="13">
        <v>40</v>
      </c>
      <c r="Z38" s="13">
        <v>140</v>
      </c>
      <c r="AA38" s="13">
        <v>3000</v>
      </c>
      <c r="AB38" s="13">
        <v>3000</v>
      </c>
      <c r="AC38" s="13">
        <v>2.0830000000000002E-3</v>
      </c>
      <c r="AD38" s="110">
        <f t="shared" si="4"/>
        <v>44568</v>
      </c>
      <c r="AE38" s="13" t="e">
        <f>IF(AND(AD38&lt;=$AI$4,#REF!&lt;1),1,"")</f>
        <v>#REF!</v>
      </c>
      <c r="AF38" s="110">
        <f t="shared" ca="1" si="5"/>
        <v>44553</v>
      </c>
      <c r="AH38" s="13">
        <f t="shared" ca="1" si="6"/>
        <v>-11</v>
      </c>
    </row>
    <row r="39" spans="1:34" x14ac:dyDescent="0.25">
      <c r="A39" s="13" t="s">
        <v>6</v>
      </c>
      <c r="B39" s="13" t="s">
        <v>6</v>
      </c>
      <c r="C39" s="13" t="s">
        <v>1198</v>
      </c>
      <c r="D39" s="13" t="s">
        <v>1199</v>
      </c>
      <c r="E39" s="13" t="s">
        <v>723</v>
      </c>
      <c r="F39" s="13">
        <v>2</v>
      </c>
      <c r="G39" s="2" t="s">
        <v>1195</v>
      </c>
      <c r="H39" s="13" t="s">
        <v>0</v>
      </c>
      <c r="I39" s="13" t="s">
        <v>140</v>
      </c>
      <c r="J39" s="13" t="s">
        <v>46</v>
      </c>
      <c r="K39" s="109">
        <v>44564</v>
      </c>
      <c r="Q39" s="13" t="str">
        <f t="shared" si="0"/>
        <v>CALICRD025033AUTOSERVICIONUTRESA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30</v>
      </c>
      <c r="Y39" s="13">
        <v>40</v>
      </c>
      <c r="Z39" s="13">
        <v>140</v>
      </c>
      <c r="AA39" s="13">
        <v>3000</v>
      </c>
      <c r="AB39" s="13">
        <v>3000</v>
      </c>
      <c r="AC39" s="13">
        <v>2.0830000000000002E-3</v>
      </c>
      <c r="AD39" s="110">
        <f t="shared" si="4"/>
        <v>44568</v>
      </c>
      <c r="AE39" s="13" t="e">
        <f>IF(AND(AD39&lt;=$AI$4,#REF!&lt;1),1,"")</f>
        <v>#REF!</v>
      </c>
      <c r="AF39" s="110">
        <f t="shared" ca="1" si="5"/>
        <v>44553</v>
      </c>
      <c r="AH39" s="13">
        <f t="shared" ca="1" si="6"/>
        <v>-11</v>
      </c>
    </row>
    <row r="40" spans="1:34" x14ac:dyDescent="0.25">
      <c r="A40" s="13" t="s">
        <v>4</v>
      </c>
      <c r="B40" s="13" t="s">
        <v>4</v>
      </c>
      <c r="C40" s="13" t="s">
        <v>1200</v>
      </c>
      <c r="D40" s="13" t="s">
        <v>1201</v>
      </c>
      <c r="E40" s="13" t="s">
        <v>723</v>
      </c>
      <c r="F40" s="13">
        <v>17</v>
      </c>
      <c r="G40" s="2" t="s">
        <v>1195</v>
      </c>
      <c r="H40" s="13" t="s">
        <v>0</v>
      </c>
      <c r="I40" s="13" t="s">
        <v>140</v>
      </c>
      <c r="J40" s="13" t="s">
        <v>46</v>
      </c>
      <c r="K40" s="109">
        <v>44564</v>
      </c>
      <c r="Q40" s="13" t="str">
        <f t="shared" si="0"/>
        <v>BGTACRD025034AUTOSERVICIONUTRESA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30</v>
      </c>
      <c r="Y40" s="13">
        <v>40</v>
      </c>
      <c r="Z40" s="13">
        <v>140</v>
      </c>
      <c r="AA40" s="13">
        <v>3000</v>
      </c>
      <c r="AB40" s="13">
        <v>3000</v>
      </c>
      <c r="AC40" s="13">
        <v>2.0830000000000002E-3</v>
      </c>
      <c r="AD40" s="110">
        <f t="shared" si="4"/>
        <v>44568</v>
      </c>
      <c r="AE40" s="13" t="e">
        <f>IF(AND(AD40&lt;=$AI$4,#REF!&lt;1),1,"")</f>
        <v>#REF!</v>
      </c>
      <c r="AF40" s="110">
        <f t="shared" ca="1" si="5"/>
        <v>44553</v>
      </c>
      <c r="AH40" s="13">
        <f t="shared" ca="1" si="6"/>
        <v>-11</v>
      </c>
    </row>
    <row r="41" spans="1:34" x14ac:dyDescent="0.25">
      <c r="A41" s="13" t="s">
        <v>5</v>
      </c>
      <c r="B41" s="13" t="s">
        <v>5</v>
      </c>
      <c r="C41" s="13" t="s">
        <v>1200</v>
      </c>
      <c r="D41" s="13" t="s">
        <v>1201</v>
      </c>
      <c r="E41" s="13" t="s">
        <v>723</v>
      </c>
      <c r="F41" s="13">
        <v>6</v>
      </c>
      <c r="G41" s="2" t="s">
        <v>1195</v>
      </c>
      <c r="H41" s="13" t="s">
        <v>0</v>
      </c>
      <c r="I41" s="13" t="s">
        <v>140</v>
      </c>
      <c r="J41" s="13" t="s">
        <v>46</v>
      </c>
      <c r="K41" s="109">
        <v>44564</v>
      </c>
      <c r="Q41" s="13" t="str">
        <f t="shared" si="0"/>
        <v>BUCACRD025034AUTOSERVICIONUTRESA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30</v>
      </c>
      <c r="Y41" s="13">
        <v>40</v>
      </c>
      <c r="Z41" s="13">
        <v>140</v>
      </c>
      <c r="AA41" s="13">
        <v>3000</v>
      </c>
      <c r="AB41" s="13">
        <v>3000</v>
      </c>
      <c r="AC41" s="13">
        <v>2.0830000000000002E-3</v>
      </c>
      <c r="AD41" s="110">
        <f t="shared" si="4"/>
        <v>44568</v>
      </c>
      <c r="AE41" s="13" t="e">
        <f>IF(AND(AD41&lt;=$AI$4,#REF!&lt;1),1,"")</f>
        <v>#REF!</v>
      </c>
      <c r="AF41" s="110">
        <f t="shared" ca="1" si="5"/>
        <v>44553</v>
      </c>
      <c r="AH41" s="13">
        <f t="shared" ca="1" si="6"/>
        <v>-11</v>
      </c>
    </row>
    <row r="42" spans="1:34" x14ac:dyDescent="0.25">
      <c r="A42" s="13" t="s">
        <v>9</v>
      </c>
      <c r="B42" s="13" t="s">
        <v>9</v>
      </c>
      <c r="C42" s="13" t="s">
        <v>1200</v>
      </c>
      <c r="D42" s="13" t="s">
        <v>1201</v>
      </c>
      <c r="E42" s="13" t="s">
        <v>723</v>
      </c>
      <c r="F42" s="13">
        <v>5</v>
      </c>
      <c r="G42" s="2" t="s">
        <v>1195</v>
      </c>
      <c r="H42" s="13" t="s">
        <v>0</v>
      </c>
      <c r="I42" s="13" t="s">
        <v>140</v>
      </c>
      <c r="J42" s="13" t="s">
        <v>46</v>
      </c>
      <c r="K42" s="109">
        <v>44564</v>
      </c>
      <c r="Q42" s="13" t="str">
        <f t="shared" si="0"/>
        <v>MEDECRD025034AUTOSERVICIONUTRESA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30</v>
      </c>
      <c r="Y42" s="13">
        <v>40</v>
      </c>
      <c r="Z42" s="13">
        <v>140</v>
      </c>
      <c r="AA42" s="13">
        <v>3000</v>
      </c>
      <c r="AB42" s="13">
        <v>3000</v>
      </c>
      <c r="AC42" s="13">
        <v>2.0830000000000002E-3</v>
      </c>
      <c r="AD42" s="110">
        <f t="shared" si="4"/>
        <v>44568</v>
      </c>
      <c r="AE42" s="13" t="e">
        <f>IF(AND(AD42&lt;=$AI$4,#REF!&lt;1),1,"")</f>
        <v>#REF!</v>
      </c>
      <c r="AF42" s="110">
        <f t="shared" ca="1" si="5"/>
        <v>44553</v>
      </c>
      <c r="AH42" s="13">
        <f t="shared" ca="1" si="6"/>
        <v>-11</v>
      </c>
    </row>
    <row r="43" spans="1:34" x14ac:dyDescent="0.25">
      <c r="A43" s="13" t="s">
        <v>149</v>
      </c>
      <c r="B43" s="13" t="s">
        <v>149</v>
      </c>
      <c r="C43" s="13" t="s">
        <v>1193</v>
      </c>
      <c r="D43" s="13" t="s">
        <v>1194</v>
      </c>
      <c r="E43" s="13" t="s">
        <v>723</v>
      </c>
      <c r="F43" s="13">
        <v>3</v>
      </c>
      <c r="G43" s="2" t="s">
        <v>1195</v>
      </c>
      <c r="H43" s="13" t="s">
        <v>0</v>
      </c>
      <c r="I43" s="13" t="s">
        <v>140</v>
      </c>
      <c r="J43" s="13" t="s">
        <v>139</v>
      </c>
      <c r="K43" s="109">
        <v>44564</v>
      </c>
      <c r="Q43" s="13" t="str">
        <f t="shared" si="0"/>
        <v>DUITCRD025035AUTOSERVICIONUTRESA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</v>
      </c>
      <c r="Y43" s="13">
        <v>100</v>
      </c>
      <c r="Z43" s="13">
        <v>200</v>
      </c>
      <c r="AA43" s="13">
        <v>3000</v>
      </c>
      <c r="AB43" s="13">
        <v>3000</v>
      </c>
      <c r="AC43" s="13">
        <v>2.0830000000000002E-3</v>
      </c>
      <c r="AD43" s="110">
        <f t="shared" si="4"/>
        <v>44568</v>
      </c>
      <c r="AE43" s="13" t="e">
        <f>IF(AND(AD43&lt;=$AI$4,#REF!&lt;1),1,"")</f>
        <v>#REF!</v>
      </c>
      <c r="AF43" s="110">
        <f t="shared" ca="1" si="5"/>
        <v>44553</v>
      </c>
      <c r="AH43" s="13">
        <f t="shared" ca="1" si="6"/>
        <v>-11</v>
      </c>
    </row>
    <row r="44" spans="1:34" x14ac:dyDescent="0.25">
      <c r="A44" s="13" t="s">
        <v>4</v>
      </c>
      <c r="B44" s="13" t="s">
        <v>4</v>
      </c>
      <c r="C44" s="13" t="s">
        <v>1202</v>
      </c>
      <c r="D44" s="13" t="s">
        <v>1203</v>
      </c>
      <c r="E44" s="13" t="s">
        <v>723</v>
      </c>
      <c r="F44" s="13">
        <v>1</v>
      </c>
      <c r="G44" s="2" t="s">
        <v>1195</v>
      </c>
      <c r="H44" s="13" t="s">
        <v>0</v>
      </c>
      <c r="I44" s="13" t="s">
        <v>140</v>
      </c>
      <c r="J44" s="13" t="s">
        <v>139</v>
      </c>
      <c r="K44" s="109">
        <v>44564</v>
      </c>
      <c r="Q44" s="13" t="str">
        <f t="shared" si="0"/>
        <v>BGTACRD025036AUTOSERVICIONUTRESA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1</v>
      </c>
      <c r="Y44" s="13">
        <v>40</v>
      </c>
      <c r="Z44" s="13">
        <v>30</v>
      </c>
      <c r="AA44" s="13">
        <v>3000</v>
      </c>
      <c r="AB44" s="13">
        <v>3000</v>
      </c>
      <c r="AC44" s="13">
        <v>2.0830000000000002E-3</v>
      </c>
      <c r="AD44" s="110">
        <f t="shared" si="4"/>
        <v>44568</v>
      </c>
      <c r="AE44" s="13" t="e">
        <f>IF(AND(AD44&lt;=$AI$4,#REF!&lt;1),1,"")</f>
        <v>#REF!</v>
      </c>
      <c r="AF44" s="110">
        <f t="shared" ca="1" si="5"/>
        <v>44553</v>
      </c>
      <c r="AH44" s="13">
        <f t="shared" ca="1" si="6"/>
        <v>-11</v>
      </c>
    </row>
    <row r="45" spans="1:34" x14ac:dyDescent="0.25">
      <c r="A45" s="13" t="s">
        <v>4</v>
      </c>
      <c r="B45" s="13" t="s">
        <v>4</v>
      </c>
      <c r="C45" s="13" t="s">
        <v>1204</v>
      </c>
      <c r="D45" s="13" t="s">
        <v>1205</v>
      </c>
      <c r="E45" s="13" t="s">
        <v>723</v>
      </c>
      <c r="F45" s="13">
        <v>90</v>
      </c>
      <c r="G45" s="2" t="s">
        <v>1195</v>
      </c>
      <c r="H45" s="13" t="s">
        <v>0</v>
      </c>
      <c r="I45" s="13" t="s">
        <v>140</v>
      </c>
      <c r="J45" s="13" t="s">
        <v>139</v>
      </c>
      <c r="K45" s="109">
        <v>44564</v>
      </c>
      <c r="Q45" s="13" t="str">
        <f t="shared" si="0"/>
        <v>BGTACRD025037AUTOSERVICIONUTRESA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</v>
      </c>
      <c r="Y45" s="13">
        <v>30</v>
      </c>
      <c r="Z45" s="13">
        <v>35</v>
      </c>
      <c r="AA45" s="13">
        <v>3000</v>
      </c>
      <c r="AB45" s="13">
        <v>3000</v>
      </c>
      <c r="AC45" s="13">
        <v>2.0830000000000002E-3</v>
      </c>
      <c r="AD45" s="110">
        <f t="shared" si="4"/>
        <v>44568</v>
      </c>
      <c r="AE45" s="13" t="e">
        <f>IF(AND(AD45&lt;=$AI$4,#REF!&lt;1),1,"")</f>
        <v>#REF!</v>
      </c>
      <c r="AF45" s="110">
        <f t="shared" ca="1" si="5"/>
        <v>44553</v>
      </c>
      <c r="AH45" s="13">
        <f t="shared" ca="1" si="6"/>
        <v>-11</v>
      </c>
    </row>
    <row r="46" spans="1:34" x14ac:dyDescent="0.25">
      <c r="A46" s="13" t="s">
        <v>5</v>
      </c>
      <c r="B46" s="13" t="s">
        <v>5</v>
      </c>
      <c r="C46" s="13" t="s">
        <v>1204</v>
      </c>
      <c r="D46" s="13" t="s">
        <v>1205</v>
      </c>
      <c r="E46" s="13" t="s">
        <v>723</v>
      </c>
      <c r="F46" s="13">
        <v>80</v>
      </c>
      <c r="G46" s="2" t="s">
        <v>1195</v>
      </c>
      <c r="H46" s="13" t="s">
        <v>0</v>
      </c>
      <c r="I46" s="13" t="s">
        <v>140</v>
      </c>
      <c r="J46" s="13" t="s">
        <v>139</v>
      </c>
      <c r="K46" s="109">
        <v>44564</v>
      </c>
      <c r="Q46" s="13" t="str">
        <f t="shared" si="0"/>
        <v>BUCACRD025037AUTOSERVICIONUTRESA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</v>
      </c>
      <c r="Y46" s="13">
        <v>30</v>
      </c>
      <c r="Z46" s="13">
        <v>35</v>
      </c>
      <c r="AA46" s="13">
        <v>3000</v>
      </c>
      <c r="AB46" s="13">
        <v>3000</v>
      </c>
      <c r="AC46" s="13">
        <v>2.0830000000000002E-3</v>
      </c>
      <c r="AD46" s="110">
        <f t="shared" si="4"/>
        <v>44568</v>
      </c>
      <c r="AE46" s="13" t="e">
        <f>IF(AND(AD46&lt;=$AI$4,#REF!&lt;1),1,"")</f>
        <v>#REF!</v>
      </c>
      <c r="AF46" s="110">
        <f t="shared" ca="1" si="5"/>
        <v>44553</v>
      </c>
      <c r="AH46" s="13">
        <f t="shared" ca="1" si="6"/>
        <v>-11</v>
      </c>
    </row>
    <row r="47" spans="1:34" x14ac:dyDescent="0.25">
      <c r="A47" s="13" t="s">
        <v>9</v>
      </c>
      <c r="B47" s="13" t="s">
        <v>9</v>
      </c>
      <c r="C47" s="13" t="s">
        <v>1204</v>
      </c>
      <c r="D47" s="13" t="s">
        <v>1205</v>
      </c>
      <c r="E47" s="13" t="s">
        <v>723</v>
      </c>
      <c r="F47" s="13">
        <v>50</v>
      </c>
      <c r="G47" s="2" t="s">
        <v>1195</v>
      </c>
      <c r="H47" s="13" t="s">
        <v>0</v>
      </c>
      <c r="I47" s="13" t="s">
        <v>140</v>
      </c>
      <c r="J47" s="13" t="s">
        <v>139</v>
      </c>
      <c r="K47" s="109">
        <v>44564</v>
      </c>
      <c r="Q47" s="13" t="str">
        <f t="shared" si="0"/>
        <v>MEDECRD025037AUTOSERVICIONUTRESA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</v>
      </c>
      <c r="Y47" s="13">
        <v>30</v>
      </c>
      <c r="Z47" s="13">
        <v>35</v>
      </c>
      <c r="AA47" s="13">
        <v>3000</v>
      </c>
      <c r="AB47" s="13">
        <v>3000</v>
      </c>
      <c r="AC47" s="13">
        <v>2.0830000000000002E-3</v>
      </c>
      <c r="AD47" s="110">
        <f t="shared" si="4"/>
        <v>44568</v>
      </c>
      <c r="AE47" s="13" t="e">
        <f>IF(AND(AD47&lt;=$AI$4,#REF!&lt;1),1,"")</f>
        <v>#REF!</v>
      </c>
      <c r="AF47" s="110">
        <f t="shared" ca="1" si="5"/>
        <v>44553</v>
      </c>
      <c r="AH47" s="13">
        <f t="shared" ca="1" si="6"/>
        <v>-11</v>
      </c>
    </row>
    <row r="48" spans="1:34" x14ac:dyDescent="0.25">
      <c r="A48" s="13" t="s">
        <v>4</v>
      </c>
      <c r="B48" s="13" t="s">
        <v>4</v>
      </c>
      <c r="C48" s="13" t="s">
        <v>1193</v>
      </c>
      <c r="D48" s="13" t="s">
        <v>1194</v>
      </c>
      <c r="E48" s="13" t="s">
        <v>723</v>
      </c>
      <c r="F48" s="13">
        <v>12</v>
      </c>
      <c r="G48" s="2" t="s">
        <v>1195</v>
      </c>
      <c r="H48" s="13" t="s">
        <v>1</v>
      </c>
      <c r="I48" s="13" t="s">
        <v>140</v>
      </c>
      <c r="J48" s="13" t="s">
        <v>139</v>
      </c>
      <c r="K48" s="109">
        <v>44559</v>
      </c>
      <c r="Q48" s="13" t="str">
        <f t="shared" si="0"/>
        <v>BGTACRD025035CADENASNUTRESA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</v>
      </c>
      <c r="Y48" s="13">
        <v>100</v>
      </c>
      <c r="Z48" s="13">
        <v>200</v>
      </c>
      <c r="AD48" s="110">
        <f t="shared" si="4"/>
        <v>44563</v>
      </c>
      <c r="AE48" s="13" t="e">
        <f>IF(AND(AD48&lt;=$AI$4,#REF!&lt;1),1,"")</f>
        <v>#REF!</v>
      </c>
      <c r="AF48" s="110">
        <f t="shared" ca="1" si="5"/>
        <v>44553</v>
      </c>
      <c r="AH48" s="13">
        <f t="shared" ca="1" si="6"/>
        <v>-6</v>
      </c>
    </row>
    <row r="49" spans="1:34" x14ac:dyDescent="0.25">
      <c r="A49" s="13" t="s">
        <v>6</v>
      </c>
      <c r="B49" s="13" t="s">
        <v>6</v>
      </c>
      <c r="C49" s="13" t="s">
        <v>1193</v>
      </c>
      <c r="D49" s="13" t="s">
        <v>1194</v>
      </c>
      <c r="E49" s="13" t="s">
        <v>723</v>
      </c>
      <c r="F49" s="13">
        <v>3</v>
      </c>
      <c r="G49" s="2" t="s">
        <v>1195</v>
      </c>
      <c r="H49" s="13" t="s">
        <v>1</v>
      </c>
      <c r="I49" s="13" t="s">
        <v>140</v>
      </c>
      <c r="J49" s="13" t="s">
        <v>139</v>
      </c>
      <c r="K49" s="109">
        <v>44559</v>
      </c>
      <c r="Q49" s="13" t="str">
        <f t="shared" si="0"/>
        <v>CALICRD025035CADENASNUTRESA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</v>
      </c>
      <c r="Y49" s="13">
        <v>100</v>
      </c>
      <c r="Z49" s="13">
        <v>200</v>
      </c>
      <c r="AD49" s="110">
        <f t="shared" si="4"/>
        <v>44563</v>
      </c>
      <c r="AE49" s="13" t="e">
        <f>IF(AND(AD49&lt;=$AI$4,#REF!&lt;1),1,"")</f>
        <v>#REF!</v>
      </c>
      <c r="AF49" s="110">
        <f t="shared" ca="1" si="5"/>
        <v>44553</v>
      </c>
      <c r="AH49" s="13">
        <f t="shared" ca="1" si="6"/>
        <v>-6</v>
      </c>
    </row>
    <row r="50" spans="1:34" x14ac:dyDescent="0.25">
      <c r="A50" s="13" t="s">
        <v>8</v>
      </c>
      <c r="B50" s="13" t="s">
        <v>8</v>
      </c>
      <c r="C50" s="13" t="s">
        <v>1193</v>
      </c>
      <c r="D50" s="13" t="s">
        <v>1194</v>
      </c>
      <c r="E50" s="13" t="s">
        <v>723</v>
      </c>
      <c r="F50" s="13">
        <v>2</v>
      </c>
      <c r="G50" s="2" t="s">
        <v>1195</v>
      </c>
      <c r="H50" s="13" t="s">
        <v>1</v>
      </c>
      <c r="I50" s="13" t="s">
        <v>140</v>
      </c>
      <c r="J50" s="13" t="s">
        <v>139</v>
      </c>
      <c r="K50" s="109">
        <v>44559</v>
      </c>
      <c r="Q50" s="13" t="str">
        <f t="shared" si="0"/>
        <v>IBA1CRD025035CADENASNUTRESA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</v>
      </c>
      <c r="Y50" s="13">
        <v>100</v>
      </c>
      <c r="Z50" s="13">
        <v>200</v>
      </c>
      <c r="AD50" s="110">
        <f t="shared" si="4"/>
        <v>44563</v>
      </c>
      <c r="AE50" s="13" t="e">
        <f>IF(AND(AD50&lt;=$AI$4,#REF!&lt;1),1,"")</f>
        <v>#REF!</v>
      </c>
      <c r="AF50" s="110">
        <f t="shared" ca="1" si="5"/>
        <v>44553</v>
      </c>
      <c r="AH50" s="13">
        <f t="shared" ca="1" si="6"/>
        <v>-6</v>
      </c>
    </row>
    <row r="51" spans="1:34" x14ac:dyDescent="0.25">
      <c r="A51" s="13" t="s">
        <v>10</v>
      </c>
      <c r="B51" s="13" t="s">
        <v>10</v>
      </c>
      <c r="C51" s="13" t="s">
        <v>1193</v>
      </c>
      <c r="D51" s="13" t="s">
        <v>1194</v>
      </c>
      <c r="E51" s="13" t="s">
        <v>723</v>
      </c>
      <c r="F51" s="13">
        <v>4</v>
      </c>
      <c r="G51" s="2" t="s">
        <v>1195</v>
      </c>
      <c r="H51" s="13" t="s">
        <v>1</v>
      </c>
      <c r="I51" s="13" t="s">
        <v>140</v>
      </c>
      <c r="J51" s="13" t="s">
        <v>139</v>
      </c>
      <c r="K51" s="109">
        <v>44559</v>
      </c>
      <c r="Q51" s="13" t="str">
        <f t="shared" si="0"/>
        <v>PERECRD025035CADENASNUTRESA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</v>
      </c>
      <c r="Y51" s="13">
        <v>100</v>
      </c>
      <c r="Z51" s="13">
        <v>200</v>
      </c>
      <c r="AD51" s="110">
        <f t="shared" si="4"/>
        <v>44563</v>
      </c>
      <c r="AE51" s="13" t="e">
        <f>IF(AND(AD51&lt;=$AI$4,#REF!&lt;1),1,"")</f>
        <v>#REF!</v>
      </c>
      <c r="AF51" s="110">
        <f t="shared" ca="1" si="5"/>
        <v>44553</v>
      </c>
      <c r="AH51" s="13">
        <f t="shared" ca="1" si="6"/>
        <v>-6</v>
      </c>
    </row>
    <row r="52" spans="1:34" x14ac:dyDescent="0.25">
      <c r="A52" s="13" t="s">
        <v>8</v>
      </c>
      <c r="B52" s="13" t="s">
        <v>8</v>
      </c>
      <c r="C52" s="13" t="s">
        <v>1196</v>
      </c>
      <c r="D52" s="13" t="s">
        <v>1197</v>
      </c>
      <c r="E52" s="13" t="s">
        <v>723</v>
      </c>
      <c r="F52" s="13">
        <v>2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IBA1CRD025032AUTOSERVICIONUTRESA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50</v>
      </c>
      <c r="Y52" s="13">
        <v>50</v>
      </c>
      <c r="Z52" s="13">
        <v>150</v>
      </c>
      <c r="AD52" s="110">
        <f t="shared" si="4"/>
        <v>44568</v>
      </c>
      <c r="AE52" s="13" t="e">
        <f>IF(AND(AD52&lt;=$AI$4,#REF!&lt;1),1,"")</f>
        <v>#REF!</v>
      </c>
      <c r="AF52" s="110">
        <f t="shared" ca="1" si="5"/>
        <v>44553</v>
      </c>
      <c r="AH52" s="13">
        <f t="shared" ca="1" si="6"/>
        <v>-11</v>
      </c>
    </row>
    <row r="53" spans="1:34" x14ac:dyDescent="0.25">
      <c r="A53" s="13" t="s">
        <v>724</v>
      </c>
      <c r="B53" s="13" t="s">
        <v>724</v>
      </c>
      <c r="C53" s="13" t="s">
        <v>1198</v>
      </c>
      <c r="D53" s="13" t="s">
        <v>1199</v>
      </c>
      <c r="E53" s="13" t="s">
        <v>723</v>
      </c>
      <c r="F53" s="13">
        <v>15</v>
      </c>
      <c r="G53" s="2" t="s">
        <v>1195</v>
      </c>
      <c r="H53" s="13" t="s">
        <v>0</v>
      </c>
      <c r="I53" s="13" t="s">
        <v>145</v>
      </c>
      <c r="J53" s="13" t="s">
        <v>46</v>
      </c>
      <c r="K53" s="109">
        <v>44564</v>
      </c>
      <c r="Q53" s="13" t="str">
        <f t="shared" si="0"/>
        <v>BGTA ALTCRD025033AUTOSERVICIOALTILLANO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</v>
      </c>
      <c r="Y53" s="13">
        <v>40</v>
      </c>
      <c r="Z53" s="13">
        <v>140</v>
      </c>
      <c r="AD53" s="110">
        <f t="shared" si="4"/>
        <v>44568</v>
      </c>
      <c r="AE53" s="13" t="e">
        <f>IF(AND(AD53&lt;=$AI$4,#REF!&lt;1),1,"")</f>
        <v>#REF!</v>
      </c>
      <c r="AF53" s="110">
        <f t="shared" ca="1" si="5"/>
        <v>44553</v>
      </c>
      <c r="AH53" s="13">
        <f t="shared" ca="1" si="6"/>
        <v>-11</v>
      </c>
    </row>
    <row r="54" spans="1:34" x14ac:dyDescent="0.25">
      <c r="A54" s="13" t="s">
        <v>150</v>
      </c>
      <c r="B54" s="13" t="s">
        <v>150</v>
      </c>
      <c r="C54" s="13" t="s">
        <v>1198</v>
      </c>
      <c r="D54" s="13" t="s">
        <v>1199</v>
      </c>
      <c r="E54" s="13" t="s">
        <v>723</v>
      </c>
      <c r="F54" s="13">
        <v>10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VILACRD025033AUTOSERVICIONUTRESA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</v>
      </c>
      <c r="Y54" s="13">
        <v>40</v>
      </c>
      <c r="Z54" s="13">
        <v>140</v>
      </c>
      <c r="AD54" s="110">
        <f t="shared" si="4"/>
        <v>44568</v>
      </c>
      <c r="AE54" s="13" t="e">
        <f>IF(AND(AD54&lt;=$AI$4,#REF!&lt;1),1,"")</f>
        <v>#REF!</v>
      </c>
      <c r="AF54" s="110">
        <f t="shared" ca="1" si="5"/>
        <v>44553</v>
      </c>
      <c r="AH54" s="13">
        <f t="shared" ca="1" si="6"/>
        <v>-11</v>
      </c>
    </row>
    <row r="55" spans="1:34" x14ac:dyDescent="0.25">
      <c r="A55" s="13" t="s">
        <v>6</v>
      </c>
      <c r="B55" s="13" t="s">
        <v>6</v>
      </c>
      <c r="C55" s="13" t="s">
        <v>1198</v>
      </c>
      <c r="D55" s="13" t="s">
        <v>1199</v>
      </c>
      <c r="E55" s="13" t="s">
        <v>723</v>
      </c>
      <c r="F55" s="13">
        <v>2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CALICRD025033AUTOSERVICIONUTRESA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</v>
      </c>
      <c r="Y55" s="13">
        <v>40</v>
      </c>
      <c r="Z55" s="13">
        <v>140</v>
      </c>
      <c r="AD55" s="110">
        <f t="shared" si="4"/>
        <v>44568</v>
      </c>
      <c r="AE55" s="13" t="e">
        <f>IF(AND(AD55&lt;=$AI$4,#REF!&lt;1),1,"")</f>
        <v>#REF!</v>
      </c>
      <c r="AF55" s="110">
        <f t="shared" ca="1" si="5"/>
        <v>44553</v>
      </c>
      <c r="AH55" s="13">
        <f t="shared" ca="1" si="6"/>
        <v>-11</v>
      </c>
    </row>
    <row r="56" spans="1:34" x14ac:dyDescent="0.25">
      <c r="A56" s="13" t="s">
        <v>10</v>
      </c>
      <c r="B56" s="13" t="s">
        <v>10</v>
      </c>
      <c r="C56" s="13" t="s">
        <v>1198</v>
      </c>
      <c r="D56" s="13" t="s">
        <v>1199</v>
      </c>
      <c r="E56" s="13" t="s">
        <v>723</v>
      </c>
      <c r="F56" s="13">
        <v>9</v>
      </c>
      <c r="G56" s="2" t="s">
        <v>1195</v>
      </c>
      <c r="H56" s="13" t="s">
        <v>0</v>
      </c>
      <c r="I56" s="13" t="s">
        <v>140</v>
      </c>
      <c r="J56" s="13" t="s">
        <v>46</v>
      </c>
      <c r="K56" s="109">
        <v>44564</v>
      </c>
      <c r="Q56" s="13" t="str">
        <f t="shared" si="0"/>
        <v>PERECRD025033AUTOSERVICIONUTRESA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30</v>
      </c>
      <c r="Y56" s="13">
        <v>40</v>
      </c>
      <c r="Z56" s="13">
        <v>140</v>
      </c>
      <c r="AD56" s="110">
        <f t="shared" si="4"/>
        <v>44568</v>
      </c>
      <c r="AE56" s="13" t="e">
        <f>IF(AND(AD56&lt;=$AI$4,#REF!&lt;1),1,"")</f>
        <v>#REF!</v>
      </c>
      <c r="AF56" s="110">
        <f t="shared" ca="1" si="5"/>
        <v>44553</v>
      </c>
      <c r="AH56" s="13">
        <f t="shared" ca="1" si="6"/>
        <v>-11</v>
      </c>
    </row>
    <row r="57" spans="1:34" x14ac:dyDescent="0.25">
      <c r="A57" s="13" t="s">
        <v>4</v>
      </c>
      <c r="B57" s="13" t="s">
        <v>4</v>
      </c>
      <c r="C57" s="13" t="s">
        <v>1200</v>
      </c>
      <c r="D57" s="13" t="s">
        <v>1201</v>
      </c>
      <c r="E57" s="13" t="s">
        <v>723</v>
      </c>
      <c r="F57" s="13">
        <v>17</v>
      </c>
      <c r="G57" s="2" t="s">
        <v>1195</v>
      </c>
      <c r="H57" s="13" t="s">
        <v>0</v>
      </c>
      <c r="I57" s="13" t="s">
        <v>140</v>
      </c>
      <c r="J57" s="13" t="s">
        <v>46</v>
      </c>
      <c r="K57" s="109">
        <v>44564</v>
      </c>
      <c r="Q57" s="13" t="str">
        <f t="shared" si="0"/>
        <v>BGTACRD025034AUTOSERVICIONUTRESA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30</v>
      </c>
      <c r="Y57" s="13">
        <v>40</v>
      </c>
      <c r="Z57" s="13">
        <v>140</v>
      </c>
      <c r="AD57" s="110">
        <f t="shared" si="4"/>
        <v>44568</v>
      </c>
      <c r="AE57" s="13" t="e">
        <f>IF(AND(AD57&lt;=$AI$4,#REF!&lt;1),1,"")</f>
        <v>#REF!</v>
      </c>
      <c r="AF57" s="110">
        <f t="shared" ca="1" si="5"/>
        <v>44553</v>
      </c>
      <c r="AH57" s="13">
        <f t="shared" ca="1" si="6"/>
        <v>-11</v>
      </c>
    </row>
    <row r="58" spans="1:34" x14ac:dyDescent="0.25">
      <c r="A58" s="13" t="s">
        <v>149</v>
      </c>
      <c r="B58" s="13" t="s">
        <v>149</v>
      </c>
      <c r="C58" s="13" t="s">
        <v>1200</v>
      </c>
      <c r="D58" s="13" t="s">
        <v>1201</v>
      </c>
      <c r="E58" s="13" t="s">
        <v>723</v>
      </c>
      <c r="F58" s="13">
        <v>5</v>
      </c>
      <c r="G58" s="2" t="s">
        <v>1195</v>
      </c>
      <c r="H58" s="13" t="s">
        <v>0</v>
      </c>
      <c r="I58" s="13" t="s">
        <v>140</v>
      </c>
      <c r="J58" s="13" t="s">
        <v>46</v>
      </c>
      <c r="K58" s="109">
        <v>44564</v>
      </c>
      <c r="Q58" s="13" t="str">
        <f t="shared" si="0"/>
        <v>DUITCRD025034AUTOSERVICIONUTRESA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30</v>
      </c>
      <c r="Y58" s="13">
        <v>40</v>
      </c>
      <c r="Z58" s="13">
        <v>140</v>
      </c>
      <c r="AD58" s="110">
        <f t="shared" si="4"/>
        <v>44568</v>
      </c>
      <c r="AE58" s="13" t="e">
        <f>IF(AND(AD58&lt;=$AI$4,#REF!&lt;1),1,"")</f>
        <v>#REF!</v>
      </c>
      <c r="AF58" s="110">
        <f t="shared" ca="1" si="5"/>
        <v>44553</v>
      </c>
      <c r="AH58" s="13">
        <f t="shared" ca="1" si="6"/>
        <v>-11</v>
      </c>
    </row>
    <row r="59" spans="1:34" x14ac:dyDescent="0.25">
      <c r="A59" s="13" t="s">
        <v>5</v>
      </c>
      <c r="B59" s="13" t="s">
        <v>5</v>
      </c>
      <c r="C59" s="13" t="s">
        <v>1200</v>
      </c>
      <c r="D59" s="13" t="s">
        <v>1201</v>
      </c>
      <c r="E59" s="13" t="s">
        <v>723</v>
      </c>
      <c r="F59" s="13">
        <v>6</v>
      </c>
      <c r="G59" s="2" t="s">
        <v>1195</v>
      </c>
      <c r="H59" s="13" t="s">
        <v>0</v>
      </c>
      <c r="I59" s="13" t="s">
        <v>140</v>
      </c>
      <c r="J59" s="13" t="s">
        <v>46</v>
      </c>
      <c r="K59" s="109">
        <v>44564</v>
      </c>
      <c r="Q59" s="13" t="str">
        <f t="shared" si="0"/>
        <v>BUCACRD025034AUTOSERVICIONUTRESA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30</v>
      </c>
      <c r="Y59" s="13">
        <v>40</v>
      </c>
      <c r="Z59" s="13">
        <v>140</v>
      </c>
      <c r="AD59" s="110">
        <f t="shared" si="4"/>
        <v>44568</v>
      </c>
      <c r="AE59" s="13" t="e">
        <f>IF(AND(AD59&lt;=$AI$4,#REF!&lt;1),1,"")</f>
        <v>#REF!</v>
      </c>
      <c r="AF59" s="110">
        <f t="shared" ca="1" si="5"/>
        <v>44553</v>
      </c>
      <c r="AH59" s="13">
        <f t="shared" ca="1" si="6"/>
        <v>-11</v>
      </c>
    </row>
    <row r="60" spans="1:34" x14ac:dyDescent="0.25">
      <c r="A60" s="13" t="s">
        <v>7</v>
      </c>
      <c r="B60" s="13" t="s">
        <v>7</v>
      </c>
      <c r="C60" s="13" t="s">
        <v>1200</v>
      </c>
      <c r="D60" s="13" t="s">
        <v>1201</v>
      </c>
      <c r="E60" s="13" t="s">
        <v>723</v>
      </c>
      <c r="F60" s="13">
        <v>4</v>
      </c>
      <c r="G60" s="2" t="s">
        <v>1195</v>
      </c>
      <c r="H60" s="13" t="s">
        <v>0</v>
      </c>
      <c r="I60" s="13" t="s">
        <v>140</v>
      </c>
      <c r="J60" s="13" t="s">
        <v>46</v>
      </c>
      <c r="K60" s="109">
        <v>44564</v>
      </c>
      <c r="Q60" s="13" t="str">
        <f t="shared" si="0"/>
        <v>CARTCRD025034AUTOSERVICIONUTRESA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30</v>
      </c>
      <c r="Y60" s="13">
        <v>40</v>
      </c>
      <c r="Z60" s="13">
        <v>140</v>
      </c>
      <c r="AD60" s="110">
        <f t="shared" si="4"/>
        <v>44568</v>
      </c>
      <c r="AE60" s="13" t="e">
        <f>IF(AND(AD60&lt;=$AI$4,#REF!&lt;1),1,"")</f>
        <v>#REF!</v>
      </c>
      <c r="AF60" s="110">
        <f t="shared" ca="1" si="5"/>
        <v>44553</v>
      </c>
      <c r="AH60" s="13">
        <f t="shared" ca="1" si="6"/>
        <v>-11</v>
      </c>
    </row>
    <row r="61" spans="1:34" x14ac:dyDescent="0.25">
      <c r="A61" s="13" t="s">
        <v>9</v>
      </c>
      <c r="B61" s="13" t="s">
        <v>9</v>
      </c>
      <c r="C61" s="13" t="s">
        <v>1200</v>
      </c>
      <c r="D61" s="13" t="s">
        <v>1201</v>
      </c>
      <c r="E61" s="13" t="s">
        <v>723</v>
      </c>
      <c r="F61" s="13">
        <v>5</v>
      </c>
      <c r="G61" s="2" t="s">
        <v>1195</v>
      </c>
      <c r="H61" s="13" t="s">
        <v>0</v>
      </c>
      <c r="I61" s="13" t="s">
        <v>140</v>
      </c>
      <c r="J61" s="13" t="s">
        <v>46</v>
      </c>
      <c r="K61" s="109">
        <v>44564</v>
      </c>
      <c r="Q61" s="13" t="str">
        <f t="shared" si="0"/>
        <v>MEDECRD025034AUTOSERVICIONUTRESA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30</v>
      </c>
      <c r="Y61" s="13">
        <v>40</v>
      </c>
      <c r="Z61" s="13">
        <v>140</v>
      </c>
      <c r="AD61" s="110">
        <f t="shared" si="4"/>
        <v>44568</v>
      </c>
      <c r="AE61" s="13" t="e">
        <f>IF(AND(AD61&lt;=$AI$4,#REF!&lt;1),1,"")</f>
        <v>#REF!</v>
      </c>
      <c r="AF61" s="110">
        <f t="shared" ca="1" si="5"/>
        <v>44553</v>
      </c>
      <c r="AH61" s="13">
        <f t="shared" ca="1" si="6"/>
        <v>-11</v>
      </c>
    </row>
    <row r="62" spans="1:34" x14ac:dyDescent="0.25">
      <c r="A62" s="13" t="s">
        <v>4</v>
      </c>
      <c r="B62" s="13" t="s">
        <v>4</v>
      </c>
      <c r="C62" s="13" t="s">
        <v>1193</v>
      </c>
      <c r="D62" s="13" t="s">
        <v>1194</v>
      </c>
      <c r="E62" s="13" t="s">
        <v>723</v>
      </c>
      <c r="F62" s="13">
        <v>5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BGTACRD025035AUTOSERVICIONUTRESA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</v>
      </c>
      <c r="Y62" s="13">
        <v>100</v>
      </c>
      <c r="Z62" s="13">
        <v>200</v>
      </c>
      <c r="AD62" s="110">
        <f t="shared" si="4"/>
        <v>44568</v>
      </c>
      <c r="AE62" s="13" t="e">
        <f>IF(AND(AD62&lt;=$AI$4,#REF!&lt;1),1,"")</f>
        <v>#REF!</v>
      </c>
      <c r="AF62" s="110">
        <f t="shared" ca="1" si="5"/>
        <v>44553</v>
      </c>
      <c r="AH62" s="13">
        <f t="shared" ca="1" si="6"/>
        <v>-11</v>
      </c>
    </row>
    <row r="63" spans="1:34" x14ac:dyDescent="0.25">
      <c r="A63" s="13" t="s">
        <v>149</v>
      </c>
      <c r="B63" s="13" t="s">
        <v>149</v>
      </c>
      <c r="C63" s="13" t="s">
        <v>1193</v>
      </c>
      <c r="D63" s="13" t="s">
        <v>1194</v>
      </c>
      <c r="E63" s="13" t="s">
        <v>723</v>
      </c>
      <c r="F63" s="13">
        <v>3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DUITCRD025035AUTOSERVICIONUTRESA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</v>
      </c>
      <c r="Y63" s="13">
        <v>100</v>
      </c>
      <c r="Z63" s="13">
        <v>200</v>
      </c>
      <c r="AD63" s="110">
        <f t="shared" si="4"/>
        <v>44568</v>
      </c>
      <c r="AE63" s="13" t="e">
        <f>IF(AND(AD63&lt;=$AI$4,#REF!&lt;1),1,"")</f>
        <v>#REF!</v>
      </c>
      <c r="AF63" s="110">
        <f t="shared" ca="1" si="5"/>
        <v>44553</v>
      </c>
      <c r="AH63" s="13">
        <f t="shared" ca="1" si="6"/>
        <v>-11</v>
      </c>
    </row>
    <row r="64" spans="1:34" x14ac:dyDescent="0.25">
      <c r="A64" s="13" t="s">
        <v>8</v>
      </c>
      <c r="B64" s="13" t="s">
        <v>8</v>
      </c>
      <c r="C64" s="13" t="s">
        <v>1193</v>
      </c>
      <c r="D64" s="13" t="s">
        <v>1194</v>
      </c>
      <c r="E64" s="13" t="s">
        <v>723</v>
      </c>
      <c r="F64" s="13">
        <v>19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IBA1CRD025035AUTOSERVICIONUTRESA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</v>
      </c>
      <c r="Y64" s="13">
        <v>100</v>
      </c>
      <c r="Z64" s="13">
        <v>200</v>
      </c>
      <c r="AD64" s="110">
        <f t="shared" si="4"/>
        <v>44568</v>
      </c>
      <c r="AE64" s="13" t="e">
        <f>IF(AND(AD64&lt;=$AI$4,#REF!&lt;1),1,"")</f>
        <v>#REF!</v>
      </c>
      <c r="AF64" s="110">
        <f t="shared" ca="1" si="5"/>
        <v>44553</v>
      </c>
      <c r="AH64" s="13">
        <f t="shared" ca="1" si="6"/>
        <v>-11</v>
      </c>
    </row>
    <row r="65" spans="1:34" x14ac:dyDescent="0.25">
      <c r="A65" s="13" t="s">
        <v>4</v>
      </c>
      <c r="B65" s="13" t="s">
        <v>4</v>
      </c>
      <c r="C65" s="13" t="s">
        <v>1202</v>
      </c>
      <c r="D65" s="13" t="s">
        <v>1203</v>
      </c>
      <c r="E65" s="13" t="s">
        <v>723</v>
      </c>
      <c r="F65" s="13">
        <v>1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BGTACRD025036AUTOSERVICIONUTRESA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1</v>
      </c>
      <c r="Y65" s="13">
        <v>40</v>
      </c>
      <c r="Z65" s="13">
        <v>30</v>
      </c>
      <c r="AD65" s="110">
        <f t="shared" si="4"/>
        <v>44568</v>
      </c>
      <c r="AE65" s="13" t="e">
        <f>IF(AND(AD65&lt;=$AI$4,#REF!&lt;1),1,"")</f>
        <v>#REF!</v>
      </c>
      <c r="AF65" s="110">
        <f t="shared" ca="1" si="5"/>
        <v>44553</v>
      </c>
      <c r="AH65" s="13">
        <f t="shared" ca="1" si="6"/>
        <v>-11</v>
      </c>
    </row>
    <row r="66" spans="1:34" x14ac:dyDescent="0.25">
      <c r="A66" s="13" t="s">
        <v>9</v>
      </c>
      <c r="B66" s="13" t="s">
        <v>9</v>
      </c>
      <c r="C66" s="13" t="s">
        <v>1202</v>
      </c>
      <c r="D66" s="13" t="s">
        <v>1203</v>
      </c>
      <c r="E66" s="13" t="s">
        <v>723</v>
      </c>
      <c r="F66" s="13">
        <v>2</v>
      </c>
      <c r="G66" s="2" t="s">
        <v>1195</v>
      </c>
      <c r="H66" s="13" t="s">
        <v>0</v>
      </c>
      <c r="I66" s="13" t="s">
        <v>140</v>
      </c>
      <c r="J66" s="13" t="s">
        <v>139</v>
      </c>
      <c r="K66" s="109">
        <v>44564</v>
      </c>
      <c r="Q66" s="13" t="str">
        <f t="shared" si="0"/>
        <v>MEDECRD025036AUTOSERVICIONUTRESA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1</v>
      </c>
      <c r="Y66" s="13">
        <v>40</v>
      </c>
      <c r="Z66" s="13">
        <v>30</v>
      </c>
      <c r="AD66" s="110">
        <f t="shared" si="4"/>
        <v>44568</v>
      </c>
      <c r="AE66" s="13" t="e">
        <f>IF(AND(AD66&lt;=$AI$4,#REF!&lt;1),1,"")</f>
        <v>#REF!</v>
      </c>
      <c r="AF66" s="110">
        <f t="shared" ca="1" si="5"/>
        <v>44553</v>
      </c>
      <c r="AH66" s="13">
        <f t="shared" ca="1" si="6"/>
        <v>-11</v>
      </c>
    </row>
    <row r="67" spans="1:34" x14ac:dyDescent="0.25">
      <c r="A67" s="13" t="s">
        <v>4</v>
      </c>
      <c r="B67" s="13" t="s">
        <v>4</v>
      </c>
      <c r="C67" s="13" t="s">
        <v>1204</v>
      </c>
      <c r="D67" s="13" t="s">
        <v>1205</v>
      </c>
      <c r="E67" s="13" t="s">
        <v>723</v>
      </c>
      <c r="F67" s="13">
        <v>90</v>
      </c>
      <c r="G67" s="2" t="s">
        <v>1195</v>
      </c>
      <c r="H67" s="13" t="s">
        <v>0</v>
      </c>
      <c r="I67" s="13" t="s">
        <v>140</v>
      </c>
      <c r="J67" s="13" t="s">
        <v>139</v>
      </c>
      <c r="K67" s="109">
        <v>44564</v>
      </c>
      <c r="Q67" s="13" t="str">
        <f t="shared" ref="Q67:Q130" si="7">+CONCATENATE(B67,C67,H67,I67)</f>
        <v>BGTACRD025037AUTOSERVICIONUTRESA</v>
      </c>
      <c r="T67" s="123">
        <f t="shared" ref="T67:T130" si="8">IFERROR(R67/F67,0)</f>
        <v>0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</v>
      </c>
      <c r="Y67" s="13">
        <v>30</v>
      </c>
      <c r="Z67" s="13">
        <v>35</v>
      </c>
      <c r="AD67" s="110">
        <f t="shared" ref="AD67:AD130" si="11">K67+4</f>
        <v>44568</v>
      </c>
      <c r="AE67" s="13" t="e">
        <f>IF(AND(AD67&lt;=$AI$4,#REF!&lt;1),1,"")</f>
        <v>#REF!</v>
      </c>
      <c r="AF67" s="110">
        <f t="shared" ref="AF67:AF130" ca="1" si="12">TODAY()</f>
        <v>44553</v>
      </c>
      <c r="AH67" s="13">
        <f t="shared" ref="AH67:AH130" ca="1" si="13">AF67-K67</f>
        <v>-11</v>
      </c>
    </row>
    <row r="68" spans="1:34" x14ac:dyDescent="0.25">
      <c r="A68" s="13" t="s">
        <v>149</v>
      </c>
      <c r="B68" s="13" t="s">
        <v>149</v>
      </c>
      <c r="C68" s="13" t="s">
        <v>1204</v>
      </c>
      <c r="D68" s="13" t="s">
        <v>1205</v>
      </c>
      <c r="E68" s="13" t="s">
        <v>723</v>
      </c>
      <c r="F68" s="13">
        <v>20</v>
      </c>
      <c r="G68" s="2" t="s">
        <v>1195</v>
      </c>
      <c r="H68" s="13" t="s">
        <v>0</v>
      </c>
      <c r="I68" s="13" t="s">
        <v>140</v>
      </c>
      <c r="J68" s="13" t="s">
        <v>139</v>
      </c>
      <c r="K68" s="109">
        <v>44564</v>
      </c>
      <c r="Q68" s="13" t="str">
        <f t="shared" si="7"/>
        <v>DUITCRD025037AUTOSERVICIONUTRESA</v>
      </c>
      <c r="T68" s="123">
        <f t="shared" si="8"/>
        <v>0</v>
      </c>
      <c r="U68" s="13">
        <f t="shared" si="9"/>
        <v>0</v>
      </c>
      <c r="V68" s="123">
        <f t="shared" si="10"/>
        <v>0</v>
      </c>
      <c r="X68" s="13">
        <v>5</v>
      </c>
      <c r="Y68" s="13">
        <v>30</v>
      </c>
      <c r="Z68" s="13">
        <v>35</v>
      </c>
      <c r="AD68" s="110">
        <f t="shared" si="11"/>
        <v>44568</v>
      </c>
      <c r="AE68" s="13" t="e">
        <f>IF(AND(AD68&lt;=$AI$4,#REF!&lt;1),1,"")</f>
        <v>#REF!</v>
      </c>
      <c r="AF68" s="110">
        <f t="shared" ca="1" si="12"/>
        <v>44553</v>
      </c>
      <c r="AH68" s="13">
        <f t="shared" ca="1" si="13"/>
        <v>-11</v>
      </c>
    </row>
    <row r="69" spans="1:34" x14ac:dyDescent="0.25">
      <c r="A69" s="13" t="s">
        <v>5</v>
      </c>
      <c r="B69" s="13" t="s">
        <v>5</v>
      </c>
      <c r="C69" s="13" t="s">
        <v>1204</v>
      </c>
      <c r="D69" s="13" t="s">
        <v>1205</v>
      </c>
      <c r="E69" s="13" t="s">
        <v>723</v>
      </c>
      <c r="F69" s="13">
        <v>80</v>
      </c>
      <c r="G69" s="2" t="s">
        <v>1195</v>
      </c>
      <c r="H69" s="13" t="s">
        <v>0</v>
      </c>
      <c r="I69" s="13" t="s">
        <v>140</v>
      </c>
      <c r="J69" s="13" t="s">
        <v>139</v>
      </c>
      <c r="K69" s="109">
        <v>44564</v>
      </c>
      <c r="Q69" s="13" t="str">
        <f t="shared" si="7"/>
        <v>BUCACRD025037AUTOSERVICIONUTRESA</v>
      </c>
      <c r="T69" s="123">
        <f t="shared" si="8"/>
        <v>0</v>
      </c>
      <c r="U69" s="13">
        <f t="shared" si="9"/>
        <v>0</v>
      </c>
      <c r="V69" s="123">
        <f t="shared" si="10"/>
        <v>0</v>
      </c>
      <c r="X69" s="13">
        <v>5</v>
      </c>
      <c r="Y69" s="13">
        <v>30</v>
      </c>
      <c r="Z69" s="13">
        <v>35</v>
      </c>
      <c r="AD69" s="110">
        <f t="shared" si="11"/>
        <v>44568</v>
      </c>
      <c r="AE69" s="13" t="e">
        <f>IF(AND(AD69&lt;=$AI$4,#REF!&lt;1),1,"")</f>
        <v>#REF!</v>
      </c>
      <c r="AF69" s="110">
        <f t="shared" ca="1" si="12"/>
        <v>44553</v>
      </c>
      <c r="AH69" s="13">
        <f t="shared" ca="1" si="13"/>
        <v>-11</v>
      </c>
    </row>
    <row r="70" spans="1:34" x14ac:dyDescent="0.25">
      <c r="A70" s="13" t="s">
        <v>7</v>
      </c>
      <c r="B70" s="13" t="s">
        <v>7</v>
      </c>
      <c r="C70" s="13" t="s">
        <v>1204</v>
      </c>
      <c r="D70" s="13" t="s">
        <v>1205</v>
      </c>
      <c r="E70" s="13" t="s">
        <v>723</v>
      </c>
      <c r="F70" s="13">
        <v>10</v>
      </c>
      <c r="G70" s="2" t="s">
        <v>1195</v>
      </c>
      <c r="H70" s="13" t="s">
        <v>0</v>
      </c>
      <c r="I70" s="13" t="s">
        <v>140</v>
      </c>
      <c r="J70" s="13" t="s">
        <v>139</v>
      </c>
      <c r="K70" s="109">
        <v>44564</v>
      </c>
      <c r="Q70" s="13" t="str">
        <f t="shared" si="7"/>
        <v>CARTCRD025037AUTOSERVICIONUTRESA</v>
      </c>
      <c r="T70" s="123">
        <f t="shared" si="8"/>
        <v>0</v>
      </c>
      <c r="U70" s="13">
        <f t="shared" si="9"/>
        <v>0</v>
      </c>
      <c r="V70" s="123">
        <f t="shared" si="10"/>
        <v>0</v>
      </c>
      <c r="X70" s="13">
        <v>5</v>
      </c>
      <c r="Y70" s="13">
        <v>30</v>
      </c>
      <c r="Z70" s="13">
        <v>35</v>
      </c>
      <c r="AD70" s="110">
        <f t="shared" si="11"/>
        <v>44568</v>
      </c>
      <c r="AE70" s="13" t="e">
        <f>IF(AND(AD70&lt;=$AI$4,#REF!&lt;1),1,"")</f>
        <v>#REF!</v>
      </c>
      <c r="AF70" s="110">
        <f t="shared" ca="1" si="12"/>
        <v>44553</v>
      </c>
      <c r="AH70" s="13">
        <f t="shared" ca="1" si="13"/>
        <v>-11</v>
      </c>
    </row>
    <row r="71" spans="1:34" x14ac:dyDescent="0.25">
      <c r="A71" s="13" t="s">
        <v>9</v>
      </c>
      <c r="B71" s="13" t="s">
        <v>9</v>
      </c>
      <c r="C71" s="13" t="s">
        <v>1204</v>
      </c>
      <c r="D71" s="13" t="s">
        <v>1205</v>
      </c>
      <c r="E71" s="13" t="s">
        <v>723</v>
      </c>
      <c r="F71" s="13">
        <v>50</v>
      </c>
      <c r="G71" s="2" t="s">
        <v>1195</v>
      </c>
      <c r="H71" s="13" t="s">
        <v>0</v>
      </c>
      <c r="I71" s="13" t="s">
        <v>140</v>
      </c>
      <c r="J71" s="13" t="s">
        <v>139</v>
      </c>
      <c r="K71" s="109">
        <v>44564</v>
      </c>
      <c r="Q71" s="13" t="str">
        <f t="shared" si="7"/>
        <v>MEDECRD025037AUTOSERVICIONUTRESA</v>
      </c>
      <c r="T71" s="123">
        <f t="shared" si="8"/>
        <v>0</v>
      </c>
      <c r="U71" s="13">
        <f t="shared" si="9"/>
        <v>0</v>
      </c>
      <c r="V71" s="123">
        <f t="shared" si="10"/>
        <v>0</v>
      </c>
      <c r="X71" s="13">
        <v>5</v>
      </c>
      <c r="Y71" s="13">
        <v>30</v>
      </c>
      <c r="Z71" s="13">
        <v>35</v>
      </c>
      <c r="AD71" s="110">
        <f t="shared" si="11"/>
        <v>44568</v>
      </c>
      <c r="AE71" s="13" t="e">
        <f>IF(AND(AD71&lt;=$AI$4,#REF!&lt;1),1,"")</f>
        <v>#REF!</v>
      </c>
      <c r="AF71" s="110">
        <f t="shared" ca="1" si="12"/>
        <v>44553</v>
      </c>
      <c r="AH71" s="13">
        <f t="shared" ca="1" si="13"/>
        <v>-11</v>
      </c>
    </row>
    <row r="72" spans="1:34" x14ac:dyDescent="0.25">
      <c r="A72" s="13" t="s">
        <v>724</v>
      </c>
      <c r="B72" s="13" t="s">
        <v>724</v>
      </c>
      <c r="C72" s="13" t="s">
        <v>1206</v>
      </c>
      <c r="D72" s="13" t="s">
        <v>1207</v>
      </c>
      <c r="E72" s="13" t="s">
        <v>725</v>
      </c>
      <c r="F72" s="13">
        <v>3</v>
      </c>
      <c r="G72" s="2" t="s">
        <v>1207</v>
      </c>
      <c r="H72" s="13" t="s">
        <v>2</v>
      </c>
      <c r="I72" s="13" t="s">
        <v>145</v>
      </c>
      <c r="J72" s="13" t="s">
        <v>46</v>
      </c>
      <c r="K72" s="109">
        <v>44576</v>
      </c>
      <c r="Q72" s="13" t="str">
        <f t="shared" si="7"/>
        <v>BGTA ALTACT000554TRADICIONALALTILLANO</v>
      </c>
      <c r="T72" s="123">
        <f t="shared" si="8"/>
        <v>0</v>
      </c>
      <c r="U72" s="13">
        <f t="shared" si="9"/>
        <v>0</v>
      </c>
      <c r="V72" s="123">
        <f t="shared" si="10"/>
        <v>0</v>
      </c>
      <c r="X72" s="13">
        <v>50</v>
      </c>
      <c r="Y72" s="13">
        <v>50</v>
      </c>
      <c r="Z72" s="13">
        <v>150</v>
      </c>
      <c r="AA72" s="13">
        <v>3000</v>
      </c>
      <c r="AB72" s="13">
        <v>3000</v>
      </c>
      <c r="AC72" s="13">
        <v>2.0830000000000002E-3</v>
      </c>
      <c r="AD72" s="110">
        <f t="shared" si="11"/>
        <v>44580</v>
      </c>
      <c r="AE72" s="13" t="e">
        <f>IF(AND(AD72&lt;=$AI$4,#REF!&lt;1),1,"")</f>
        <v>#REF!</v>
      </c>
      <c r="AF72" s="110">
        <f t="shared" ca="1" si="12"/>
        <v>44553</v>
      </c>
      <c r="AH72" s="13">
        <f t="shared" ca="1" si="13"/>
        <v>-23</v>
      </c>
    </row>
    <row r="73" spans="1:34" x14ac:dyDescent="0.25">
      <c r="A73" s="13" t="s">
        <v>10</v>
      </c>
      <c r="B73" s="13" t="s">
        <v>10</v>
      </c>
      <c r="C73" s="13" t="s">
        <v>1206</v>
      </c>
      <c r="D73" s="13" t="s">
        <v>1207</v>
      </c>
      <c r="E73" s="13" t="s">
        <v>725</v>
      </c>
      <c r="F73" s="13">
        <v>2</v>
      </c>
      <c r="G73" s="2" t="s">
        <v>1207</v>
      </c>
      <c r="H73" s="13" t="s">
        <v>2</v>
      </c>
      <c r="I73" s="13" t="s">
        <v>140</v>
      </c>
      <c r="J73" s="13" t="s">
        <v>46</v>
      </c>
      <c r="K73" s="109">
        <v>44576</v>
      </c>
      <c r="Q73" s="13" t="str">
        <f t="shared" si="7"/>
        <v>PEREACT000554TRADICIONALNUTRESA</v>
      </c>
      <c r="T73" s="123">
        <f t="shared" si="8"/>
        <v>0</v>
      </c>
      <c r="U73" s="13">
        <f t="shared" si="9"/>
        <v>0</v>
      </c>
      <c r="V73" s="123">
        <f t="shared" si="10"/>
        <v>0</v>
      </c>
      <c r="X73" s="13">
        <v>50</v>
      </c>
      <c r="Y73" s="13">
        <v>50</v>
      </c>
      <c r="Z73" s="13">
        <v>150</v>
      </c>
      <c r="AA73" s="13">
        <v>3000</v>
      </c>
      <c r="AB73" s="13">
        <v>3000</v>
      </c>
      <c r="AC73" s="13">
        <v>2.0830000000000002E-3</v>
      </c>
      <c r="AD73" s="110">
        <f t="shared" si="11"/>
        <v>44580</v>
      </c>
      <c r="AE73" s="13" t="e">
        <f>IF(AND(AD73&lt;=$AI$4,#REF!&lt;1),1,"")</f>
        <v>#REF!</v>
      </c>
      <c r="AF73" s="110">
        <f t="shared" ca="1" si="12"/>
        <v>44553</v>
      </c>
      <c r="AH73" s="13">
        <f t="shared" ca="1" si="13"/>
        <v>-23</v>
      </c>
    </row>
    <row r="74" spans="1:34" x14ac:dyDescent="0.25">
      <c r="A74" s="13" t="s">
        <v>724</v>
      </c>
      <c r="B74" s="13" t="s">
        <v>724</v>
      </c>
      <c r="C74" s="13" t="s">
        <v>1206</v>
      </c>
      <c r="D74" s="13" t="s">
        <v>1207</v>
      </c>
      <c r="E74" s="13" t="s">
        <v>725</v>
      </c>
      <c r="F74" s="13">
        <v>3</v>
      </c>
      <c r="G74" s="2" t="s">
        <v>1207</v>
      </c>
      <c r="H74" s="13" t="s">
        <v>2</v>
      </c>
      <c r="I74" s="13" t="s">
        <v>145</v>
      </c>
      <c r="J74" s="13" t="s">
        <v>46</v>
      </c>
      <c r="K74" s="109">
        <v>44576</v>
      </c>
      <c r="Q74" s="13" t="str">
        <f t="shared" si="7"/>
        <v>BGTA ALTACT000554TRADICIONALALTILLANO</v>
      </c>
      <c r="T74" s="123">
        <f t="shared" si="8"/>
        <v>0</v>
      </c>
      <c r="U74" s="13">
        <f t="shared" si="9"/>
        <v>0</v>
      </c>
      <c r="V74" s="123">
        <f t="shared" si="10"/>
        <v>0</v>
      </c>
      <c r="X74" s="13">
        <v>50</v>
      </c>
      <c r="Y74" s="13">
        <v>50</v>
      </c>
      <c r="Z74" s="13">
        <v>150</v>
      </c>
      <c r="AA74" s="13">
        <v>3000</v>
      </c>
      <c r="AB74" s="13">
        <v>3000</v>
      </c>
      <c r="AC74" s="13">
        <v>2.0830000000000002E-3</v>
      </c>
      <c r="AD74" s="110">
        <f t="shared" si="11"/>
        <v>44580</v>
      </c>
      <c r="AE74" s="13" t="e">
        <f>IF(AND(AD74&lt;=$AI$4,#REF!&lt;1),1,"")</f>
        <v>#REF!</v>
      </c>
      <c r="AF74" s="110">
        <f t="shared" ca="1" si="12"/>
        <v>44553</v>
      </c>
      <c r="AH74" s="13">
        <f t="shared" ca="1" si="13"/>
        <v>-23</v>
      </c>
    </row>
    <row r="75" spans="1:34" x14ac:dyDescent="0.25">
      <c r="A75" s="13" t="s">
        <v>6</v>
      </c>
      <c r="B75" s="13" t="s">
        <v>6</v>
      </c>
      <c r="C75" s="13" t="s">
        <v>1206</v>
      </c>
      <c r="D75" s="13" t="s">
        <v>1207</v>
      </c>
      <c r="E75" s="13" t="s">
        <v>725</v>
      </c>
      <c r="F75" s="13">
        <v>8</v>
      </c>
      <c r="G75" s="2" t="s">
        <v>1207</v>
      </c>
      <c r="H75" s="13" t="s">
        <v>2</v>
      </c>
      <c r="I75" s="13" t="s">
        <v>140</v>
      </c>
      <c r="J75" s="13" t="s">
        <v>46</v>
      </c>
      <c r="K75" s="109">
        <v>44576</v>
      </c>
      <c r="Q75" s="13" t="str">
        <f t="shared" si="7"/>
        <v>CALIACT000554TRADICIONALNUTRESA</v>
      </c>
      <c r="T75" s="123">
        <f t="shared" si="8"/>
        <v>0</v>
      </c>
      <c r="U75" s="13">
        <f t="shared" si="9"/>
        <v>0</v>
      </c>
      <c r="V75" s="123">
        <f t="shared" si="10"/>
        <v>0</v>
      </c>
      <c r="X75" s="13">
        <v>50</v>
      </c>
      <c r="Y75" s="13">
        <v>50</v>
      </c>
      <c r="Z75" s="13">
        <v>150</v>
      </c>
      <c r="AA75" s="13">
        <v>3000</v>
      </c>
      <c r="AB75" s="13">
        <v>3000</v>
      </c>
      <c r="AC75" s="13">
        <v>2.0830000000000002E-3</v>
      </c>
      <c r="AD75" s="110">
        <f t="shared" si="11"/>
        <v>44580</v>
      </c>
      <c r="AE75" s="13" t="e">
        <f>IF(AND(AD75&lt;=$AI$4,#REF!&lt;1),1,"")</f>
        <v>#REF!</v>
      </c>
      <c r="AF75" s="110">
        <f t="shared" ca="1" si="12"/>
        <v>44553</v>
      </c>
      <c r="AH75" s="13">
        <f t="shared" ca="1" si="13"/>
        <v>-23</v>
      </c>
    </row>
    <row r="76" spans="1:34" x14ac:dyDescent="0.25">
      <c r="A76" s="13" t="s">
        <v>10</v>
      </c>
      <c r="B76" s="13" t="s">
        <v>10</v>
      </c>
      <c r="C76" s="13" t="s">
        <v>1206</v>
      </c>
      <c r="D76" s="13" t="s">
        <v>1207</v>
      </c>
      <c r="E76" s="13" t="s">
        <v>725</v>
      </c>
      <c r="F76" s="13">
        <v>2</v>
      </c>
      <c r="G76" s="2" t="s">
        <v>1207</v>
      </c>
      <c r="H76" s="13" t="s">
        <v>2</v>
      </c>
      <c r="I76" s="13" t="s">
        <v>140</v>
      </c>
      <c r="J76" s="13" t="s">
        <v>46</v>
      </c>
      <c r="K76" s="109">
        <v>44576</v>
      </c>
      <c r="Q76" s="13" t="str">
        <f t="shared" si="7"/>
        <v>PEREACT000554TRADICIONALNUTRESA</v>
      </c>
      <c r="T76" s="123">
        <f t="shared" si="8"/>
        <v>0</v>
      </c>
      <c r="U76" s="13">
        <f t="shared" si="9"/>
        <v>0</v>
      </c>
      <c r="V76" s="123">
        <f t="shared" si="10"/>
        <v>0</v>
      </c>
      <c r="X76" s="13">
        <v>50</v>
      </c>
      <c r="Y76" s="13">
        <v>50</v>
      </c>
      <c r="Z76" s="13">
        <v>150</v>
      </c>
      <c r="AA76" s="13">
        <v>3000</v>
      </c>
      <c r="AB76" s="13">
        <v>3000</v>
      </c>
      <c r="AC76" s="13">
        <v>2.0830000000000002E-3</v>
      </c>
      <c r="AD76" s="110">
        <f t="shared" si="11"/>
        <v>44580</v>
      </c>
      <c r="AE76" s="13" t="e">
        <f>IF(AND(AD76&lt;=$AI$4,#REF!&lt;1),1,"")</f>
        <v>#REF!</v>
      </c>
      <c r="AF76" s="110">
        <f t="shared" ca="1" si="12"/>
        <v>44553</v>
      </c>
      <c r="AH76" s="13">
        <f t="shared" ca="1" si="13"/>
        <v>-23</v>
      </c>
    </row>
    <row r="77" spans="1:34" x14ac:dyDescent="0.25">
      <c r="A77" s="13" t="s">
        <v>4</v>
      </c>
      <c r="B77" s="13" t="s">
        <v>4</v>
      </c>
      <c r="C77" s="13" t="s">
        <v>1206</v>
      </c>
      <c r="D77" s="13" t="s">
        <v>1207</v>
      </c>
      <c r="E77" s="13" t="s">
        <v>725</v>
      </c>
      <c r="F77" s="13">
        <v>5</v>
      </c>
      <c r="G77" s="2" t="s">
        <v>1207</v>
      </c>
      <c r="H77" s="13" t="s">
        <v>2</v>
      </c>
      <c r="I77" s="13" t="s">
        <v>140</v>
      </c>
      <c r="J77" s="13" t="s">
        <v>46</v>
      </c>
      <c r="K77" s="109">
        <v>44576</v>
      </c>
      <c r="Q77" s="13" t="str">
        <f t="shared" si="7"/>
        <v>BGTAACT000554TRADICIONALNUTRESA</v>
      </c>
      <c r="T77" s="123">
        <f t="shared" si="8"/>
        <v>0</v>
      </c>
      <c r="U77" s="13">
        <f t="shared" si="9"/>
        <v>0</v>
      </c>
      <c r="V77" s="123">
        <f t="shared" si="10"/>
        <v>0</v>
      </c>
      <c r="X77" s="13">
        <v>50</v>
      </c>
      <c r="Y77" s="13">
        <v>50</v>
      </c>
      <c r="Z77" s="13">
        <v>150</v>
      </c>
      <c r="AD77" s="110">
        <f t="shared" si="11"/>
        <v>44580</v>
      </c>
      <c r="AE77" s="13" t="e">
        <f>IF(AND(AD77&lt;=$AI$4,#REF!&lt;1),1,"")</f>
        <v>#REF!</v>
      </c>
      <c r="AF77" s="110">
        <f t="shared" ca="1" si="12"/>
        <v>44553</v>
      </c>
      <c r="AH77" s="13">
        <f t="shared" ca="1" si="13"/>
        <v>-23</v>
      </c>
    </row>
    <row r="78" spans="1:34" x14ac:dyDescent="0.25">
      <c r="A78" s="13" t="s">
        <v>149</v>
      </c>
      <c r="B78" s="13" t="s">
        <v>149</v>
      </c>
      <c r="C78" s="13" t="s">
        <v>1206</v>
      </c>
      <c r="D78" s="13" t="s">
        <v>1207</v>
      </c>
      <c r="E78" s="13" t="s">
        <v>725</v>
      </c>
      <c r="F78" s="13">
        <v>2</v>
      </c>
      <c r="G78" s="2" t="s">
        <v>1207</v>
      </c>
      <c r="H78" s="13" t="s">
        <v>2</v>
      </c>
      <c r="I78" s="13" t="s">
        <v>140</v>
      </c>
      <c r="J78" s="13" t="s">
        <v>46</v>
      </c>
      <c r="K78" s="109">
        <v>44576</v>
      </c>
      <c r="Q78" s="13" t="str">
        <f t="shared" si="7"/>
        <v>DUITACT000554TRADICIONALNUTRESA</v>
      </c>
      <c r="T78" s="123">
        <f t="shared" si="8"/>
        <v>0</v>
      </c>
      <c r="U78" s="13">
        <f t="shared" si="9"/>
        <v>0</v>
      </c>
      <c r="V78" s="123">
        <f t="shared" si="10"/>
        <v>0</v>
      </c>
      <c r="X78" s="13">
        <v>50</v>
      </c>
      <c r="Y78" s="13">
        <v>50</v>
      </c>
      <c r="Z78" s="13">
        <v>150</v>
      </c>
      <c r="AD78" s="110">
        <f t="shared" si="11"/>
        <v>44580</v>
      </c>
      <c r="AE78" s="13" t="e">
        <f>IF(AND(AD78&lt;=$AI$4,#REF!&lt;1),1,"")</f>
        <v>#REF!</v>
      </c>
      <c r="AF78" s="110">
        <f t="shared" ca="1" si="12"/>
        <v>44553</v>
      </c>
      <c r="AH78" s="13">
        <f t="shared" ca="1" si="13"/>
        <v>-23</v>
      </c>
    </row>
    <row r="79" spans="1:34" x14ac:dyDescent="0.25">
      <c r="A79" s="13" t="s">
        <v>5</v>
      </c>
      <c r="B79" s="13" t="s">
        <v>5</v>
      </c>
      <c r="C79" s="13" t="s">
        <v>1206</v>
      </c>
      <c r="D79" s="13" t="s">
        <v>1207</v>
      </c>
      <c r="E79" s="13" t="s">
        <v>725</v>
      </c>
      <c r="F79" s="13">
        <v>8</v>
      </c>
      <c r="G79" s="2" t="s">
        <v>1207</v>
      </c>
      <c r="H79" s="13" t="s">
        <v>2</v>
      </c>
      <c r="I79" s="13" t="s">
        <v>140</v>
      </c>
      <c r="J79" s="13" t="s">
        <v>46</v>
      </c>
      <c r="K79" s="109">
        <v>44576</v>
      </c>
      <c r="Q79" s="13" t="str">
        <f t="shared" si="7"/>
        <v>BUCAACT000554TRADICIONALNUTRESA</v>
      </c>
      <c r="T79" s="123">
        <f t="shared" si="8"/>
        <v>0</v>
      </c>
      <c r="U79" s="13">
        <f t="shared" si="9"/>
        <v>0</v>
      </c>
      <c r="V79" s="123">
        <f t="shared" si="10"/>
        <v>0</v>
      </c>
      <c r="X79" s="13">
        <v>50</v>
      </c>
      <c r="Y79" s="13">
        <v>50</v>
      </c>
      <c r="Z79" s="13">
        <v>150</v>
      </c>
      <c r="AD79" s="110">
        <f t="shared" si="11"/>
        <v>44580</v>
      </c>
      <c r="AE79" s="13" t="e">
        <f>IF(AND(AD79&lt;=$AI$4,#REF!&lt;1),1,"")</f>
        <v>#REF!</v>
      </c>
      <c r="AF79" s="110">
        <f t="shared" ca="1" si="12"/>
        <v>44553</v>
      </c>
      <c r="AH79" s="13">
        <f t="shared" ca="1" si="13"/>
        <v>-23</v>
      </c>
    </row>
    <row r="80" spans="1:34" x14ac:dyDescent="0.25">
      <c r="A80" s="13" t="s">
        <v>7</v>
      </c>
      <c r="B80" s="13" t="s">
        <v>7</v>
      </c>
      <c r="C80" s="13" t="s">
        <v>1206</v>
      </c>
      <c r="D80" s="13" t="s">
        <v>1207</v>
      </c>
      <c r="E80" s="13" t="s">
        <v>725</v>
      </c>
      <c r="F80" s="13">
        <v>11</v>
      </c>
      <c r="G80" s="2" t="s">
        <v>1207</v>
      </c>
      <c r="H80" s="13" t="s">
        <v>2</v>
      </c>
      <c r="I80" s="13" t="s">
        <v>140</v>
      </c>
      <c r="J80" s="13" t="s">
        <v>46</v>
      </c>
      <c r="K80" s="109">
        <v>44576</v>
      </c>
      <c r="Q80" s="13" t="str">
        <f t="shared" si="7"/>
        <v>CARTACT000554TRADICIONALNUTRESA</v>
      </c>
      <c r="T80" s="123">
        <f t="shared" si="8"/>
        <v>0</v>
      </c>
      <c r="U80" s="13">
        <f t="shared" si="9"/>
        <v>0</v>
      </c>
      <c r="V80" s="123">
        <f t="shared" si="10"/>
        <v>0</v>
      </c>
      <c r="X80" s="13">
        <v>50</v>
      </c>
      <c r="Y80" s="13">
        <v>50</v>
      </c>
      <c r="Z80" s="13">
        <v>150</v>
      </c>
      <c r="AD80" s="110">
        <f t="shared" si="11"/>
        <v>44580</v>
      </c>
      <c r="AE80" s="13" t="e">
        <f>IF(AND(AD80&lt;=$AI$4,#REF!&lt;1),1,"")</f>
        <v>#REF!</v>
      </c>
      <c r="AF80" s="110">
        <f t="shared" ca="1" si="12"/>
        <v>44553</v>
      </c>
      <c r="AH80" s="13">
        <f t="shared" ca="1" si="13"/>
        <v>-23</v>
      </c>
    </row>
    <row r="81" spans="1:34" x14ac:dyDescent="0.25">
      <c r="A81" s="13" t="s">
        <v>9</v>
      </c>
      <c r="B81" s="13" t="s">
        <v>9</v>
      </c>
      <c r="C81" s="13" t="s">
        <v>1206</v>
      </c>
      <c r="D81" s="13" t="s">
        <v>1207</v>
      </c>
      <c r="E81" s="13" t="s">
        <v>725</v>
      </c>
      <c r="F81" s="13">
        <v>15</v>
      </c>
      <c r="G81" s="2" t="s">
        <v>1207</v>
      </c>
      <c r="H81" s="13" t="s">
        <v>2</v>
      </c>
      <c r="I81" s="13" t="s">
        <v>140</v>
      </c>
      <c r="J81" s="13" t="s">
        <v>46</v>
      </c>
      <c r="K81" s="109">
        <v>44576</v>
      </c>
      <c r="Q81" s="13" t="str">
        <f t="shared" si="7"/>
        <v>MEDEACT000554TRADICIONALNUTRESA</v>
      </c>
      <c r="T81" s="123">
        <f t="shared" si="8"/>
        <v>0</v>
      </c>
      <c r="U81" s="13">
        <f t="shared" si="9"/>
        <v>0</v>
      </c>
      <c r="V81" s="123">
        <f t="shared" si="10"/>
        <v>0</v>
      </c>
      <c r="X81" s="13">
        <v>50</v>
      </c>
      <c r="Y81" s="13">
        <v>50</v>
      </c>
      <c r="Z81" s="13">
        <v>150</v>
      </c>
      <c r="AD81" s="110">
        <f t="shared" si="11"/>
        <v>44580</v>
      </c>
      <c r="AE81" s="13" t="e">
        <f>IF(AND(AD81&lt;=$AI$4,#REF!&lt;1),1,"")</f>
        <v>#REF!</v>
      </c>
      <c r="AF81" s="110">
        <f t="shared" ca="1" si="12"/>
        <v>44553</v>
      </c>
      <c r="AH81" s="13">
        <f t="shared" ca="1" si="13"/>
        <v>-23</v>
      </c>
    </row>
    <row r="82" spans="1:34" x14ac:dyDescent="0.25">
      <c r="A82" s="13" t="s">
        <v>9</v>
      </c>
      <c r="B82" s="13" t="s">
        <v>9</v>
      </c>
      <c r="C82" s="13" t="s">
        <v>726</v>
      </c>
      <c r="D82" s="13" t="s">
        <v>376</v>
      </c>
      <c r="E82" s="13" t="s">
        <v>725</v>
      </c>
      <c r="F82" s="13">
        <v>1</v>
      </c>
      <c r="G82" s="2" t="s">
        <v>376</v>
      </c>
      <c r="H82" s="13" t="s">
        <v>1</v>
      </c>
      <c r="I82" s="13" t="s">
        <v>140</v>
      </c>
      <c r="J82" s="13" t="s">
        <v>46</v>
      </c>
      <c r="K82" s="109">
        <v>44510</v>
      </c>
      <c r="Q82" s="13" t="str">
        <f t="shared" si="7"/>
        <v>MEDEACT000548CADENASNUTRESA</v>
      </c>
      <c r="T82" s="123">
        <f t="shared" si="8"/>
        <v>0</v>
      </c>
      <c r="U82" s="13">
        <f t="shared" si="9"/>
        <v>0</v>
      </c>
      <c r="V82" s="123">
        <f t="shared" si="10"/>
        <v>0</v>
      </c>
      <c r="X82" s="13">
        <v>50</v>
      </c>
      <c r="Y82" s="13">
        <v>45</v>
      </c>
      <c r="Z82" s="13">
        <v>150</v>
      </c>
      <c r="AA82" s="13">
        <v>337500</v>
      </c>
      <c r="AB82" s="13">
        <v>337500</v>
      </c>
      <c r="AC82" s="13">
        <v>0.234375</v>
      </c>
      <c r="AD82" s="110">
        <f t="shared" si="11"/>
        <v>44514</v>
      </c>
      <c r="AE82" s="13" t="e">
        <f>IF(AND(AD82&lt;=$AI$4,#REF!&lt;1),1,"")</f>
        <v>#REF!</v>
      </c>
      <c r="AF82" s="110">
        <f t="shared" ca="1" si="12"/>
        <v>44553</v>
      </c>
      <c r="AH82" s="13">
        <f t="shared" ca="1" si="13"/>
        <v>43</v>
      </c>
    </row>
    <row r="83" spans="1:34" x14ac:dyDescent="0.25">
      <c r="A83" s="13" t="s">
        <v>4</v>
      </c>
      <c r="B83" s="13" t="s">
        <v>4</v>
      </c>
      <c r="C83" s="13" t="s">
        <v>440</v>
      </c>
      <c r="D83" s="13" t="s">
        <v>1176</v>
      </c>
      <c r="E83" s="13" t="s">
        <v>725</v>
      </c>
      <c r="F83" s="13">
        <v>3</v>
      </c>
      <c r="G83" s="2" t="s">
        <v>383</v>
      </c>
      <c r="H83" s="13" t="s">
        <v>1</v>
      </c>
      <c r="I83" s="13" t="s">
        <v>140</v>
      </c>
      <c r="J83" s="13" t="s">
        <v>139</v>
      </c>
      <c r="K83" s="109">
        <v>44512</v>
      </c>
      <c r="Q83" s="13" t="str">
        <f t="shared" si="7"/>
        <v>BGTACRD024889CADENASNUTRESA</v>
      </c>
      <c r="T83" s="123">
        <f t="shared" si="8"/>
        <v>0</v>
      </c>
      <c r="U83" s="13">
        <f t="shared" si="9"/>
        <v>0</v>
      </c>
      <c r="V83" s="123">
        <f t="shared" si="10"/>
        <v>0</v>
      </c>
      <c r="X83" s="13">
        <v>5.5</v>
      </c>
      <c r="Y83" s="13">
        <v>43</v>
      </c>
      <c r="Z83" s="13">
        <v>135</v>
      </c>
      <c r="AA83" s="13">
        <v>4818</v>
      </c>
      <c r="AB83" s="13">
        <v>14454</v>
      </c>
      <c r="AC83" s="13">
        <v>1.0038E-2</v>
      </c>
      <c r="AD83" s="110">
        <f t="shared" si="11"/>
        <v>44516</v>
      </c>
      <c r="AE83" s="13" t="e">
        <f>IF(AND(AD83&lt;=$AI$4,#REF!&lt;1),1,"")</f>
        <v>#REF!</v>
      </c>
      <c r="AF83" s="110">
        <f t="shared" ca="1" si="12"/>
        <v>44553</v>
      </c>
      <c r="AH83" s="13">
        <f t="shared" ca="1" si="13"/>
        <v>41</v>
      </c>
    </row>
    <row r="84" spans="1:34" x14ac:dyDescent="0.25">
      <c r="A84" s="13" t="s">
        <v>149</v>
      </c>
      <c r="B84" s="13" t="s">
        <v>149</v>
      </c>
      <c r="C84" s="13" t="s">
        <v>440</v>
      </c>
      <c r="D84" s="13" t="s">
        <v>1176</v>
      </c>
      <c r="E84" s="13" t="s">
        <v>725</v>
      </c>
      <c r="F84" s="13">
        <v>1</v>
      </c>
      <c r="G84" s="2" t="s">
        <v>383</v>
      </c>
      <c r="H84" s="13" t="s">
        <v>1</v>
      </c>
      <c r="I84" s="13" t="s">
        <v>140</v>
      </c>
      <c r="J84" s="13" t="s">
        <v>139</v>
      </c>
      <c r="K84" s="109">
        <v>44512</v>
      </c>
      <c r="Q84" s="13" t="str">
        <f t="shared" si="7"/>
        <v>DUITCRD024889CADENASNUTRESA</v>
      </c>
      <c r="T84" s="123">
        <f t="shared" si="8"/>
        <v>0</v>
      </c>
      <c r="U84" s="13">
        <f t="shared" si="9"/>
        <v>0</v>
      </c>
      <c r="V84" s="123">
        <f t="shared" si="10"/>
        <v>0</v>
      </c>
      <c r="X84" s="13">
        <v>5.5</v>
      </c>
      <c r="Y84" s="13">
        <v>43</v>
      </c>
      <c r="Z84" s="13">
        <v>135</v>
      </c>
      <c r="AA84" s="13">
        <v>4818</v>
      </c>
      <c r="AB84" s="13">
        <v>4818</v>
      </c>
      <c r="AC84" s="13">
        <v>3.346E-3</v>
      </c>
      <c r="AD84" s="110">
        <f t="shared" si="11"/>
        <v>44516</v>
      </c>
      <c r="AE84" s="13" t="e">
        <f>IF(AND(AD84&lt;=$AI$4,#REF!&lt;1),1,"")</f>
        <v>#REF!</v>
      </c>
      <c r="AF84" s="110">
        <f t="shared" ca="1" si="12"/>
        <v>44553</v>
      </c>
      <c r="AH84" s="13">
        <f t="shared" ca="1" si="13"/>
        <v>41</v>
      </c>
    </row>
    <row r="85" spans="1:34" x14ac:dyDescent="0.25">
      <c r="A85" s="13" t="s">
        <v>150</v>
      </c>
      <c r="B85" s="13" t="s">
        <v>150</v>
      </c>
      <c r="C85" s="13" t="s">
        <v>440</v>
      </c>
      <c r="D85" s="13" t="s">
        <v>1176</v>
      </c>
      <c r="E85" s="13" t="s">
        <v>725</v>
      </c>
      <c r="F85" s="13">
        <v>1</v>
      </c>
      <c r="G85" s="2" t="s">
        <v>383</v>
      </c>
      <c r="H85" s="13" t="s">
        <v>1</v>
      </c>
      <c r="I85" s="13" t="s">
        <v>140</v>
      </c>
      <c r="J85" s="13" t="s">
        <v>139</v>
      </c>
      <c r="K85" s="109">
        <v>44512</v>
      </c>
      <c r="Q85" s="13" t="str">
        <f t="shared" si="7"/>
        <v>VILACRD024889CADENASNUTRESA</v>
      </c>
      <c r="T85" s="123">
        <f t="shared" si="8"/>
        <v>0</v>
      </c>
      <c r="U85" s="13">
        <f t="shared" si="9"/>
        <v>0</v>
      </c>
      <c r="V85" s="123">
        <f t="shared" si="10"/>
        <v>0</v>
      </c>
      <c r="X85" s="13">
        <v>5.5</v>
      </c>
      <c r="Y85" s="13">
        <v>43</v>
      </c>
      <c r="Z85" s="13">
        <v>135</v>
      </c>
      <c r="AA85" s="13">
        <v>4818</v>
      </c>
      <c r="AB85" s="13">
        <v>4818</v>
      </c>
      <c r="AC85" s="13">
        <v>3.346E-3</v>
      </c>
      <c r="AD85" s="110">
        <f t="shared" si="11"/>
        <v>44516</v>
      </c>
      <c r="AE85" s="13" t="e">
        <f>IF(AND(AD85&lt;=$AI$4,#REF!&lt;1),1,"")</f>
        <v>#REF!</v>
      </c>
      <c r="AF85" s="110">
        <f t="shared" ca="1" si="12"/>
        <v>44553</v>
      </c>
      <c r="AH85" s="13">
        <f t="shared" ca="1" si="13"/>
        <v>41</v>
      </c>
    </row>
    <row r="86" spans="1:34" x14ac:dyDescent="0.25">
      <c r="A86" s="13" t="s">
        <v>5</v>
      </c>
      <c r="B86" s="13" t="s">
        <v>5</v>
      </c>
      <c r="C86" s="13" t="s">
        <v>440</v>
      </c>
      <c r="D86" s="13" t="s">
        <v>1176</v>
      </c>
      <c r="E86" s="13" t="s">
        <v>725</v>
      </c>
      <c r="F86" s="13">
        <v>2</v>
      </c>
      <c r="G86" s="2" t="s">
        <v>383</v>
      </c>
      <c r="H86" s="13" t="s">
        <v>1</v>
      </c>
      <c r="I86" s="13" t="s">
        <v>140</v>
      </c>
      <c r="J86" s="13" t="s">
        <v>139</v>
      </c>
      <c r="K86" s="109">
        <v>44512</v>
      </c>
      <c r="Q86" s="13" t="str">
        <f t="shared" si="7"/>
        <v>BUCACRD024889CADENASNUTRESA</v>
      </c>
      <c r="T86" s="123">
        <f t="shared" si="8"/>
        <v>0</v>
      </c>
      <c r="U86" s="13">
        <f t="shared" si="9"/>
        <v>0</v>
      </c>
      <c r="V86" s="123">
        <f t="shared" si="10"/>
        <v>0</v>
      </c>
      <c r="X86" s="13">
        <v>5.5</v>
      </c>
      <c r="Y86" s="13">
        <v>43</v>
      </c>
      <c r="Z86" s="13">
        <v>135</v>
      </c>
      <c r="AA86" s="13">
        <v>4818</v>
      </c>
      <c r="AB86" s="13">
        <v>9636</v>
      </c>
      <c r="AC86" s="13">
        <v>6.692E-3</v>
      </c>
      <c r="AD86" s="110">
        <f t="shared" si="11"/>
        <v>44516</v>
      </c>
      <c r="AE86" s="13" t="e">
        <f>IF(AND(AD86&lt;=$AI$4,#REF!&lt;1),1,"")</f>
        <v>#REF!</v>
      </c>
      <c r="AF86" s="110">
        <f t="shared" ca="1" si="12"/>
        <v>44553</v>
      </c>
      <c r="AH86" s="13">
        <f t="shared" ca="1" si="13"/>
        <v>41</v>
      </c>
    </row>
    <row r="87" spans="1:34" x14ac:dyDescent="0.25">
      <c r="A87" s="13" t="s">
        <v>6</v>
      </c>
      <c r="B87" s="13" t="s">
        <v>6</v>
      </c>
      <c r="C87" s="13" t="s">
        <v>440</v>
      </c>
      <c r="D87" s="13" t="s">
        <v>1176</v>
      </c>
      <c r="E87" s="13" t="s">
        <v>725</v>
      </c>
      <c r="F87" s="13">
        <v>1</v>
      </c>
      <c r="G87" s="2" t="s">
        <v>383</v>
      </c>
      <c r="H87" s="13" t="s">
        <v>1</v>
      </c>
      <c r="I87" s="13" t="s">
        <v>140</v>
      </c>
      <c r="J87" s="13" t="s">
        <v>139</v>
      </c>
      <c r="K87" s="109">
        <v>44512</v>
      </c>
      <c r="Q87" s="13" t="str">
        <f t="shared" si="7"/>
        <v>CALICRD024889CADENASNUTRESA</v>
      </c>
      <c r="T87" s="123">
        <f t="shared" si="8"/>
        <v>0</v>
      </c>
      <c r="U87" s="13">
        <f t="shared" si="9"/>
        <v>0</v>
      </c>
      <c r="V87" s="123">
        <f t="shared" si="10"/>
        <v>0</v>
      </c>
      <c r="X87" s="13">
        <v>5.5</v>
      </c>
      <c r="Y87" s="13">
        <v>43</v>
      </c>
      <c r="Z87" s="13">
        <v>135</v>
      </c>
      <c r="AA87" s="13">
        <v>4818</v>
      </c>
      <c r="AB87" s="13">
        <v>4818</v>
      </c>
      <c r="AC87" s="13">
        <v>3.346E-3</v>
      </c>
      <c r="AD87" s="110">
        <f t="shared" si="11"/>
        <v>44516</v>
      </c>
      <c r="AE87" s="13" t="e">
        <f>IF(AND(AD87&lt;=$AI$4,#REF!&lt;1),1,"")</f>
        <v>#REF!</v>
      </c>
      <c r="AF87" s="110">
        <f t="shared" ca="1" si="12"/>
        <v>44553</v>
      </c>
      <c r="AH87" s="13">
        <f t="shared" ca="1" si="13"/>
        <v>41</v>
      </c>
    </row>
    <row r="88" spans="1:34" x14ac:dyDescent="0.25">
      <c r="A88" s="13" t="s">
        <v>3</v>
      </c>
      <c r="B88" s="13" t="s">
        <v>3</v>
      </c>
      <c r="C88" s="13" t="s">
        <v>440</v>
      </c>
      <c r="D88" s="13" t="s">
        <v>1176</v>
      </c>
      <c r="E88" s="13" t="s">
        <v>725</v>
      </c>
      <c r="F88" s="13">
        <v>2</v>
      </c>
      <c r="G88" s="2" t="s">
        <v>383</v>
      </c>
      <c r="H88" s="13" t="s">
        <v>1</v>
      </c>
      <c r="I88" s="13" t="s">
        <v>140</v>
      </c>
      <c r="J88" s="13" t="s">
        <v>139</v>
      </c>
      <c r="K88" s="109">
        <v>44512</v>
      </c>
      <c r="Q88" s="13" t="str">
        <f t="shared" si="7"/>
        <v>BARRCRD024889CADENASNUTRESA</v>
      </c>
      <c r="T88" s="123">
        <f t="shared" si="8"/>
        <v>0</v>
      </c>
      <c r="U88" s="13">
        <f t="shared" si="9"/>
        <v>0</v>
      </c>
      <c r="V88" s="123">
        <f t="shared" si="10"/>
        <v>0</v>
      </c>
      <c r="X88" s="13">
        <v>5.5</v>
      </c>
      <c r="Y88" s="13">
        <v>43</v>
      </c>
      <c r="Z88" s="13">
        <v>135</v>
      </c>
      <c r="AA88" s="13">
        <v>4818</v>
      </c>
      <c r="AB88" s="13">
        <v>9636</v>
      </c>
      <c r="AC88" s="13">
        <v>6.692E-3</v>
      </c>
      <c r="AD88" s="110">
        <f t="shared" si="11"/>
        <v>44516</v>
      </c>
      <c r="AE88" s="13" t="e">
        <f>IF(AND(AD88&lt;=$AI$4,#REF!&lt;1),1,"")</f>
        <v>#REF!</v>
      </c>
      <c r="AF88" s="110">
        <f t="shared" ca="1" si="12"/>
        <v>44553</v>
      </c>
      <c r="AH88" s="13">
        <f t="shared" ca="1" si="13"/>
        <v>41</v>
      </c>
    </row>
    <row r="89" spans="1:34" x14ac:dyDescent="0.25">
      <c r="A89" s="13" t="s">
        <v>7</v>
      </c>
      <c r="B89" s="13" t="s">
        <v>7</v>
      </c>
      <c r="C89" s="13" t="s">
        <v>440</v>
      </c>
      <c r="D89" s="13" t="s">
        <v>1176</v>
      </c>
      <c r="E89" s="13" t="s">
        <v>725</v>
      </c>
      <c r="F89" s="13">
        <v>1</v>
      </c>
      <c r="G89" s="2" t="s">
        <v>383</v>
      </c>
      <c r="H89" s="13" t="s">
        <v>1</v>
      </c>
      <c r="I89" s="13" t="s">
        <v>140</v>
      </c>
      <c r="J89" s="13" t="s">
        <v>139</v>
      </c>
      <c r="K89" s="109">
        <v>44512</v>
      </c>
      <c r="Q89" s="13" t="str">
        <f t="shared" si="7"/>
        <v>CARTCRD024889CADENASNUTRESA</v>
      </c>
      <c r="T89" s="123">
        <f t="shared" si="8"/>
        <v>0</v>
      </c>
      <c r="U89" s="13">
        <f t="shared" si="9"/>
        <v>0</v>
      </c>
      <c r="V89" s="123">
        <f t="shared" si="10"/>
        <v>0</v>
      </c>
      <c r="X89" s="13">
        <v>5.5</v>
      </c>
      <c r="Y89" s="13">
        <v>43</v>
      </c>
      <c r="Z89" s="13">
        <v>135</v>
      </c>
      <c r="AA89" s="13">
        <v>4818</v>
      </c>
      <c r="AB89" s="13">
        <v>4818</v>
      </c>
      <c r="AC89" s="13">
        <v>3.346E-3</v>
      </c>
      <c r="AD89" s="110">
        <f t="shared" si="11"/>
        <v>44516</v>
      </c>
      <c r="AE89" s="13" t="e">
        <f>IF(AND(AD89&lt;=$AI$4,#REF!&lt;1),1,"")</f>
        <v>#REF!</v>
      </c>
      <c r="AF89" s="110">
        <f t="shared" ca="1" si="12"/>
        <v>44553</v>
      </c>
      <c r="AH89" s="13">
        <f t="shared" ca="1" si="13"/>
        <v>41</v>
      </c>
    </row>
    <row r="90" spans="1:34" x14ac:dyDescent="0.25">
      <c r="A90" s="13" t="s">
        <v>8</v>
      </c>
      <c r="B90" s="13" t="s">
        <v>8</v>
      </c>
      <c r="C90" s="13" t="s">
        <v>440</v>
      </c>
      <c r="D90" s="13" t="s">
        <v>1176</v>
      </c>
      <c r="E90" s="13" t="s">
        <v>725</v>
      </c>
      <c r="F90" s="13">
        <v>2</v>
      </c>
      <c r="G90" s="2" t="s">
        <v>383</v>
      </c>
      <c r="H90" s="13" t="s">
        <v>1</v>
      </c>
      <c r="I90" s="13" t="s">
        <v>140</v>
      </c>
      <c r="J90" s="13" t="s">
        <v>139</v>
      </c>
      <c r="K90" s="109">
        <v>44512</v>
      </c>
      <c r="Q90" s="13" t="str">
        <f t="shared" si="7"/>
        <v>IBA1CRD024889CADENASNUTRESA</v>
      </c>
      <c r="T90" s="123">
        <f t="shared" si="8"/>
        <v>0</v>
      </c>
      <c r="U90" s="13">
        <f t="shared" si="9"/>
        <v>0</v>
      </c>
      <c r="V90" s="123">
        <f t="shared" si="10"/>
        <v>0</v>
      </c>
      <c r="X90" s="13">
        <v>5.5</v>
      </c>
      <c r="Y90" s="13">
        <v>43</v>
      </c>
      <c r="Z90" s="13">
        <v>135</v>
      </c>
      <c r="AA90" s="13">
        <v>4818</v>
      </c>
      <c r="AB90" s="13">
        <v>9636</v>
      </c>
      <c r="AC90" s="13">
        <v>6.692E-3</v>
      </c>
      <c r="AD90" s="110">
        <f t="shared" si="11"/>
        <v>44516</v>
      </c>
      <c r="AE90" s="13" t="e">
        <f>IF(AND(AD90&lt;=$AI$4,#REF!&lt;1),1,"")</f>
        <v>#REF!</v>
      </c>
      <c r="AF90" s="110">
        <f t="shared" ca="1" si="12"/>
        <v>44553</v>
      </c>
      <c r="AH90" s="13">
        <f t="shared" ca="1" si="13"/>
        <v>41</v>
      </c>
    </row>
    <row r="91" spans="1:34" x14ac:dyDescent="0.25">
      <c r="A91" s="13" t="s">
        <v>9</v>
      </c>
      <c r="B91" s="13" t="s">
        <v>9</v>
      </c>
      <c r="C91" s="13" t="s">
        <v>440</v>
      </c>
      <c r="D91" s="13" t="s">
        <v>1176</v>
      </c>
      <c r="E91" s="13" t="s">
        <v>725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9">
        <v>44512</v>
      </c>
      <c r="Q91" s="13" t="str">
        <f t="shared" si="7"/>
        <v>MEDECRD024889CADENASNUTRESA</v>
      </c>
      <c r="T91" s="123">
        <f t="shared" si="8"/>
        <v>0</v>
      </c>
      <c r="U91" s="13">
        <f t="shared" si="9"/>
        <v>0</v>
      </c>
      <c r="V91" s="123">
        <f t="shared" si="10"/>
        <v>0</v>
      </c>
      <c r="X91" s="13">
        <v>5.5</v>
      </c>
      <c r="Y91" s="13">
        <v>43</v>
      </c>
      <c r="Z91" s="13">
        <v>135</v>
      </c>
      <c r="AA91" s="13">
        <v>4818</v>
      </c>
      <c r="AB91" s="13">
        <v>14454</v>
      </c>
      <c r="AC91" s="13">
        <v>1.0038E-2</v>
      </c>
      <c r="AD91" s="110">
        <f t="shared" si="11"/>
        <v>44516</v>
      </c>
      <c r="AE91" s="13" t="e">
        <f>IF(AND(AD91&lt;=$AI$4,#REF!&lt;1),1,"")</f>
        <v>#REF!</v>
      </c>
      <c r="AF91" s="110">
        <f t="shared" ca="1" si="12"/>
        <v>44553</v>
      </c>
      <c r="AH91" s="13">
        <f t="shared" ca="1" si="13"/>
        <v>41</v>
      </c>
    </row>
    <row r="92" spans="1:34" x14ac:dyDescent="0.25">
      <c r="A92" s="13" t="s">
        <v>10</v>
      </c>
      <c r="B92" s="13" t="s">
        <v>10</v>
      </c>
      <c r="C92" s="13" t="s">
        <v>440</v>
      </c>
      <c r="D92" s="13" t="s">
        <v>1176</v>
      </c>
      <c r="E92" s="13" t="s">
        <v>725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9">
        <v>44512</v>
      </c>
      <c r="Q92" s="13" t="str">
        <f t="shared" si="7"/>
        <v>PERECRD024889CADENASNUTRESA</v>
      </c>
      <c r="T92" s="123">
        <f t="shared" si="8"/>
        <v>0</v>
      </c>
      <c r="U92" s="13">
        <f t="shared" si="9"/>
        <v>0</v>
      </c>
      <c r="V92" s="123">
        <f t="shared" si="10"/>
        <v>0</v>
      </c>
      <c r="X92" s="13">
        <v>5.5</v>
      </c>
      <c r="Y92" s="13">
        <v>43</v>
      </c>
      <c r="Z92" s="13">
        <v>135</v>
      </c>
      <c r="AA92" s="13">
        <v>4818</v>
      </c>
      <c r="AB92" s="13">
        <v>4818</v>
      </c>
      <c r="AC92" s="13">
        <v>3.346E-3</v>
      </c>
      <c r="AD92" s="110">
        <f t="shared" si="11"/>
        <v>44516</v>
      </c>
      <c r="AE92" s="13" t="e">
        <f>IF(AND(AD92&lt;=$AI$4,#REF!&lt;1),1,"")</f>
        <v>#REF!</v>
      </c>
      <c r="AF92" s="110">
        <f t="shared" ca="1" si="12"/>
        <v>44553</v>
      </c>
      <c r="AH92" s="13">
        <f t="shared" ca="1" si="13"/>
        <v>41</v>
      </c>
    </row>
    <row r="93" spans="1:34" x14ac:dyDescent="0.25">
      <c r="A93" s="13" t="s">
        <v>4</v>
      </c>
      <c r="B93" s="13" t="s">
        <v>4</v>
      </c>
      <c r="C93" s="13" t="s">
        <v>444</v>
      </c>
      <c r="D93" s="13" t="s">
        <v>445</v>
      </c>
      <c r="E93" s="13" t="s">
        <v>1181</v>
      </c>
      <c r="F93" s="13">
        <v>8</v>
      </c>
      <c r="G93" s="2" t="s">
        <v>201</v>
      </c>
      <c r="H93" s="13" t="s">
        <v>1</v>
      </c>
      <c r="I93" s="13" t="s">
        <v>140</v>
      </c>
      <c r="J93" s="13" t="s">
        <v>139</v>
      </c>
      <c r="K93" s="109">
        <v>44516</v>
      </c>
      <c r="L93" s="109">
        <v>44531</v>
      </c>
      <c r="Q93" s="13" t="str">
        <f t="shared" si="7"/>
        <v>BGTACRD024929CADENASNUTRESA</v>
      </c>
      <c r="T93" s="123">
        <f t="shared" si="8"/>
        <v>0</v>
      </c>
      <c r="U93" s="13">
        <f t="shared" si="9"/>
        <v>0</v>
      </c>
      <c r="V93" s="123">
        <f t="shared" si="10"/>
        <v>0</v>
      </c>
      <c r="X93" s="13">
        <v>0.01</v>
      </c>
      <c r="Y93" s="13">
        <v>40</v>
      </c>
      <c r="Z93" s="13">
        <v>30</v>
      </c>
      <c r="AA93" s="13">
        <v>1200</v>
      </c>
      <c r="AB93" s="13">
        <v>9600</v>
      </c>
      <c r="AC93" s="13">
        <v>6.6670000000000002E-3</v>
      </c>
      <c r="AD93" s="110">
        <f t="shared" si="11"/>
        <v>44520</v>
      </c>
      <c r="AE93" s="13" t="e">
        <f>IF(AND(AD93&lt;=$AI$4,#REF!&lt;1),1,"")</f>
        <v>#REF!</v>
      </c>
      <c r="AF93" s="110">
        <f t="shared" ca="1" si="12"/>
        <v>44553</v>
      </c>
      <c r="AH93" s="13">
        <f t="shared" ca="1" si="13"/>
        <v>37</v>
      </c>
    </row>
    <row r="94" spans="1:34" x14ac:dyDescent="0.25">
      <c r="A94" s="13" t="s">
        <v>6</v>
      </c>
      <c r="B94" s="13" t="s">
        <v>6</v>
      </c>
      <c r="C94" s="13" t="s">
        <v>444</v>
      </c>
      <c r="D94" s="13" t="s">
        <v>445</v>
      </c>
      <c r="E94" s="13" t="s">
        <v>1181</v>
      </c>
      <c r="F94" s="13">
        <v>2</v>
      </c>
      <c r="G94" s="2" t="s">
        <v>201</v>
      </c>
      <c r="H94" s="13" t="s">
        <v>1</v>
      </c>
      <c r="I94" s="13" t="s">
        <v>140</v>
      </c>
      <c r="J94" s="13" t="s">
        <v>139</v>
      </c>
      <c r="K94" s="109">
        <v>44516</v>
      </c>
      <c r="L94" s="109">
        <v>44531</v>
      </c>
      <c r="Q94" s="13" t="str">
        <f t="shared" si="7"/>
        <v>CALICRD024929CADENASNUTRESA</v>
      </c>
      <c r="T94" s="123">
        <f t="shared" si="8"/>
        <v>0</v>
      </c>
      <c r="U94" s="13">
        <f t="shared" si="9"/>
        <v>0</v>
      </c>
      <c r="V94" s="123">
        <f t="shared" si="10"/>
        <v>0</v>
      </c>
      <c r="X94" s="13">
        <v>0.01</v>
      </c>
      <c r="Y94" s="13">
        <v>40</v>
      </c>
      <c r="Z94" s="13">
        <v>30</v>
      </c>
      <c r="AA94" s="13">
        <v>1200</v>
      </c>
      <c r="AB94" s="13">
        <v>2400</v>
      </c>
      <c r="AC94" s="13">
        <v>1.6670000000000001E-3</v>
      </c>
      <c r="AD94" s="110">
        <f t="shared" si="11"/>
        <v>44520</v>
      </c>
      <c r="AE94" s="13" t="e">
        <f>IF(AND(AD94&lt;=$AI$4,#REF!&lt;1),1,"")</f>
        <v>#REF!</v>
      </c>
      <c r="AF94" s="110">
        <f t="shared" ca="1" si="12"/>
        <v>44553</v>
      </c>
      <c r="AH94" s="13">
        <f t="shared" ca="1" si="13"/>
        <v>37</v>
      </c>
    </row>
    <row r="95" spans="1:34" x14ac:dyDescent="0.25">
      <c r="A95" s="13" t="s">
        <v>7</v>
      </c>
      <c r="B95" s="13" t="s">
        <v>7</v>
      </c>
      <c r="C95" s="13" t="s">
        <v>444</v>
      </c>
      <c r="D95" s="13" t="s">
        <v>445</v>
      </c>
      <c r="E95" s="13" t="s">
        <v>1181</v>
      </c>
      <c r="F95" s="13">
        <v>2</v>
      </c>
      <c r="G95" s="2" t="s">
        <v>201</v>
      </c>
      <c r="H95" s="13" t="s">
        <v>1</v>
      </c>
      <c r="I95" s="13" t="s">
        <v>140</v>
      </c>
      <c r="J95" s="13" t="s">
        <v>139</v>
      </c>
      <c r="K95" s="109">
        <v>44516</v>
      </c>
      <c r="L95" s="109">
        <v>44531</v>
      </c>
      <c r="Q95" s="13" t="str">
        <f t="shared" si="7"/>
        <v>CARTCRD024929CADENASNUTRESA</v>
      </c>
      <c r="T95" s="123">
        <f t="shared" si="8"/>
        <v>0</v>
      </c>
      <c r="U95" s="13">
        <f t="shared" si="9"/>
        <v>0</v>
      </c>
      <c r="V95" s="123">
        <f t="shared" si="10"/>
        <v>0</v>
      </c>
      <c r="X95" s="13">
        <v>0.01</v>
      </c>
      <c r="Y95" s="13">
        <v>40</v>
      </c>
      <c r="Z95" s="13">
        <v>30</v>
      </c>
      <c r="AA95" s="13">
        <v>1200</v>
      </c>
      <c r="AB95" s="13">
        <v>2400</v>
      </c>
      <c r="AC95" s="13">
        <v>1.6670000000000001E-3</v>
      </c>
      <c r="AD95" s="110">
        <f t="shared" si="11"/>
        <v>44520</v>
      </c>
      <c r="AE95" s="13" t="e">
        <f>IF(AND(AD95&lt;=$AI$4,#REF!&lt;1),1,"")</f>
        <v>#REF!</v>
      </c>
      <c r="AF95" s="110">
        <f t="shared" ca="1" si="12"/>
        <v>44553</v>
      </c>
      <c r="AH95" s="13">
        <f t="shared" ca="1" si="13"/>
        <v>37</v>
      </c>
    </row>
    <row r="96" spans="1:34" x14ac:dyDescent="0.25">
      <c r="A96" s="13" t="s">
        <v>9</v>
      </c>
      <c r="B96" s="13" t="s">
        <v>9</v>
      </c>
      <c r="C96" s="13" t="s">
        <v>444</v>
      </c>
      <c r="D96" s="13" t="s">
        <v>445</v>
      </c>
      <c r="E96" s="13" t="s">
        <v>1181</v>
      </c>
      <c r="F96" s="13">
        <v>2</v>
      </c>
      <c r="G96" s="2" t="s">
        <v>201</v>
      </c>
      <c r="H96" s="13" t="s">
        <v>1</v>
      </c>
      <c r="I96" s="13" t="s">
        <v>140</v>
      </c>
      <c r="J96" s="13" t="s">
        <v>139</v>
      </c>
      <c r="K96" s="109">
        <v>44516</v>
      </c>
      <c r="L96" s="109">
        <v>44531</v>
      </c>
      <c r="Q96" s="13" t="str">
        <f t="shared" si="7"/>
        <v>MEDECRD024929CADENASNUTRESA</v>
      </c>
      <c r="T96" s="123">
        <f t="shared" si="8"/>
        <v>0</v>
      </c>
      <c r="U96" s="13">
        <f t="shared" si="9"/>
        <v>0</v>
      </c>
      <c r="V96" s="123">
        <f t="shared" si="10"/>
        <v>0</v>
      </c>
      <c r="X96" s="13">
        <v>0.01</v>
      </c>
      <c r="Y96" s="13">
        <v>40</v>
      </c>
      <c r="Z96" s="13">
        <v>30</v>
      </c>
      <c r="AA96" s="13">
        <v>1200</v>
      </c>
      <c r="AB96" s="13">
        <v>2400</v>
      </c>
      <c r="AC96" s="13">
        <v>1.6670000000000001E-3</v>
      </c>
      <c r="AD96" s="110">
        <f t="shared" si="11"/>
        <v>44520</v>
      </c>
      <c r="AE96" s="13" t="e">
        <f>IF(AND(AD96&lt;=$AI$4,#REF!&lt;1),1,"")</f>
        <v>#REF!</v>
      </c>
      <c r="AF96" s="110">
        <f t="shared" ca="1" si="12"/>
        <v>44553</v>
      </c>
      <c r="AH96" s="13">
        <f t="shared" ca="1" si="13"/>
        <v>37</v>
      </c>
    </row>
    <row r="97" spans="1:34" x14ac:dyDescent="0.25">
      <c r="A97" s="13" t="s">
        <v>10</v>
      </c>
      <c r="B97" s="13" t="s">
        <v>10</v>
      </c>
      <c r="C97" s="13" t="s">
        <v>444</v>
      </c>
      <c r="D97" s="13" t="s">
        <v>445</v>
      </c>
      <c r="E97" s="13" t="s">
        <v>1181</v>
      </c>
      <c r="F97" s="13">
        <v>1</v>
      </c>
      <c r="G97" s="2" t="s">
        <v>201</v>
      </c>
      <c r="H97" s="13" t="s">
        <v>1</v>
      </c>
      <c r="I97" s="13" t="s">
        <v>140</v>
      </c>
      <c r="J97" s="13" t="s">
        <v>139</v>
      </c>
      <c r="K97" s="109">
        <v>44516</v>
      </c>
      <c r="L97" s="109">
        <v>44531</v>
      </c>
      <c r="Q97" s="13" t="str">
        <f t="shared" si="7"/>
        <v>PERECRD024929CADENASNUTRESA</v>
      </c>
      <c r="T97" s="123">
        <f t="shared" si="8"/>
        <v>0</v>
      </c>
      <c r="U97" s="13">
        <f t="shared" si="9"/>
        <v>0</v>
      </c>
      <c r="V97" s="123">
        <f t="shared" si="10"/>
        <v>0</v>
      </c>
      <c r="X97" s="13">
        <v>0.01</v>
      </c>
      <c r="Y97" s="13">
        <v>40</v>
      </c>
      <c r="Z97" s="13">
        <v>30</v>
      </c>
      <c r="AA97" s="13">
        <v>1200</v>
      </c>
      <c r="AB97" s="13">
        <v>1200</v>
      </c>
      <c r="AC97" s="13">
        <v>8.3299999999999997E-4</v>
      </c>
      <c r="AD97" s="110">
        <f t="shared" si="11"/>
        <v>44520</v>
      </c>
      <c r="AE97" s="13" t="e">
        <f>IF(AND(AD97&lt;=$AI$4,#REF!&lt;1),1,"")</f>
        <v>#REF!</v>
      </c>
      <c r="AF97" s="110">
        <f t="shared" ca="1" si="12"/>
        <v>44553</v>
      </c>
      <c r="AH97" s="13">
        <f t="shared" ca="1" si="13"/>
        <v>37</v>
      </c>
    </row>
    <row r="98" spans="1:34" x14ac:dyDescent="0.25">
      <c r="A98" s="13" t="s">
        <v>3</v>
      </c>
      <c r="B98" s="13" t="s">
        <v>3</v>
      </c>
      <c r="C98" s="13" t="s">
        <v>384</v>
      </c>
      <c r="D98" s="13" t="s">
        <v>385</v>
      </c>
      <c r="E98" s="13" t="s">
        <v>725</v>
      </c>
      <c r="F98" s="13">
        <v>1</v>
      </c>
      <c r="G98" s="2" t="s">
        <v>386</v>
      </c>
      <c r="H98" s="13" t="s">
        <v>1</v>
      </c>
      <c r="I98" s="13" t="s">
        <v>140</v>
      </c>
      <c r="J98" s="13" t="s">
        <v>46</v>
      </c>
      <c r="K98" s="109">
        <v>44516</v>
      </c>
      <c r="L98" s="109">
        <v>44501</v>
      </c>
      <c r="Q98" s="13" t="str">
        <f t="shared" si="7"/>
        <v>BARRCRD024905CADENASNUTRESA</v>
      </c>
      <c r="T98" s="123">
        <f t="shared" si="8"/>
        <v>0</v>
      </c>
      <c r="U98" s="13">
        <f t="shared" si="9"/>
        <v>0</v>
      </c>
      <c r="V98" s="123">
        <f t="shared" si="10"/>
        <v>0</v>
      </c>
      <c r="X98" s="13">
        <v>50</v>
      </c>
      <c r="Y98" s="13">
        <v>50</v>
      </c>
      <c r="Z98" s="13">
        <v>151</v>
      </c>
      <c r="AA98" s="13">
        <v>377500</v>
      </c>
      <c r="AB98" s="13">
        <v>377500</v>
      </c>
      <c r="AC98" s="13">
        <v>0.26215300000000002</v>
      </c>
      <c r="AD98" s="110">
        <f t="shared" si="11"/>
        <v>44520</v>
      </c>
      <c r="AE98" s="13" t="e">
        <f>IF(AND(AD98&lt;=$AI$4,#REF!&lt;1),1,"")</f>
        <v>#REF!</v>
      </c>
      <c r="AF98" s="110">
        <f t="shared" ca="1" si="12"/>
        <v>44553</v>
      </c>
      <c r="AH98" s="13">
        <f t="shared" ca="1" si="13"/>
        <v>37</v>
      </c>
    </row>
    <row r="99" spans="1:34" x14ac:dyDescent="0.25">
      <c r="A99" s="13" t="s">
        <v>4</v>
      </c>
      <c r="B99" s="13" t="s">
        <v>4</v>
      </c>
      <c r="C99" s="13" t="s">
        <v>384</v>
      </c>
      <c r="D99" s="13" t="s">
        <v>385</v>
      </c>
      <c r="E99" s="13" t="s">
        <v>725</v>
      </c>
      <c r="F99" s="13">
        <v>7</v>
      </c>
      <c r="G99" s="2" t="s">
        <v>386</v>
      </c>
      <c r="H99" s="13" t="s">
        <v>1</v>
      </c>
      <c r="I99" s="13" t="s">
        <v>140</v>
      </c>
      <c r="J99" s="13" t="s">
        <v>46</v>
      </c>
      <c r="K99" s="109">
        <v>44516</v>
      </c>
      <c r="L99" s="109">
        <v>44501</v>
      </c>
      <c r="Q99" s="13" t="str">
        <f t="shared" si="7"/>
        <v>BGTACRD024905CADENASNUTRESA</v>
      </c>
      <c r="T99" s="123">
        <f t="shared" si="8"/>
        <v>0</v>
      </c>
      <c r="U99" s="13">
        <f t="shared" si="9"/>
        <v>0</v>
      </c>
      <c r="V99" s="123">
        <f t="shared" si="10"/>
        <v>0</v>
      </c>
      <c r="X99" s="13">
        <v>50</v>
      </c>
      <c r="Y99" s="13">
        <v>50</v>
      </c>
      <c r="Z99" s="13">
        <v>151</v>
      </c>
      <c r="AA99" s="13">
        <v>377500</v>
      </c>
      <c r="AB99" s="13">
        <v>2642500</v>
      </c>
      <c r="AC99" s="13">
        <v>1.8350690000000001</v>
      </c>
      <c r="AD99" s="110">
        <f t="shared" si="11"/>
        <v>44520</v>
      </c>
      <c r="AE99" s="13" t="e">
        <f>IF(AND(AD99&lt;=$AI$4,#REF!&lt;1),1,"")</f>
        <v>#REF!</v>
      </c>
      <c r="AF99" s="110">
        <f t="shared" ca="1" si="12"/>
        <v>44553</v>
      </c>
      <c r="AH99" s="13">
        <f t="shared" ca="1" si="13"/>
        <v>37</v>
      </c>
    </row>
    <row r="100" spans="1:34" x14ac:dyDescent="0.25">
      <c r="A100" s="13" t="s">
        <v>9</v>
      </c>
      <c r="B100" s="13" t="s">
        <v>9</v>
      </c>
      <c r="C100" s="13" t="s">
        <v>384</v>
      </c>
      <c r="D100" s="13" t="s">
        <v>385</v>
      </c>
      <c r="E100" s="13" t="s">
        <v>725</v>
      </c>
      <c r="F100" s="13">
        <v>2</v>
      </c>
      <c r="G100" s="2" t="s">
        <v>386</v>
      </c>
      <c r="H100" s="13" t="s">
        <v>1</v>
      </c>
      <c r="I100" s="13" t="s">
        <v>140</v>
      </c>
      <c r="J100" s="13" t="s">
        <v>46</v>
      </c>
      <c r="K100" s="109">
        <v>44516</v>
      </c>
      <c r="L100" s="109">
        <v>44501</v>
      </c>
      <c r="Q100" s="13" t="str">
        <f t="shared" si="7"/>
        <v>MEDECRD024905CADENASNUTRESA</v>
      </c>
      <c r="T100" s="123">
        <f t="shared" si="8"/>
        <v>0</v>
      </c>
      <c r="U100" s="13">
        <f t="shared" si="9"/>
        <v>0</v>
      </c>
      <c r="V100" s="123">
        <f t="shared" si="10"/>
        <v>0</v>
      </c>
      <c r="X100" s="13">
        <v>50</v>
      </c>
      <c r="Y100" s="13">
        <v>50</v>
      </c>
      <c r="Z100" s="13">
        <v>151</v>
      </c>
      <c r="AA100" s="13">
        <v>377500</v>
      </c>
      <c r="AB100" s="13">
        <v>755000</v>
      </c>
      <c r="AC100" s="13">
        <v>0.52430600000000005</v>
      </c>
      <c r="AD100" s="110">
        <f t="shared" si="11"/>
        <v>44520</v>
      </c>
      <c r="AE100" s="13" t="e">
        <f>IF(AND(AD100&lt;=$AI$4,#REF!&lt;1),1,"")</f>
        <v>#REF!</v>
      </c>
      <c r="AF100" s="110">
        <f t="shared" ca="1" si="12"/>
        <v>44553</v>
      </c>
      <c r="AH100" s="13">
        <f t="shared" ca="1" si="13"/>
        <v>37</v>
      </c>
    </row>
    <row r="101" spans="1:34" x14ac:dyDescent="0.25">
      <c r="A101" s="13" t="s">
        <v>3</v>
      </c>
      <c r="B101" s="13" t="s">
        <v>3</v>
      </c>
      <c r="C101" s="13" t="s">
        <v>1180</v>
      </c>
      <c r="D101" s="13" t="s">
        <v>321</v>
      </c>
      <c r="E101" s="13" t="s">
        <v>1181</v>
      </c>
      <c r="F101" s="13">
        <v>2</v>
      </c>
      <c r="G101" s="2" t="s">
        <v>348</v>
      </c>
      <c r="H101" s="13" t="s">
        <v>1</v>
      </c>
      <c r="I101" s="13" t="s">
        <v>140</v>
      </c>
      <c r="J101" s="13" t="s">
        <v>46</v>
      </c>
      <c r="K101" s="109">
        <v>44510</v>
      </c>
      <c r="Q101" s="13" t="str">
        <f t="shared" si="7"/>
        <v>BARRCRD024936CADENASNUTRESA</v>
      </c>
      <c r="T101" s="123">
        <f t="shared" si="8"/>
        <v>0</v>
      </c>
      <c r="U101" s="13">
        <f t="shared" si="9"/>
        <v>0</v>
      </c>
      <c r="V101" s="123">
        <f t="shared" si="10"/>
        <v>0</v>
      </c>
      <c r="X101" s="13">
        <v>50</v>
      </c>
      <c r="Y101" s="13">
        <v>50</v>
      </c>
      <c r="Z101" s="13">
        <v>150</v>
      </c>
      <c r="AA101" s="13">
        <v>375000</v>
      </c>
      <c r="AB101" s="13">
        <v>750000</v>
      </c>
      <c r="AC101" s="13">
        <v>0.52083299999999999</v>
      </c>
      <c r="AD101" s="110">
        <f t="shared" si="11"/>
        <v>44514</v>
      </c>
      <c r="AE101" s="13" t="e">
        <f>IF(AND(AD101&lt;=$AI$4,#REF!&lt;1),1,"")</f>
        <v>#REF!</v>
      </c>
      <c r="AF101" s="110">
        <f t="shared" ca="1" si="12"/>
        <v>44553</v>
      </c>
      <c r="AH101" s="13">
        <f t="shared" ca="1" si="13"/>
        <v>43</v>
      </c>
    </row>
    <row r="102" spans="1:34" x14ac:dyDescent="0.25">
      <c r="A102" s="13" t="s">
        <v>4</v>
      </c>
      <c r="B102" s="13" t="s">
        <v>4</v>
      </c>
      <c r="C102" s="13" t="s">
        <v>1180</v>
      </c>
      <c r="D102" s="13" t="s">
        <v>321</v>
      </c>
      <c r="E102" s="13" t="s">
        <v>1181</v>
      </c>
      <c r="F102" s="13">
        <v>14</v>
      </c>
      <c r="G102" s="2" t="s">
        <v>348</v>
      </c>
      <c r="H102" s="13" t="s">
        <v>1</v>
      </c>
      <c r="I102" s="13" t="s">
        <v>140</v>
      </c>
      <c r="J102" s="13" t="s">
        <v>46</v>
      </c>
      <c r="K102" s="109">
        <v>44510</v>
      </c>
      <c r="Q102" s="13" t="str">
        <f t="shared" si="7"/>
        <v>BGTACRD024936CADENASNUTRESA</v>
      </c>
      <c r="T102" s="123">
        <f t="shared" si="8"/>
        <v>0</v>
      </c>
      <c r="U102" s="13">
        <f t="shared" si="9"/>
        <v>0</v>
      </c>
      <c r="V102" s="123">
        <f t="shared" si="10"/>
        <v>0</v>
      </c>
      <c r="X102" s="13">
        <v>50</v>
      </c>
      <c r="Y102" s="13">
        <v>50</v>
      </c>
      <c r="Z102" s="13">
        <v>150</v>
      </c>
      <c r="AA102" s="13">
        <v>375000</v>
      </c>
      <c r="AB102" s="13">
        <v>5250000</v>
      </c>
      <c r="AC102" s="13">
        <v>3.6458330000000001</v>
      </c>
      <c r="AD102" s="110">
        <f t="shared" si="11"/>
        <v>44514</v>
      </c>
      <c r="AE102" s="13" t="e">
        <f>IF(AND(AD102&lt;=$AI$4,#REF!&lt;1),1,"")</f>
        <v>#REF!</v>
      </c>
      <c r="AF102" s="110">
        <f t="shared" ca="1" si="12"/>
        <v>44553</v>
      </c>
      <c r="AH102" s="13">
        <f t="shared" ca="1" si="13"/>
        <v>43</v>
      </c>
    </row>
    <row r="103" spans="1:34" x14ac:dyDescent="0.25">
      <c r="A103" s="13" t="s">
        <v>5</v>
      </c>
      <c r="B103" s="13" t="s">
        <v>5</v>
      </c>
      <c r="C103" s="13" t="s">
        <v>1180</v>
      </c>
      <c r="D103" s="13" t="s">
        <v>321</v>
      </c>
      <c r="E103" s="13" t="s">
        <v>1181</v>
      </c>
      <c r="F103" s="13">
        <v>1</v>
      </c>
      <c r="G103" s="2" t="s">
        <v>348</v>
      </c>
      <c r="H103" s="13" t="s">
        <v>1</v>
      </c>
      <c r="I103" s="13" t="s">
        <v>140</v>
      </c>
      <c r="J103" s="13" t="s">
        <v>46</v>
      </c>
      <c r="K103" s="109">
        <v>44510</v>
      </c>
      <c r="Q103" s="13" t="str">
        <f t="shared" si="7"/>
        <v>BUCACRD024936CADENASNUTRESA</v>
      </c>
      <c r="T103" s="123">
        <f t="shared" si="8"/>
        <v>0</v>
      </c>
      <c r="U103" s="13">
        <f t="shared" si="9"/>
        <v>0</v>
      </c>
      <c r="V103" s="123">
        <f t="shared" si="10"/>
        <v>0</v>
      </c>
      <c r="X103" s="13">
        <v>50</v>
      </c>
      <c r="Y103" s="13">
        <v>50</v>
      </c>
      <c r="Z103" s="13">
        <v>150</v>
      </c>
      <c r="AA103" s="13">
        <v>375000</v>
      </c>
      <c r="AB103" s="13">
        <v>375000</v>
      </c>
      <c r="AC103" s="13">
        <v>0.26041700000000001</v>
      </c>
      <c r="AD103" s="110">
        <f t="shared" si="11"/>
        <v>44514</v>
      </c>
      <c r="AE103" s="13" t="e">
        <f>IF(AND(AD103&lt;=$AI$4,#REF!&lt;1),1,"")</f>
        <v>#REF!</v>
      </c>
      <c r="AF103" s="110">
        <f t="shared" ca="1" si="12"/>
        <v>44553</v>
      </c>
      <c r="AH103" s="13">
        <f t="shared" ca="1" si="13"/>
        <v>43</v>
      </c>
    </row>
    <row r="104" spans="1:34" x14ac:dyDescent="0.25">
      <c r="A104" s="13" t="s">
        <v>6</v>
      </c>
      <c r="B104" s="13" t="s">
        <v>6</v>
      </c>
      <c r="C104" s="13" t="s">
        <v>1180</v>
      </c>
      <c r="D104" s="13" t="s">
        <v>321</v>
      </c>
      <c r="E104" s="13" t="s">
        <v>1181</v>
      </c>
      <c r="F104" s="13">
        <v>2</v>
      </c>
      <c r="G104" s="2" t="s">
        <v>348</v>
      </c>
      <c r="H104" s="13" t="s">
        <v>1</v>
      </c>
      <c r="I104" s="13" t="s">
        <v>140</v>
      </c>
      <c r="J104" s="13" t="s">
        <v>46</v>
      </c>
      <c r="K104" s="109">
        <v>44510</v>
      </c>
      <c r="Q104" s="13" t="str">
        <f t="shared" si="7"/>
        <v>CALICRD024936CADENASNUTRESA</v>
      </c>
      <c r="T104" s="123">
        <f t="shared" si="8"/>
        <v>0</v>
      </c>
      <c r="U104" s="13">
        <f t="shared" si="9"/>
        <v>0</v>
      </c>
      <c r="V104" s="123">
        <f t="shared" si="10"/>
        <v>0</v>
      </c>
      <c r="X104" s="13">
        <v>50</v>
      </c>
      <c r="Y104" s="13">
        <v>50</v>
      </c>
      <c r="Z104" s="13">
        <v>150</v>
      </c>
      <c r="AA104" s="13">
        <v>375000</v>
      </c>
      <c r="AB104" s="13">
        <v>750000</v>
      </c>
      <c r="AC104" s="13">
        <v>0.52083299999999999</v>
      </c>
      <c r="AD104" s="110">
        <f t="shared" si="11"/>
        <v>44514</v>
      </c>
      <c r="AE104" s="13" t="e">
        <f>IF(AND(AD104&lt;=$AI$4,#REF!&lt;1),1,"")</f>
        <v>#REF!</v>
      </c>
      <c r="AF104" s="110">
        <f t="shared" ca="1" si="12"/>
        <v>44553</v>
      </c>
      <c r="AH104" s="13">
        <f t="shared" ca="1" si="13"/>
        <v>43</v>
      </c>
    </row>
    <row r="105" spans="1:34" x14ac:dyDescent="0.25">
      <c r="A105" s="13" t="s">
        <v>7</v>
      </c>
      <c r="B105" s="13" t="s">
        <v>7</v>
      </c>
      <c r="C105" s="13" t="s">
        <v>1180</v>
      </c>
      <c r="D105" s="13" t="s">
        <v>321</v>
      </c>
      <c r="E105" s="13" t="s">
        <v>1181</v>
      </c>
      <c r="F105" s="13">
        <v>2</v>
      </c>
      <c r="G105" s="2" t="s">
        <v>348</v>
      </c>
      <c r="H105" s="13" t="s">
        <v>1</v>
      </c>
      <c r="I105" s="13" t="s">
        <v>140</v>
      </c>
      <c r="J105" s="13" t="s">
        <v>46</v>
      </c>
      <c r="K105" s="109">
        <v>44510</v>
      </c>
      <c r="Q105" s="13" t="str">
        <f t="shared" si="7"/>
        <v>CARTCRD024936CADENASNUTRESA</v>
      </c>
      <c r="T105" s="123">
        <f t="shared" si="8"/>
        <v>0</v>
      </c>
      <c r="U105" s="13">
        <f t="shared" si="9"/>
        <v>0</v>
      </c>
      <c r="V105" s="123">
        <f t="shared" si="10"/>
        <v>0</v>
      </c>
      <c r="X105" s="13">
        <v>50</v>
      </c>
      <c r="Y105" s="13">
        <v>50</v>
      </c>
      <c r="Z105" s="13">
        <v>150</v>
      </c>
      <c r="AA105" s="13">
        <v>375000</v>
      </c>
      <c r="AB105" s="13">
        <v>750000</v>
      </c>
      <c r="AC105" s="13">
        <v>0.52083299999999999</v>
      </c>
      <c r="AD105" s="110">
        <f t="shared" si="11"/>
        <v>44514</v>
      </c>
      <c r="AE105" s="13" t="e">
        <f>IF(AND(AD105&lt;=$AI$4,#REF!&lt;1),1,"")</f>
        <v>#REF!</v>
      </c>
      <c r="AF105" s="110">
        <f t="shared" ca="1" si="12"/>
        <v>44553</v>
      </c>
      <c r="AH105" s="13">
        <f t="shared" ca="1" si="13"/>
        <v>43</v>
      </c>
    </row>
    <row r="106" spans="1:34" x14ac:dyDescent="0.25">
      <c r="A106" s="13" t="s">
        <v>8</v>
      </c>
      <c r="B106" s="13" t="s">
        <v>8</v>
      </c>
      <c r="C106" s="13" t="s">
        <v>1180</v>
      </c>
      <c r="D106" s="13" t="s">
        <v>321</v>
      </c>
      <c r="E106" s="13" t="s">
        <v>1181</v>
      </c>
      <c r="F106" s="13">
        <v>1</v>
      </c>
      <c r="G106" s="2" t="s">
        <v>348</v>
      </c>
      <c r="H106" s="13" t="s">
        <v>1</v>
      </c>
      <c r="I106" s="13" t="s">
        <v>140</v>
      </c>
      <c r="J106" s="13" t="s">
        <v>46</v>
      </c>
      <c r="K106" s="109">
        <v>44510</v>
      </c>
      <c r="Q106" s="13" t="str">
        <f t="shared" si="7"/>
        <v>IBA1CRD024936CADENASNUTRESA</v>
      </c>
      <c r="T106" s="123">
        <f t="shared" si="8"/>
        <v>0</v>
      </c>
      <c r="U106" s="13">
        <f t="shared" si="9"/>
        <v>0</v>
      </c>
      <c r="V106" s="123">
        <f t="shared" si="10"/>
        <v>0</v>
      </c>
      <c r="X106" s="13">
        <v>50</v>
      </c>
      <c r="Y106" s="13">
        <v>50</v>
      </c>
      <c r="Z106" s="13">
        <v>150</v>
      </c>
      <c r="AA106" s="13">
        <v>375000</v>
      </c>
      <c r="AB106" s="13">
        <v>375000</v>
      </c>
      <c r="AC106" s="13">
        <v>0.26041700000000001</v>
      </c>
      <c r="AD106" s="110">
        <f t="shared" si="11"/>
        <v>44514</v>
      </c>
      <c r="AE106" s="13" t="e">
        <f>IF(AND(AD106&lt;=$AI$4,#REF!&lt;1),1,"")</f>
        <v>#REF!</v>
      </c>
      <c r="AF106" s="110">
        <f t="shared" ca="1" si="12"/>
        <v>44553</v>
      </c>
      <c r="AH106" s="13">
        <f t="shared" ca="1" si="13"/>
        <v>43</v>
      </c>
    </row>
    <row r="107" spans="1:34" x14ac:dyDescent="0.25">
      <c r="A107" s="13" t="s">
        <v>9</v>
      </c>
      <c r="B107" s="13" t="s">
        <v>9</v>
      </c>
      <c r="C107" s="13" t="s">
        <v>1180</v>
      </c>
      <c r="D107" s="13" t="s">
        <v>321</v>
      </c>
      <c r="E107" s="13" t="s">
        <v>1181</v>
      </c>
      <c r="F107" s="13">
        <v>7</v>
      </c>
      <c r="G107" s="2" t="s">
        <v>348</v>
      </c>
      <c r="H107" s="13" t="s">
        <v>1</v>
      </c>
      <c r="I107" s="13" t="s">
        <v>140</v>
      </c>
      <c r="J107" s="13" t="s">
        <v>46</v>
      </c>
      <c r="K107" s="109">
        <v>44510</v>
      </c>
      <c r="Q107" s="13" t="str">
        <f t="shared" si="7"/>
        <v>MEDECRD024936CADENASNUTRESA</v>
      </c>
      <c r="T107" s="123">
        <f t="shared" si="8"/>
        <v>0</v>
      </c>
      <c r="U107" s="13">
        <f t="shared" si="9"/>
        <v>0</v>
      </c>
      <c r="V107" s="123">
        <f t="shared" si="10"/>
        <v>0</v>
      </c>
      <c r="X107" s="13">
        <v>50</v>
      </c>
      <c r="Y107" s="13">
        <v>50</v>
      </c>
      <c r="Z107" s="13">
        <v>150</v>
      </c>
      <c r="AA107" s="13">
        <v>375000</v>
      </c>
      <c r="AB107" s="13">
        <v>2625000</v>
      </c>
      <c r="AC107" s="13">
        <v>1.8229169999999999</v>
      </c>
      <c r="AD107" s="110">
        <f t="shared" si="11"/>
        <v>44514</v>
      </c>
      <c r="AE107" s="13" t="e">
        <f>IF(AND(AD107&lt;=$AI$4,#REF!&lt;1),1,"")</f>
        <v>#REF!</v>
      </c>
      <c r="AF107" s="110">
        <f t="shared" ca="1" si="12"/>
        <v>44553</v>
      </c>
      <c r="AH107" s="13">
        <f t="shared" ca="1" si="13"/>
        <v>43</v>
      </c>
    </row>
    <row r="108" spans="1:34" x14ac:dyDescent="0.25">
      <c r="A108" s="13" t="s">
        <v>7</v>
      </c>
      <c r="B108" s="13" t="s">
        <v>7</v>
      </c>
      <c r="C108" s="13" t="s">
        <v>268</v>
      </c>
      <c r="D108" s="13" t="s">
        <v>730</v>
      </c>
      <c r="E108" s="13" t="s">
        <v>731</v>
      </c>
      <c r="F108" s="13">
        <v>4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9">
        <v>44468</v>
      </c>
      <c r="P108" s="110">
        <v>44476</v>
      </c>
      <c r="Q108" s="13" t="str">
        <f t="shared" si="7"/>
        <v>CARTCRD024123CADENASNUTRESA</v>
      </c>
      <c r="R108" s="2">
        <v>4</v>
      </c>
      <c r="S108" s="13">
        <v>4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5</v>
      </c>
      <c r="Y108" s="13">
        <v>60</v>
      </c>
      <c r="Z108" s="13">
        <v>46.5</v>
      </c>
      <c r="AA108" s="13">
        <v>13950</v>
      </c>
      <c r="AB108" s="13">
        <v>55800</v>
      </c>
      <c r="AC108" s="13">
        <v>3.875E-2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44553</v>
      </c>
      <c r="AH108" s="13">
        <f t="shared" ca="1" si="13"/>
        <v>85</v>
      </c>
    </row>
    <row r="109" spans="1:34" x14ac:dyDescent="0.25">
      <c r="A109" s="13" t="s">
        <v>3</v>
      </c>
      <c r="B109" s="13" t="s">
        <v>3</v>
      </c>
      <c r="C109" s="13" t="s">
        <v>270</v>
      </c>
      <c r="D109" s="13" t="s">
        <v>732</v>
      </c>
      <c r="E109" s="13" t="s">
        <v>731</v>
      </c>
      <c r="F109" s="13">
        <v>28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9">
        <v>44468</v>
      </c>
      <c r="P109" s="110">
        <v>44476</v>
      </c>
      <c r="Q109" s="13" t="str">
        <f t="shared" si="7"/>
        <v>BARRCRD024124CADENASNUTRESA</v>
      </c>
      <c r="R109" s="2">
        <v>28</v>
      </c>
      <c r="S109" s="13">
        <v>28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5</v>
      </c>
      <c r="Y109" s="13">
        <v>60</v>
      </c>
      <c r="Z109" s="13">
        <v>46.5</v>
      </c>
      <c r="AA109" s="13">
        <v>13950</v>
      </c>
      <c r="AB109" s="13">
        <v>390600</v>
      </c>
      <c r="AC109" s="13">
        <v>0.27124999999999999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44553</v>
      </c>
      <c r="AH109" s="13">
        <f t="shared" ca="1" si="13"/>
        <v>85</v>
      </c>
    </row>
    <row r="110" spans="1:34" x14ac:dyDescent="0.25">
      <c r="A110" s="13" t="s">
        <v>4</v>
      </c>
      <c r="B110" s="13" t="s">
        <v>4</v>
      </c>
      <c r="C110" s="13" t="s">
        <v>270</v>
      </c>
      <c r="D110" s="13" t="s">
        <v>732</v>
      </c>
      <c r="E110" s="13" t="s">
        <v>731</v>
      </c>
      <c r="F110" s="13">
        <v>111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9">
        <v>44468</v>
      </c>
      <c r="P110" s="110">
        <v>44476</v>
      </c>
      <c r="Q110" s="13" t="str">
        <f t="shared" si="7"/>
        <v>BGTACRD024124CADENASNUTRESA</v>
      </c>
      <c r="R110" s="2">
        <v>111</v>
      </c>
      <c r="S110" s="13">
        <v>111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5</v>
      </c>
      <c r="Y110" s="13">
        <v>60</v>
      </c>
      <c r="Z110" s="13">
        <v>46.5</v>
      </c>
      <c r="AA110" s="13">
        <v>13950</v>
      </c>
      <c r="AB110" s="13">
        <v>1548450</v>
      </c>
      <c r="AC110" s="13">
        <v>1.075313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44553</v>
      </c>
      <c r="AH110" s="13">
        <f t="shared" ca="1" si="13"/>
        <v>85</v>
      </c>
    </row>
    <row r="111" spans="1:34" x14ac:dyDescent="0.25">
      <c r="A111" s="13" t="s">
        <v>5</v>
      </c>
      <c r="B111" s="13" t="s">
        <v>5</v>
      </c>
      <c r="C111" s="13" t="s">
        <v>270</v>
      </c>
      <c r="D111" s="13" t="s">
        <v>732</v>
      </c>
      <c r="E111" s="13" t="s">
        <v>731</v>
      </c>
      <c r="F111" s="13">
        <v>8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9">
        <v>44468</v>
      </c>
      <c r="P111" s="110">
        <v>44476</v>
      </c>
      <c r="Q111" s="13" t="str">
        <f t="shared" si="7"/>
        <v>BUCACRD024124CADENASNUTRESA</v>
      </c>
      <c r="R111" s="2">
        <v>8</v>
      </c>
      <c r="S111" s="13">
        <v>8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5</v>
      </c>
      <c r="Y111" s="13">
        <v>60</v>
      </c>
      <c r="Z111" s="13">
        <v>46.5</v>
      </c>
      <c r="AA111" s="13">
        <v>13950</v>
      </c>
      <c r="AB111" s="13">
        <v>111600</v>
      </c>
      <c r="AC111" s="13">
        <v>7.7499999999999999E-2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44553</v>
      </c>
      <c r="AH111" s="13">
        <f t="shared" ca="1" si="13"/>
        <v>85</v>
      </c>
    </row>
    <row r="112" spans="1:34" x14ac:dyDescent="0.25">
      <c r="A112" s="13" t="s">
        <v>6</v>
      </c>
      <c r="B112" s="13" t="s">
        <v>6</v>
      </c>
      <c r="C112" s="13" t="s">
        <v>270</v>
      </c>
      <c r="D112" s="13" t="s">
        <v>732</v>
      </c>
      <c r="E112" s="13" t="s">
        <v>731</v>
      </c>
      <c r="F112" s="13">
        <v>34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9">
        <v>44468</v>
      </c>
      <c r="P112" s="110">
        <v>44476</v>
      </c>
      <c r="Q112" s="13" t="str">
        <f t="shared" si="7"/>
        <v>CALICRD024124CADENASNUTRESA</v>
      </c>
      <c r="R112" s="2">
        <v>34</v>
      </c>
      <c r="S112" s="13">
        <v>34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5</v>
      </c>
      <c r="Y112" s="13">
        <v>60</v>
      </c>
      <c r="Z112" s="13">
        <v>46.5</v>
      </c>
      <c r="AA112" s="13">
        <v>13950</v>
      </c>
      <c r="AB112" s="13">
        <v>474300</v>
      </c>
      <c r="AC112" s="13">
        <v>0.32937499999999997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44553</v>
      </c>
      <c r="AH112" s="13">
        <f t="shared" ca="1" si="13"/>
        <v>85</v>
      </c>
    </row>
    <row r="113" spans="1:34" x14ac:dyDescent="0.25">
      <c r="A113" s="13" t="s">
        <v>7</v>
      </c>
      <c r="B113" s="13" t="s">
        <v>7</v>
      </c>
      <c r="C113" s="13" t="s">
        <v>270</v>
      </c>
      <c r="D113" s="13" t="s">
        <v>732</v>
      </c>
      <c r="E113" s="13" t="s">
        <v>731</v>
      </c>
      <c r="F113" s="13">
        <v>14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9">
        <v>44468</v>
      </c>
      <c r="P113" s="110">
        <v>44476</v>
      </c>
      <c r="Q113" s="13" t="str">
        <f t="shared" si="7"/>
        <v>CARTCRD024124CADENASNUTRESA</v>
      </c>
      <c r="R113" s="2">
        <v>14</v>
      </c>
      <c r="S113" s="13">
        <v>14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</v>
      </c>
      <c r="Y113" s="13">
        <v>60</v>
      </c>
      <c r="Z113" s="13">
        <v>46.5</v>
      </c>
      <c r="AA113" s="13">
        <v>13950</v>
      </c>
      <c r="AB113" s="13">
        <v>195300</v>
      </c>
      <c r="AC113" s="13">
        <v>0.135625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44553</v>
      </c>
      <c r="AH113" s="13">
        <f t="shared" ca="1" si="13"/>
        <v>85</v>
      </c>
    </row>
    <row r="114" spans="1:34" x14ac:dyDescent="0.25">
      <c r="A114" s="13" t="s">
        <v>8</v>
      </c>
      <c r="B114" s="13" t="s">
        <v>8</v>
      </c>
      <c r="C114" s="13" t="s">
        <v>270</v>
      </c>
      <c r="D114" s="13" t="s">
        <v>732</v>
      </c>
      <c r="E114" s="13" t="s">
        <v>731</v>
      </c>
      <c r="F114" s="13">
        <v>2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9">
        <v>44468</v>
      </c>
      <c r="P114" s="110">
        <v>44476</v>
      </c>
      <c r="Q114" s="13" t="str">
        <f t="shared" si="7"/>
        <v>IBA1CRD024124CADENASNUTRESA</v>
      </c>
      <c r="R114" s="2">
        <v>2</v>
      </c>
      <c r="S114" s="13">
        <v>2</v>
      </c>
      <c r="T114" s="123">
        <f t="shared" si="8"/>
        <v>1</v>
      </c>
      <c r="U114" s="13">
        <f t="shared" si="9"/>
        <v>0</v>
      </c>
      <c r="V114" s="123">
        <f t="shared" si="10"/>
        <v>0</v>
      </c>
      <c r="X114" s="13">
        <v>5</v>
      </c>
      <c r="Y114" s="13">
        <v>60</v>
      </c>
      <c r="Z114" s="13">
        <v>46.5</v>
      </c>
      <c r="AA114" s="13">
        <v>13950</v>
      </c>
      <c r="AB114" s="13">
        <v>27900</v>
      </c>
      <c r="AC114" s="13">
        <v>1.9375E-2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44553</v>
      </c>
      <c r="AH114" s="13">
        <f t="shared" ca="1" si="13"/>
        <v>85</v>
      </c>
    </row>
    <row r="115" spans="1:34" x14ac:dyDescent="0.25">
      <c r="A115" s="13" t="s">
        <v>9</v>
      </c>
      <c r="B115" s="13" t="s">
        <v>9</v>
      </c>
      <c r="C115" s="13" t="s">
        <v>270</v>
      </c>
      <c r="D115" s="13" t="s">
        <v>732</v>
      </c>
      <c r="E115" s="13" t="s">
        <v>731</v>
      </c>
      <c r="F115" s="13">
        <v>17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9">
        <v>44468</v>
      </c>
      <c r="P115" s="110">
        <v>44476</v>
      </c>
      <c r="Q115" s="13" t="str">
        <f t="shared" si="7"/>
        <v>MEDECRD024124CADENASNUTRESA</v>
      </c>
      <c r="R115" s="2">
        <v>17</v>
      </c>
      <c r="S115" s="13">
        <v>17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5</v>
      </c>
      <c r="Y115" s="13">
        <v>60</v>
      </c>
      <c r="Z115" s="13">
        <v>46.5</v>
      </c>
      <c r="AA115" s="13">
        <v>13950</v>
      </c>
      <c r="AB115" s="13">
        <v>237150</v>
      </c>
      <c r="AC115" s="13">
        <v>0.164688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44553</v>
      </c>
      <c r="AH115" s="13">
        <f t="shared" ca="1" si="13"/>
        <v>85</v>
      </c>
    </row>
    <row r="116" spans="1:34" x14ac:dyDescent="0.25">
      <c r="A116" s="13" t="s">
        <v>10</v>
      </c>
      <c r="B116" s="13" t="s">
        <v>10</v>
      </c>
      <c r="C116" s="13" t="s">
        <v>270</v>
      </c>
      <c r="D116" s="13" t="s">
        <v>732</v>
      </c>
      <c r="E116" s="13" t="s">
        <v>731</v>
      </c>
      <c r="F116" s="13">
        <v>21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9">
        <v>44468</v>
      </c>
      <c r="P116" s="110">
        <v>44476</v>
      </c>
      <c r="Q116" s="13" t="str">
        <f t="shared" si="7"/>
        <v>PERECRD024124CADENASNUTRESA</v>
      </c>
      <c r="R116" s="2">
        <v>21</v>
      </c>
      <c r="S116" s="13">
        <v>21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</v>
      </c>
      <c r="Y116" s="13">
        <v>60</v>
      </c>
      <c r="Z116" s="13">
        <v>46.5</v>
      </c>
      <c r="AA116" s="13">
        <v>13950</v>
      </c>
      <c r="AB116" s="13">
        <v>292950</v>
      </c>
      <c r="AC116" s="13">
        <v>0.20343800000000001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44553</v>
      </c>
      <c r="AH116" s="13">
        <f t="shared" ca="1" si="13"/>
        <v>85</v>
      </c>
    </row>
    <row r="117" spans="1:34" x14ac:dyDescent="0.25">
      <c r="A117" s="13" t="s">
        <v>4</v>
      </c>
      <c r="B117" s="13" t="s">
        <v>4</v>
      </c>
      <c r="C117" s="13" t="s">
        <v>271</v>
      </c>
      <c r="D117" s="13" t="s">
        <v>733</v>
      </c>
      <c r="E117" s="13" t="s">
        <v>731</v>
      </c>
      <c r="F117" s="13">
        <v>18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9">
        <v>44468</v>
      </c>
      <c r="P117" s="110">
        <v>44476</v>
      </c>
      <c r="Q117" s="13" t="str">
        <f t="shared" si="7"/>
        <v>BGTACRD024125CADENASNUTRESA</v>
      </c>
      <c r="R117" s="2">
        <v>18</v>
      </c>
      <c r="S117" s="13">
        <v>18</v>
      </c>
      <c r="T117" s="123">
        <f t="shared" si="8"/>
        <v>1</v>
      </c>
      <c r="U117" s="13">
        <f t="shared" si="9"/>
        <v>0</v>
      </c>
      <c r="V117" s="123">
        <f t="shared" si="10"/>
        <v>0</v>
      </c>
      <c r="X117" s="13">
        <v>5</v>
      </c>
      <c r="Y117" s="13">
        <v>80</v>
      </c>
      <c r="Z117" s="13">
        <v>62</v>
      </c>
      <c r="AA117" s="13">
        <v>24800</v>
      </c>
      <c r="AB117" s="13">
        <v>446400</v>
      </c>
      <c r="AC117" s="13">
        <v>0.31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44553</v>
      </c>
      <c r="AH117" s="13">
        <f t="shared" ca="1" si="13"/>
        <v>85</v>
      </c>
    </row>
    <row r="118" spans="1:34" x14ac:dyDescent="0.25">
      <c r="A118" s="13" t="s">
        <v>5</v>
      </c>
      <c r="B118" s="13" t="s">
        <v>5</v>
      </c>
      <c r="C118" s="13" t="s">
        <v>271</v>
      </c>
      <c r="D118" s="13" t="s">
        <v>733</v>
      </c>
      <c r="E118" s="13" t="s">
        <v>731</v>
      </c>
      <c r="F118" s="13">
        <v>2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9">
        <v>44468</v>
      </c>
      <c r="P118" s="110">
        <v>44476</v>
      </c>
      <c r="Q118" s="13" t="str">
        <f t="shared" si="7"/>
        <v>BUCACRD024125CADENASNUTRESA</v>
      </c>
      <c r="R118" s="2">
        <v>2</v>
      </c>
      <c r="S118" s="13">
        <v>2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5</v>
      </c>
      <c r="Y118" s="13">
        <v>80</v>
      </c>
      <c r="Z118" s="13">
        <v>62</v>
      </c>
      <c r="AA118" s="13">
        <v>24800</v>
      </c>
      <c r="AB118" s="13">
        <v>49600</v>
      </c>
      <c r="AC118" s="13">
        <v>3.4444000000000002E-2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44553</v>
      </c>
      <c r="AH118" s="13">
        <f t="shared" ca="1" si="13"/>
        <v>85</v>
      </c>
    </row>
    <row r="119" spans="1:34" x14ac:dyDescent="0.25">
      <c r="A119" s="13" t="s">
        <v>6</v>
      </c>
      <c r="B119" s="13" t="s">
        <v>6</v>
      </c>
      <c r="C119" s="13" t="s">
        <v>271</v>
      </c>
      <c r="D119" s="13" t="s">
        <v>733</v>
      </c>
      <c r="E119" s="13" t="s">
        <v>731</v>
      </c>
      <c r="F119" s="13">
        <v>20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9">
        <v>44468</v>
      </c>
      <c r="P119" s="110">
        <v>44476</v>
      </c>
      <c r="Q119" s="13" t="str">
        <f t="shared" si="7"/>
        <v>CALICRD024125CADENASNUTRESA</v>
      </c>
      <c r="R119" s="2">
        <v>20</v>
      </c>
      <c r="S119" s="13">
        <v>20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5</v>
      </c>
      <c r="Y119" s="13">
        <v>80</v>
      </c>
      <c r="Z119" s="13">
        <v>62</v>
      </c>
      <c r="AA119" s="13">
        <v>24800</v>
      </c>
      <c r="AB119" s="13">
        <v>496000</v>
      </c>
      <c r="AC119" s="13">
        <v>0.34444399999999997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44553</v>
      </c>
      <c r="AH119" s="13">
        <f t="shared" ca="1" si="13"/>
        <v>85</v>
      </c>
    </row>
    <row r="120" spans="1:34" x14ac:dyDescent="0.25">
      <c r="A120" s="13" t="s">
        <v>7</v>
      </c>
      <c r="B120" s="13" t="s">
        <v>7</v>
      </c>
      <c r="C120" s="13" t="s">
        <v>271</v>
      </c>
      <c r="D120" s="13" t="s">
        <v>733</v>
      </c>
      <c r="E120" s="13" t="s">
        <v>731</v>
      </c>
      <c r="F120" s="13">
        <v>2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9">
        <v>44468</v>
      </c>
      <c r="P120" s="110">
        <v>44476</v>
      </c>
      <c r="Q120" s="13" t="str">
        <f t="shared" si="7"/>
        <v>CARTCRD024125CADENASNUTRESA</v>
      </c>
      <c r="R120" s="2">
        <v>2</v>
      </c>
      <c r="S120" s="13">
        <v>2</v>
      </c>
      <c r="T120" s="123">
        <f t="shared" si="8"/>
        <v>1</v>
      </c>
      <c r="U120" s="13">
        <f t="shared" si="9"/>
        <v>0</v>
      </c>
      <c r="V120" s="123">
        <f t="shared" si="10"/>
        <v>0</v>
      </c>
      <c r="X120" s="13">
        <v>5</v>
      </c>
      <c r="Y120" s="13">
        <v>80</v>
      </c>
      <c r="Z120" s="13">
        <v>62</v>
      </c>
      <c r="AA120" s="13">
        <v>24800</v>
      </c>
      <c r="AB120" s="13">
        <v>49600</v>
      </c>
      <c r="AC120" s="13">
        <v>3.4444000000000002E-2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44553</v>
      </c>
      <c r="AH120" s="13">
        <f t="shared" ca="1" si="13"/>
        <v>85</v>
      </c>
    </row>
    <row r="121" spans="1:34" x14ac:dyDescent="0.25">
      <c r="A121" s="13" t="s">
        <v>8</v>
      </c>
      <c r="B121" s="13" t="s">
        <v>8</v>
      </c>
      <c r="C121" s="13" t="s">
        <v>271</v>
      </c>
      <c r="D121" s="13" t="s">
        <v>733</v>
      </c>
      <c r="E121" s="13" t="s">
        <v>731</v>
      </c>
      <c r="F121" s="13">
        <v>2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9">
        <v>44468</v>
      </c>
      <c r="P121" s="110">
        <v>44476</v>
      </c>
      <c r="Q121" s="13" t="str">
        <f t="shared" si="7"/>
        <v>IBA1CRD024125CADENASNUTRESA</v>
      </c>
      <c r="R121" s="2">
        <v>2</v>
      </c>
      <c r="S121" s="13">
        <v>2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5</v>
      </c>
      <c r="Y121" s="13">
        <v>80</v>
      </c>
      <c r="Z121" s="13">
        <v>62</v>
      </c>
      <c r="AA121" s="13">
        <v>24800</v>
      </c>
      <c r="AB121" s="13">
        <v>49600</v>
      </c>
      <c r="AC121" s="13">
        <v>3.4444000000000002E-2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44553</v>
      </c>
      <c r="AH121" s="13">
        <f t="shared" ca="1" si="13"/>
        <v>85</v>
      </c>
    </row>
    <row r="122" spans="1:34" x14ac:dyDescent="0.25">
      <c r="A122" s="13" t="s">
        <v>9</v>
      </c>
      <c r="B122" s="13" t="s">
        <v>9</v>
      </c>
      <c r="C122" s="13" t="s">
        <v>271</v>
      </c>
      <c r="D122" s="13" t="s">
        <v>733</v>
      </c>
      <c r="E122" s="13" t="s">
        <v>731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9">
        <v>44468</v>
      </c>
      <c r="P122" s="110">
        <v>44476</v>
      </c>
      <c r="Q122" s="13" t="str">
        <f t="shared" si="7"/>
        <v>MEDECRD024125CADENASNUTRESA</v>
      </c>
      <c r="R122" s="2">
        <v>2</v>
      </c>
      <c r="S122" s="13">
        <v>2</v>
      </c>
      <c r="T122" s="123">
        <f t="shared" si="8"/>
        <v>1</v>
      </c>
      <c r="U122" s="13">
        <f t="shared" si="9"/>
        <v>0</v>
      </c>
      <c r="V122" s="123">
        <f t="shared" si="10"/>
        <v>0</v>
      </c>
      <c r="X122" s="13">
        <v>5</v>
      </c>
      <c r="Y122" s="13">
        <v>80</v>
      </c>
      <c r="Z122" s="13">
        <v>62</v>
      </c>
      <c r="AA122" s="13">
        <v>24800</v>
      </c>
      <c r="AB122" s="13">
        <v>49600</v>
      </c>
      <c r="AC122" s="13">
        <v>3.4444000000000002E-2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44553</v>
      </c>
      <c r="AH122" s="13">
        <f t="shared" ca="1" si="13"/>
        <v>85</v>
      </c>
    </row>
    <row r="123" spans="1:34" x14ac:dyDescent="0.25">
      <c r="A123" s="13" t="s">
        <v>10</v>
      </c>
      <c r="B123" s="13" t="s">
        <v>10</v>
      </c>
      <c r="C123" s="13" t="s">
        <v>271</v>
      </c>
      <c r="D123" s="13" t="s">
        <v>733</v>
      </c>
      <c r="E123" s="13" t="s">
        <v>731</v>
      </c>
      <c r="F123" s="13">
        <v>16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9">
        <v>44468</v>
      </c>
      <c r="P123" s="110">
        <v>44476</v>
      </c>
      <c r="Q123" s="13" t="str">
        <f t="shared" si="7"/>
        <v>PERECRD024125CADENASNUTRESA</v>
      </c>
      <c r="R123" s="2">
        <v>16</v>
      </c>
      <c r="S123" s="13">
        <v>16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5</v>
      </c>
      <c r="Y123" s="13">
        <v>80</v>
      </c>
      <c r="Z123" s="13">
        <v>62</v>
      </c>
      <c r="AA123" s="13">
        <v>24800</v>
      </c>
      <c r="AB123" s="13">
        <v>396800</v>
      </c>
      <c r="AC123" s="13">
        <v>0.27555600000000002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44553</v>
      </c>
      <c r="AH123" s="13">
        <f t="shared" ca="1" si="13"/>
        <v>85</v>
      </c>
    </row>
    <row r="124" spans="1:34" x14ac:dyDescent="0.25">
      <c r="A124" s="13" t="s">
        <v>4</v>
      </c>
      <c r="B124" s="13" t="s">
        <v>4</v>
      </c>
      <c r="C124" s="13" t="s">
        <v>272</v>
      </c>
      <c r="D124" s="13" t="s">
        <v>734</v>
      </c>
      <c r="E124" s="13" t="s">
        <v>731</v>
      </c>
      <c r="F124" s="13">
        <v>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9">
        <v>44468</v>
      </c>
      <c r="P124" s="110">
        <v>44476</v>
      </c>
      <c r="Q124" s="13" t="str">
        <f t="shared" si="7"/>
        <v>BGTACRD024126CADENASNUTRESA</v>
      </c>
      <c r="R124" s="2">
        <v>1</v>
      </c>
      <c r="S124" s="13">
        <v>1</v>
      </c>
      <c r="T124" s="123">
        <f t="shared" si="8"/>
        <v>1</v>
      </c>
      <c r="U124" s="13">
        <f t="shared" si="9"/>
        <v>0</v>
      </c>
      <c r="V124" s="123">
        <f t="shared" si="10"/>
        <v>0</v>
      </c>
      <c r="X124" s="13">
        <v>10</v>
      </c>
      <c r="Y124" s="13">
        <v>64</v>
      </c>
      <c r="Z124" s="13">
        <v>110</v>
      </c>
      <c r="AA124" s="13">
        <v>24800</v>
      </c>
      <c r="AB124" s="13">
        <v>24800</v>
      </c>
      <c r="AC124" s="13">
        <v>1.7222000000000001E-2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44553</v>
      </c>
      <c r="AH124" s="13">
        <f t="shared" ca="1" si="13"/>
        <v>85</v>
      </c>
    </row>
    <row r="125" spans="1:34" x14ac:dyDescent="0.25">
      <c r="A125" s="13" t="s">
        <v>8</v>
      </c>
      <c r="B125" s="13" t="s">
        <v>8</v>
      </c>
      <c r="C125" s="13" t="s">
        <v>272</v>
      </c>
      <c r="D125" s="13" t="s">
        <v>734</v>
      </c>
      <c r="E125" s="13" t="s">
        <v>731</v>
      </c>
      <c r="F125" s="13">
        <v>1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9">
        <v>44468</v>
      </c>
      <c r="P125" s="110">
        <v>44476</v>
      </c>
      <c r="Q125" s="13" t="str">
        <f t="shared" si="7"/>
        <v>IBA1CRD024126CADENASNUTRESA</v>
      </c>
      <c r="R125" s="2">
        <v>1</v>
      </c>
      <c r="S125" s="13">
        <v>1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10</v>
      </c>
      <c r="Y125" s="13">
        <v>64</v>
      </c>
      <c r="Z125" s="13">
        <v>110</v>
      </c>
      <c r="AA125" s="13">
        <v>24800</v>
      </c>
      <c r="AB125" s="13">
        <v>24800</v>
      </c>
      <c r="AC125" s="13">
        <v>1.7222000000000001E-2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44553</v>
      </c>
      <c r="AH125" s="13">
        <f t="shared" ca="1" si="13"/>
        <v>85</v>
      </c>
    </row>
    <row r="126" spans="1:34" x14ac:dyDescent="0.25">
      <c r="A126" s="13" t="s">
        <v>10</v>
      </c>
      <c r="B126" s="13" t="s">
        <v>10</v>
      </c>
      <c r="C126" s="13" t="s">
        <v>272</v>
      </c>
      <c r="D126" s="13" t="s">
        <v>734</v>
      </c>
      <c r="E126" s="13" t="s">
        <v>731</v>
      </c>
      <c r="F126" s="13">
        <v>1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9">
        <v>44468</v>
      </c>
      <c r="P126" s="110">
        <v>44476</v>
      </c>
      <c r="Q126" s="13" t="str">
        <f t="shared" si="7"/>
        <v>PERECRD024126CADENASNUTRESA</v>
      </c>
      <c r="R126" s="2">
        <v>1</v>
      </c>
      <c r="S126" s="13">
        <v>1</v>
      </c>
      <c r="T126" s="123">
        <f t="shared" si="8"/>
        <v>1</v>
      </c>
      <c r="U126" s="13">
        <f t="shared" si="9"/>
        <v>0</v>
      </c>
      <c r="V126" s="123">
        <f t="shared" si="10"/>
        <v>0</v>
      </c>
      <c r="X126" s="13">
        <v>10</v>
      </c>
      <c r="Y126" s="13">
        <v>64</v>
      </c>
      <c r="Z126" s="13">
        <v>110</v>
      </c>
      <c r="AA126" s="13">
        <v>24800</v>
      </c>
      <c r="AB126" s="13">
        <v>24800</v>
      </c>
      <c r="AC126" s="13">
        <v>1.7222000000000001E-2</v>
      </c>
      <c r="AD126" s="110">
        <f t="shared" si="11"/>
        <v>44472</v>
      </c>
      <c r="AE126" s="13" t="e">
        <f>IF(AND(AD126&lt;=$AI$4,#REF!&lt;1),1,"")</f>
        <v>#REF!</v>
      </c>
      <c r="AF126" s="110">
        <f t="shared" ca="1" si="12"/>
        <v>44553</v>
      </c>
      <c r="AH126" s="13">
        <f t="shared" ca="1" si="13"/>
        <v>85</v>
      </c>
    </row>
    <row r="127" spans="1:34" x14ac:dyDescent="0.25">
      <c r="A127" s="13" t="s">
        <v>4</v>
      </c>
      <c r="B127" s="13" t="s">
        <v>4</v>
      </c>
      <c r="C127" s="13" t="s">
        <v>273</v>
      </c>
      <c r="D127" s="13" t="s">
        <v>735</v>
      </c>
      <c r="E127" s="13" t="s">
        <v>725</v>
      </c>
      <c r="F127" s="13">
        <v>4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9">
        <v>44468</v>
      </c>
      <c r="P127" s="110">
        <v>44476</v>
      </c>
      <c r="Q127" s="13" t="str">
        <f t="shared" si="7"/>
        <v>BGTACRD024127CADENASNUTRESA</v>
      </c>
      <c r="R127" s="2">
        <v>4</v>
      </c>
      <c r="S127" s="13">
        <v>4</v>
      </c>
      <c r="T127" s="123">
        <f t="shared" si="8"/>
        <v>1</v>
      </c>
      <c r="U127" s="13">
        <f t="shared" si="9"/>
        <v>0</v>
      </c>
      <c r="V127" s="123">
        <f t="shared" si="10"/>
        <v>0</v>
      </c>
      <c r="X127" s="13">
        <v>26</v>
      </c>
      <c r="Y127" s="13">
        <v>204</v>
      </c>
      <c r="Z127" s="13">
        <v>93</v>
      </c>
      <c r="AA127" s="13">
        <v>80000</v>
      </c>
      <c r="AB127" s="13">
        <v>320000</v>
      </c>
      <c r="AC127" s="13">
        <v>0.222222</v>
      </c>
      <c r="AD127" s="110">
        <f t="shared" si="11"/>
        <v>44472</v>
      </c>
      <c r="AE127" s="13" t="e">
        <f>IF(AND(AD127&lt;=$AI$4,#REF!&lt;1),1,"")</f>
        <v>#REF!</v>
      </c>
      <c r="AF127" s="110">
        <f t="shared" ca="1" si="12"/>
        <v>44553</v>
      </c>
      <c r="AH127" s="13">
        <f t="shared" ca="1" si="13"/>
        <v>85</v>
      </c>
    </row>
    <row r="128" spans="1:34" x14ac:dyDescent="0.25">
      <c r="A128" s="13" t="s">
        <v>6</v>
      </c>
      <c r="B128" s="13" t="s">
        <v>6</v>
      </c>
      <c r="C128" s="13" t="s">
        <v>273</v>
      </c>
      <c r="D128" s="13" t="s">
        <v>735</v>
      </c>
      <c r="E128" s="13" t="s">
        <v>725</v>
      </c>
      <c r="F128" s="13">
        <v>1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9">
        <v>44468</v>
      </c>
      <c r="P128" s="110">
        <v>44476</v>
      </c>
      <c r="Q128" s="13" t="str">
        <f t="shared" si="7"/>
        <v>CALICRD024127CADENASNUTRESA</v>
      </c>
      <c r="R128" s="2">
        <v>1</v>
      </c>
      <c r="S128" s="13">
        <v>1</v>
      </c>
      <c r="T128" s="123">
        <f t="shared" si="8"/>
        <v>1</v>
      </c>
      <c r="U128" s="13">
        <f t="shared" si="9"/>
        <v>0</v>
      </c>
      <c r="V128" s="123">
        <f t="shared" si="10"/>
        <v>0</v>
      </c>
      <c r="X128" s="13">
        <v>26</v>
      </c>
      <c r="Y128" s="13">
        <v>204</v>
      </c>
      <c r="Z128" s="13">
        <v>93</v>
      </c>
      <c r="AA128" s="13">
        <v>80000</v>
      </c>
      <c r="AB128" s="13">
        <v>80000</v>
      </c>
      <c r="AC128" s="13">
        <v>5.5556000000000001E-2</v>
      </c>
      <c r="AD128" s="110">
        <f t="shared" si="11"/>
        <v>44472</v>
      </c>
      <c r="AE128" s="13" t="e">
        <f>IF(AND(AD128&lt;=$AI$4,#REF!&lt;1),1,"")</f>
        <v>#REF!</v>
      </c>
      <c r="AF128" s="110">
        <f t="shared" ca="1" si="12"/>
        <v>44553</v>
      </c>
      <c r="AH128" s="13">
        <f t="shared" ca="1" si="13"/>
        <v>85</v>
      </c>
    </row>
    <row r="129" spans="1:34" x14ac:dyDescent="0.25">
      <c r="A129" s="13" t="s">
        <v>3</v>
      </c>
      <c r="B129" s="13" t="s">
        <v>3</v>
      </c>
      <c r="C129" s="13" t="s">
        <v>274</v>
      </c>
      <c r="D129" s="13" t="s">
        <v>736</v>
      </c>
      <c r="E129" s="13" t="s">
        <v>725</v>
      </c>
      <c r="F129" s="13">
        <v>28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9">
        <v>44468</v>
      </c>
      <c r="P129" s="110">
        <v>44476</v>
      </c>
      <c r="Q129" s="13" t="str">
        <f t="shared" si="7"/>
        <v>BARRCRD024128CADENASNUTRESA</v>
      </c>
      <c r="R129" s="2">
        <v>28</v>
      </c>
      <c r="S129" s="13">
        <v>28</v>
      </c>
      <c r="T129" s="123">
        <f t="shared" si="8"/>
        <v>1</v>
      </c>
      <c r="U129" s="13">
        <f t="shared" si="9"/>
        <v>0</v>
      </c>
      <c r="V129" s="123">
        <f t="shared" si="10"/>
        <v>0</v>
      </c>
      <c r="X129" s="13">
        <v>1</v>
      </c>
      <c r="Y129" s="13">
        <v>58</v>
      </c>
      <c r="Z129" s="13">
        <v>100</v>
      </c>
      <c r="AA129" s="13">
        <v>5800</v>
      </c>
      <c r="AB129" s="13">
        <v>162400</v>
      </c>
      <c r="AC129" s="13">
        <v>0.112778</v>
      </c>
      <c r="AD129" s="110">
        <f t="shared" si="11"/>
        <v>44472</v>
      </c>
      <c r="AE129" s="13" t="e">
        <f>IF(AND(AD129&lt;=$AI$4,#REF!&lt;1),1,"")</f>
        <v>#REF!</v>
      </c>
      <c r="AF129" s="110">
        <f t="shared" ca="1" si="12"/>
        <v>44553</v>
      </c>
      <c r="AH129" s="13">
        <f t="shared" ca="1" si="13"/>
        <v>85</v>
      </c>
    </row>
    <row r="130" spans="1:34" x14ac:dyDescent="0.25">
      <c r="A130" s="13" t="s">
        <v>4</v>
      </c>
      <c r="B130" s="13" t="s">
        <v>4</v>
      </c>
      <c r="C130" s="13" t="s">
        <v>274</v>
      </c>
      <c r="D130" s="13" t="s">
        <v>736</v>
      </c>
      <c r="E130" s="13" t="s">
        <v>725</v>
      </c>
      <c r="F130" s="13">
        <v>97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9">
        <v>44468</v>
      </c>
      <c r="P130" s="110">
        <v>44476</v>
      </c>
      <c r="Q130" s="13" t="str">
        <f t="shared" si="7"/>
        <v>BGTACRD024128CADENASNUTRESA</v>
      </c>
      <c r="R130" s="2">
        <v>97</v>
      </c>
      <c r="S130" s="13">
        <v>97</v>
      </c>
      <c r="T130" s="123">
        <f t="shared" si="8"/>
        <v>1</v>
      </c>
      <c r="U130" s="13">
        <f t="shared" si="9"/>
        <v>0</v>
      </c>
      <c r="V130" s="123">
        <f t="shared" si="10"/>
        <v>0</v>
      </c>
      <c r="X130" s="13">
        <v>1</v>
      </c>
      <c r="Y130" s="13">
        <v>58</v>
      </c>
      <c r="Z130" s="13">
        <v>100</v>
      </c>
      <c r="AA130" s="13">
        <v>5800</v>
      </c>
      <c r="AB130" s="13">
        <v>562600</v>
      </c>
      <c r="AC130" s="13">
        <v>0.39069399999999999</v>
      </c>
      <c r="AD130" s="110">
        <f t="shared" si="11"/>
        <v>44472</v>
      </c>
      <c r="AE130" s="13" t="e">
        <f>IF(AND(AD130&lt;=$AI$4,#REF!&lt;1),1,"")</f>
        <v>#REF!</v>
      </c>
      <c r="AF130" s="110">
        <f t="shared" ca="1" si="12"/>
        <v>44553</v>
      </c>
      <c r="AH130" s="13">
        <f t="shared" ca="1" si="13"/>
        <v>85</v>
      </c>
    </row>
    <row r="131" spans="1:34" x14ac:dyDescent="0.25">
      <c r="A131" s="13" t="s">
        <v>5</v>
      </c>
      <c r="B131" s="13" t="s">
        <v>5</v>
      </c>
      <c r="C131" s="13" t="s">
        <v>274</v>
      </c>
      <c r="D131" s="13" t="s">
        <v>736</v>
      </c>
      <c r="E131" s="13" t="s">
        <v>725</v>
      </c>
      <c r="F131" s="13">
        <v>22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9">
        <v>44468</v>
      </c>
      <c r="P131" s="110">
        <v>44476</v>
      </c>
      <c r="Q131" s="13" t="str">
        <f t="shared" ref="Q131:Q194" si="14">+CONCATENATE(B131,C131,H131,I131)</f>
        <v>BUCACRD024128CADENASNUTRESA</v>
      </c>
      <c r="R131" s="2">
        <v>22</v>
      </c>
      <c r="S131" s="13">
        <v>22</v>
      </c>
      <c r="T131" s="123">
        <f t="shared" ref="T131:T194" si="15">IFERROR(R131/F131,0)</f>
        <v>1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1</v>
      </c>
      <c r="Y131" s="13">
        <v>58</v>
      </c>
      <c r="Z131" s="13">
        <v>100</v>
      </c>
      <c r="AA131" s="13">
        <v>5800</v>
      </c>
      <c r="AB131" s="13">
        <v>127600</v>
      </c>
      <c r="AC131" s="13">
        <v>8.8610999999999995E-2</v>
      </c>
      <c r="AD131" s="110">
        <f t="shared" ref="AD131:AD194" si="18">K131+4</f>
        <v>44472</v>
      </c>
      <c r="AE131" s="13" t="e">
        <f>IF(AND(AD131&lt;=$AI$4,#REF!&lt;1),1,"")</f>
        <v>#REF!</v>
      </c>
      <c r="AF131" s="110">
        <f t="shared" ref="AF131:AF194" ca="1" si="19">TODAY()</f>
        <v>44553</v>
      </c>
      <c r="AH131" s="13">
        <f t="shared" ref="AH131:AH194" ca="1" si="20">AF131-K131</f>
        <v>85</v>
      </c>
    </row>
    <row r="132" spans="1:34" x14ac:dyDescent="0.25">
      <c r="A132" s="13" t="s">
        <v>6</v>
      </c>
      <c r="B132" s="13" t="s">
        <v>6</v>
      </c>
      <c r="C132" s="13" t="s">
        <v>274</v>
      </c>
      <c r="D132" s="13" t="s">
        <v>736</v>
      </c>
      <c r="E132" s="13" t="s">
        <v>725</v>
      </c>
      <c r="F132" s="13">
        <v>20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9">
        <v>44468</v>
      </c>
      <c r="P132" s="110">
        <v>44476</v>
      </c>
      <c r="Q132" s="13" t="str">
        <f t="shared" si="14"/>
        <v>CALICRD024128CADENASNUTRESA</v>
      </c>
      <c r="R132" s="2">
        <v>20</v>
      </c>
      <c r="S132" s="13">
        <v>20</v>
      </c>
      <c r="T132" s="123">
        <f t="shared" si="15"/>
        <v>1</v>
      </c>
      <c r="U132" s="13">
        <f t="shared" si="16"/>
        <v>0</v>
      </c>
      <c r="V132" s="123">
        <f t="shared" si="17"/>
        <v>0</v>
      </c>
      <c r="X132" s="13">
        <v>1</v>
      </c>
      <c r="Y132" s="13">
        <v>58</v>
      </c>
      <c r="Z132" s="13">
        <v>100</v>
      </c>
      <c r="AA132" s="13">
        <v>5800</v>
      </c>
      <c r="AB132" s="13">
        <v>116000</v>
      </c>
      <c r="AC132" s="13">
        <v>8.0556000000000003E-2</v>
      </c>
      <c r="AD132" s="110">
        <f t="shared" si="18"/>
        <v>44472</v>
      </c>
      <c r="AE132" s="13" t="e">
        <f>IF(AND(AD132&lt;=$AI$4,#REF!&lt;1),1,"")</f>
        <v>#REF!</v>
      </c>
      <c r="AF132" s="110">
        <f t="shared" ca="1" si="19"/>
        <v>44553</v>
      </c>
      <c r="AH132" s="13">
        <f t="shared" ca="1" si="20"/>
        <v>85</v>
      </c>
    </row>
    <row r="133" spans="1:34" x14ac:dyDescent="0.25">
      <c r="A133" s="13" t="s">
        <v>7</v>
      </c>
      <c r="B133" s="13" t="s">
        <v>7</v>
      </c>
      <c r="C133" s="13" t="s">
        <v>274</v>
      </c>
      <c r="D133" s="13" t="s">
        <v>736</v>
      </c>
      <c r="E133" s="13" t="s">
        <v>725</v>
      </c>
      <c r="F133" s="13">
        <v>17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9">
        <v>44468</v>
      </c>
      <c r="P133" s="110">
        <v>44476</v>
      </c>
      <c r="Q133" s="13" t="str">
        <f t="shared" si="14"/>
        <v>CARTCRD024128CADENASNUTRESA</v>
      </c>
      <c r="R133" s="2">
        <v>17</v>
      </c>
      <c r="S133" s="13">
        <v>17</v>
      </c>
      <c r="T133" s="123">
        <f t="shared" si="15"/>
        <v>1</v>
      </c>
      <c r="U133" s="13">
        <f t="shared" si="16"/>
        <v>0</v>
      </c>
      <c r="V133" s="123">
        <f t="shared" si="17"/>
        <v>0</v>
      </c>
      <c r="X133" s="13">
        <v>1</v>
      </c>
      <c r="Y133" s="13">
        <v>58</v>
      </c>
      <c r="Z133" s="13">
        <v>100</v>
      </c>
      <c r="AA133" s="13">
        <v>5800</v>
      </c>
      <c r="AB133" s="13">
        <v>98600</v>
      </c>
      <c r="AC133" s="13">
        <v>6.8472000000000005E-2</v>
      </c>
      <c r="AD133" s="110">
        <f t="shared" si="18"/>
        <v>44472</v>
      </c>
      <c r="AE133" s="13" t="e">
        <f>IF(AND(AD133&lt;=$AI$4,#REF!&lt;1),1,"")</f>
        <v>#REF!</v>
      </c>
      <c r="AF133" s="110">
        <f t="shared" ca="1" si="19"/>
        <v>44553</v>
      </c>
      <c r="AH133" s="13">
        <f t="shared" ca="1" si="20"/>
        <v>85</v>
      </c>
    </row>
    <row r="134" spans="1:34" x14ac:dyDescent="0.25">
      <c r="A134" s="13" t="s">
        <v>9</v>
      </c>
      <c r="B134" s="13" t="s">
        <v>9</v>
      </c>
      <c r="C134" s="13" t="s">
        <v>274</v>
      </c>
      <c r="D134" s="13" t="s">
        <v>736</v>
      </c>
      <c r="E134" s="13" t="s">
        <v>725</v>
      </c>
      <c r="F134" s="13">
        <v>61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9">
        <v>44468</v>
      </c>
      <c r="P134" s="110">
        <v>44469</v>
      </c>
      <c r="Q134" s="13" t="str">
        <f t="shared" si="14"/>
        <v>MEDECRD024128CADENASNUTRESA</v>
      </c>
      <c r="R134" s="2">
        <v>61</v>
      </c>
      <c r="S134" s="13">
        <v>61</v>
      </c>
      <c r="T134" s="123">
        <f t="shared" si="15"/>
        <v>1</v>
      </c>
      <c r="U134" s="13">
        <f t="shared" si="16"/>
        <v>0</v>
      </c>
      <c r="V134" s="123">
        <f t="shared" si="17"/>
        <v>0</v>
      </c>
      <c r="X134" s="13">
        <v>1</v>
      </c>
      <c r="Y134" s="13">
        <v>58</v>
      </c>
      <c r="Z134" s="13">
        <v>100</v>
      </c>
      <c r="AA134" s="13">
        <v>5800</v>
      </c>
      <c r="AB134" s="13">
        <v>353800</v>
      </c>
      <c r="AC134" s="13">
        <v>0.245694</v>
      </c>
      <c r="AD134" s="110">
        <f t="shared" si="18"/>
        <v>44472</v>
      </c>
      <c r="AE134" s="13" t="e">
        <f>IF(AND(AD134&lt;=$AI$4,#REF!&lt;1),1,"")</f>
        <v>#REF!</v>
      </c>
      <c r="AF134" s="110">
        <f t="shared" ca="1" si="19"/>
        <v>44553</v>
      </c>
      <c r="AH134" s="13">
        <f t="shared" ca="1" si="20"/>
        <v>85</v>
      </c>
    </row>
    <row r="135" spans="1:34" x14ac:dyDescent="0.25">
      <c r="A135" s="13" t="s">
        <v>10</v>
      </c>
      <c r="B135" s="13" t="s">
        <v>10</v>
      </c>
      <c r="C135" s="13" t="s">
        <v>274</v>
      </c>
      <c r="D135" s="13" t="s">
        <v>736</v>
      </c>
      <c r="E135" s="13" t="s">
        <v>725</v>
      </c>
      <c r="F135" s="13">
        <v>16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9">
        <v>44468</v>
      </c>
      <c r="P135" s="110">
        <v>44476</v>
      </c>
      <c r="Q135" s="13" t="str">
        <f t="shared" si="14"/>
        <v>PERECRD024128CADENASNUTRESA</v>
      </c>
      <c r="R135" s="2">
        <v>16</v>
      </c>
      <c r="S135" s="13">
        <v>16</v>
      </c>
      <c r="T135" s="123">
        <f t="shared" si="15"/>
        <v>1</v>
      </c>
      <c r="U135" s="13">
        <f t="shared" si="16"/>
        <v>0</v>
      </c>
      <c r="V135" s="123">
        <f t="shared" si="17"/>
        <v>0</v>
      </c>
      <c r="X135" s="13">
        <v>1</v>
      </c>
      <c r="Y135" s="13">
        <v>58</v>
      </c>
      <c r="Z135" s="13">
        <v>100</v>
      </c>
      <c r="AA135" s="13">
        <v>5800</v>
      </c>
      <c r="AB135" s="13">
        <v>92800</v>
      </c>
      <c r="AC135" s="13">
        <v>6.4444000000000001E-2</v>
      </c>
      <c r="AD135" s="110">
        <f t="shared" si="18"/>
        <v>44472</v>
      </c>
      <c r="AE135" s="13" t="e">
        <f>IF(AND(AD135&lt;=$AI$4,#REF!&lt;1),1,"")</f>
        <v>#REF!</v>
      </c>
      <c r="AF135" s="110">
        <f t="shared" ca="1" si="19"/>
        <v>44553</v>
      </c>
      <c r="AH135" s="13">
        <f t="shared" ca="1" si="20"/>
        <v>85</v>
      </c>
    </row>
    <row r="136" spans="1:34" x14ac:dyDescent="0.25">
      <c r="A136" s="13" t="s">
        <v>3</v>
      </c>
      <c r="B136" s="13" t="s">
        <v>3</v>
      </c>
      <c r="C136" s="13" t="s">
        <v>275</v>
      </c>
      <c r="D136" s="13" t="s">
        <v>737</v>
      </c>
      <c r="E136" s="13" t="s">
        <v>725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9">
        <v>44468</v>
      </c>
      <c r="P136" s="110">
        <v>44476</v>
      </c>
      <c r="Q136" s="13" t="str">
        <f t="shared" si="14"/>
        <v>BARRCRD024129CADENASNUTRESA</v>
      </c>
      <c r="R136" s="2">
        <v>1</v>
      </c>
      <c r="S136" s="13">
        <v>1</v>
      </c>
      <c r="T136" s="123">
        <f t="shared" si="15"/>
        <v>1</v>
      </c>
      <c r="U136" s="13">
        <f t="shared" si="16"/>
        <v>0</v>
      </c>
      <c r="V136" s="123">
        <f t="shared" si="17"/>
        <v>0</v>
      </c>
      <c r="X136" s="13">
        <v>14</v>
      </c>
      <c r="Y136" s="13">
        <v>77</v>
      </c>
      <c r="Z136" s="13">
        <v>138</v>
      </c>
      <c r="AA136" s="13">
        <v>170240</v>
      </c>
      <c r="AB136" s="13">
        <v>170240</v>
      </c>
      <c r="AC136" s="13">
        <v>0.11822199999999999</v>
      </c>
      <c r="AD136" s="110">
        <f t="shared" si="18"/>
        <v>44472</v>
      </c>
      <c r="AE136" s="13" t="e">
        <f>IF(AND(AD136&lt;=$AI$4,#REF!&lt;1),1,"")</f>
        <v>#REF!</v>
      </c>
      <c r="AF136" s="110">
        <f t="shared" ca="1" si="19"/>
        <v>44553</v>
      </c>
      <c r="AH136" s="13">
        <f t="shared" ca="1" si="20"/>
        <v>85</v>
      </c>
    </row>
    <row r="137" spans="1:34" x14ac:dyDescent="0.25">
      <c r="A137" s="13" t="s">
        <v>4</v>
      </c>
      <c r="B137" s="13" t="s">
        <v>4</v>
      </c>
      <c r="C137" s="13" t="s">
        <v>275</v>
      </c>
      <c r="D137" s="13" t="s">
        <v>737</v>
      </c>
      <c r="E137" s="13" t="s">
        <v>725</v>
      </c>
      <c r="F137" s="13">
        <v>3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9">
        <v>44468</v>
      </c>
      <c r="P137" s="110">
        <v>44476</v>
      </c>
      <c r="Q137" s="13" t="str">
        <f t="shared" si="14"/>
        <v>BGTACRD024129CADENASNUTRESA</v>
      </c>
      <c r="R137" s="2">
        <v>3</v>
      </c>
      <c r="S137" s="13">
        <v>3</v>
      </c>
      <c r="T137" s="123">
        <f t="shared" si="15"/>
        <v>1</v>
      </c>
      <c r="U137" s="13">
        <f t="shared" si="16"/>
        <v>0</v>
      </c>
      <c r="V137" s="123">
        <f t="shared" si="17"/>
        <v>0</v>
      </c>
      <c r="X137" s="13">
        <v>14</v>
      </c>
      <c r="Y137" s="13">
        <v>77</v>
      </c>
      <c r="Z137" s="13">
        <v>138</v>
      </c>
      <c r="AA137" s="13">
        <v>170240</v>
      </c>
      <c r="AB137" s="13">
        <v>510720</v>
      </c>
      <c r="AC137" s="13">
        <v>0.35466700000000001</v>
      </c>
      <c r="AD137" s="110">
        <f t="shared" si="18"/>
        <v>44472</v>
      </c>
      <c r="AE137" s="13" t="e">
        <f>IF(AND(AD137&lt;=$AI$4,#REF!&lt;1),1,"")</f>
        <v>#REF!</v>
      </c>
      <c r="AF137" s="110">
        <f t="shared" ca="1" si="19"/>
        <v>44553</v>
      </c>
      <c r="AH137" s="13">
        <f t="shared" ca="1" si="20"/>
        <v>85</v>
      </c>
    </row>
    <row r="138" spans="1:34" x14ac:dyDescent="0.25">
      <c r="A138" s="13" t="s">
        <v>6</v>
      </c>
      <c r="B138" s="13" t="s">
        <v>6</v>
      </c>
      <c r="C138" s="13" t="s">
        <v>275</v>
      </c>
      <c r="D138" s="13" t="s">
        <v>737</v>
      </c>
      <c r="E138" s="13" t="s">
        <v>725</v>
      </c>
      <c r="F138" s="13">
        <v>2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9">
        <v>44468</v>
      </c>
      <c r="P138" s="110">
        <v>44476</v>
      </c>
      <c r="Q138" s="13" t="str">
        <f t="shared" si="14"/>
        <v>CALICRD024129CADENASNUTRESA</v>
      </c>
      <c r="R138" s="2">
        <v>2</v>
      </c>
      <c r="S138" s="13">
        <v>2</v>
      </c>
      <c r="T138" s="123">
        <f t="shared" si="15"/>
        <v>1</v>
      </c>
      <c r="U138" s="13">
        <f t="shared" si="16"/>
        <v>0</v>
      </c>
      <c r="V138" s="123">
        <f t="shared" si="17"/>
        <v>0</v>
      </c>
      <c r="X138" s="13">
        <v>14</v>
      </c>
      <c r="Y138" s="13">
        <v>77</v>
      </c>
      <c r="Z138" s="13">
        <v>138</v>
      </c>
      <c r="AA138" s="13">
        <v>170240</v>
      </c>
      <c r="AB138" s="13">
        <v>340480</v>
      </c>
      <c r="AC138" s="13">
        <v>0.23644399999999999</v>
      </c>
      <c r="AD138" s="110">
        <f t="shared" si="18"/>
        <v>44472</v>
      </c>
      <c r="AE138" s="13" t="e">
        <f>IF(AND(AD138&lt;=$AI$4,#REF!&lt;1),1,"")</f>
        <v>#REF!</v>
      </c>
      <c r="AF138" s="110">
        <f t="shared" ca="1" si="19"/>
        <v>44553</v>
      </c>
      <c r="AH138" s="13">
        <f t="shared" ca="1" si="20"/>
        <v>85</v>
      </c>
    </row>
    <row r="139" spans="1:34" x14ac:dyDescent="0.25">
      <c r="A139" s="13" t="s">
        <v>7</v>
      </c>
      <c r="B139" s="13" t="s">
        <v>7</v>
      </c>
      <c r="C139" s="13" t="s">
        <v>275</v>
      </c>
      <c r="D139" s="13" t="s">
        <v>737</v>
      </c>
      <c r="E139" s="13" t="s">
        <v>725</v>
      </c>
      <c r="F139" s="13">
        <v>1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9">
        <v>44468</v>
      </c>
      <c r="P139" s="110">
        <v>44476</v>
      </c>
      <c r="Q139" s="13" t="str">
        <f t="shared" si="14"/>
        <v>CARTCRD024129CADENASNUTRESA</v>
      </c>
      <c r="R139" s="2">
        <v>1</v>
      </c>
      <c r="S139" s="13">
        <v>1</v>
      </c>
      <c r="T139" s="123">
        <f t="shared" si="15"/>
        <v>1</v>
      </c>
      <c r="U139" s="13">
        <f t="shared" si="16"/>
        <v>0</v>
      </c>
      <c r="V139" s="123">
        <f t="shared" si="17"/>
        <v>0</v>
      </c>
      <c r="X139" s="13">
        <v>14</v>
      </c>
      <c r="Y139" s="13">
        <v>77</v>
      </c>
      <c r="Z139" s="13">
        <v>138</v>
      </c>
      <c r="AA139" s="13">
        <v>170240</v>
      </c>
      <c r="AB139" s="13">
        <v>170240</v>
      </c>
      <c r="AC139" s="13">
        <v>0.11822199999999999</v>
      </c>
      <c r="AD139" s="110">
        <f t="shared" si="18"/>
        <v>44472</v>
      </c>
      <c r="AE139" s="13" t="e">
        <f>IF(AND(AD139&lt;=$AI$4,#REF!&lt;1),1,"")</f>
        <v>#REF!</v>
      </c>
      <c r="AF139" s="110">
        <f t="shared" ca="1" si="19"/>
        <v>44553</v>
      </c>
      <c r="AH139" s="13">
        <f t="shared" ca="1" si="20"/>
        <v>85</v>
      </c>
    </row>
    <row r="140" spans="1:34" x14ac:dyDescent="0.25">
      <c r="A140" s="13" t="s">
        <v>8</v>
      </c>
      <c r="B140" s="13" t="s">
        <v>8</v>
      </c>
      <c r="C140" s="13" t="s">
        <v>275</v>
      </c>
      <c r="D140" s="13" t="s">
        <v>737</v>
      </c>
      <c r="E140" s="13" t="s">
        <v>725</v>
      </c>
      <c r="F140" s="13">
        <v>11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9">
        <v>44468</v>
      </c>
      <c r="P140" s="110">
        <v>44476</v>
      </c>
      <c r="Q140" s="13" t="str">
        <f t="shared" si="14"/>
        <v>IBA1CRD024129CADENASNUTRESA</v>
      </c>
      <c r="R140" s="2">
        <v>11</v>
      </c>
      <c r="S140" s="13">
        <v>10</v>
      </c>
      <c r="T140" s="123">
        <f t="shared" si="15"/>
        <v>1</v>
      </c>
      <c r="U140" s="13">
        <f t="shared" si="16"/>
        <v>1</v>
      </c>
      <c r="V140" s="123">
        <f t="shared" si="17"/>
        <v>9.0909090909090912E-2</v>
      </c>
      <c r="X140" s="13">
        <v>14</v>
      </c>
      <c r="Y140" s="13">
        <v>77</v>
      </c>
      <c r="Z140" s="13">
        <v>138</v>
      </c>
      <c r="AA140" s="13">
        <v>170240</v>
      </c>
      <c r="AB140" s="13">
        <v>1872640</v>
      </c>
      <c r="AC140" s="13">
        <v>1.3004439999999999</v>
      </c>
      <c r="AD140" s="110">
        <f t="shared" si="18"/>
        <v>44472</v>
      </c>
      <c r="AE140" s="13" t="e">
        <f>IF(AND(AD140&lt;=$AI$4,#REF!&lt;1),1,"")</f>
        <v>#REF!</v>
      </c>
      <c r="AF140" s="110">
        <f t="shared" ca="1" si="19"/>
        <v>44553</v>
      </c>
      <c r="AH140" s="13">
        <f t="shared" ca="1" si="20"/>
        <v>85</v>
      </c>
    </row>
    <row r="141" spans="1:34" x14ac:dyDescent="0.25">
      <c r="A141" s="13" t="s">
        <v>10</v>
      </c>
      <c r="B141" s="13" t="s">
        <v>10</v>
      </c>
      <c r="C141" s="13" t="s">
        <v>275</v>
      </c>
      <c r="D141" s="13" t="s">
        <v>737</v>
      </c>
      <c r="E141" s="13" t="s">
        <v>725</v>
      </c>
      <c r="F141" s="13">
        <v>3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9">
        <v>44468</v>
      </c>
      <c r="P141" s="110">
        <v>44476</v>
      </c>
      <c r="Q141" s="13" t="str">
        <f t="shared" si="14"/>
        <v>PERECRD024129CADENASNUTRESA</v>
      </c>
      <c r="R141" s="2">
        <v>3</v>
      </c>
      <c r="S141" s="13">
        <v>3</v>
      </c>
      <c r="T141" s="123">
        <f t="shared" si="15"/>
        <v>1</v>
      </c>
      <c r="U141" s="13">
        <f t="shared" si="16"/>
        <v>0</v>
      </c>
      <c r="V141" s="123">
        <f t="shared" si="17"/>
        <v>0</v>
      </c>
      <c r="X141" s="13">
        <v>14</v>
      </c>
      <c r="Y141" s="13">
        <v>77</v>
      </c>
      <c r="Z141" s="13">
        <v>138</v>
      </c>
      <c r="AA141" s="13">
        <v>170240</v>
      </c>
      <c r="AB141" s="13">
        <v>510720</v>
      </c>
      <c r="AC141" s="13">
        <v>0.35466700000000001</v>
      </c>
      <c r="AD141" s="110">
        <f t="shared" si="18"/>
        <v>44472</v>
      </c>
      <c r="AE141" s="13" t="e">
        <f>IF(AND(AD141&lt;=$AI$4,#REF!&lt;1),1,"")</f>
        <v>#REF!</v>
      </c>
      <c r="AF141" s="110">
        <f t="shared" ca="1" si="19"/>
        <v>44553</v>
      </c>
      <c r="AH141" s="13">
        <f t="shared" ca="1" si="20"/>
        <v>85</v>
      </c>
    </row>
    <row r="142" spans="1:34" x14ac:dyDescent="0.25">
      <c r="A142" s="13" t="s">
        <v>4</v>
      </c>
      <c r="B142" s="13" t="s">
        <v>4</v>
      </c>
      <c r="C142" s="13" t="s">
        <v>276</v>
      </c>
      <c r="D142" s="13" t="s">
        <v>738</v>
      </c>
      <c r="E142" s="13" t="s">
        <v>725</v>
      </c>
      <c r="F142" s="13">
        <v>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9">
        <v>44468</v>
      </c>
      <c r="P142" s="110">
        <v>44476</v>
      </c>
      <c r="Q142" s="13" t="str">
        <f t="shared" si="14"/>
        <v>BGTACRD024130CADENASNUTRESA</v>
      </c>
      <c r="R142" s="2">
        <v>1</v>
      </c>
      <c r="S142" s="13">
        <v>1</v>
      </c>
      <c r="T142" s="123">
        <f t="shared" si="15"/>
        <v>1</v>
      </c>
      <c r="U142" s="13">
        <f t="shared" si="16"/>
        <v>0</v>
      </c>
      <c r="V142" s="123">
        <f t="shared" si="17"/>
        <v>0</v>
      </c>
      <c r="X142" s="13">
        <v>86</v>
      </c>
      <c r="Y142" s="13">
        <v>38</v>
      </c>
      <c r="Z142" s="13">
        <v>136</v>
      </c>
      <c r="AA142" s="13">
        <v>288960</v>
      </c>
      <c r="AB142" s="13">
        <v>288960</v>
      </c>
      <c r="AC142" s="13">
        <v>0.20066700000000001</v>
      </c>
      <c r="AD142" s="110">
        <f t="shared" si="18"/>
        <v>44472</v>
      </c>
      <c r="AE142" s="13" t="e">
        <f>IF(AND(AD142&lt;=$AI$4,#REF!&lt;1),1,"")</f>
        <v>#REF!</v>
      </c>
      <c r="AF142" s="110">
        <f t="shared" ca="1" si="19"/>
        <v>44553</v>
      </c>
      <c r="AH142" s="13">
        <f t="shared" ca="1" si="20"/>
        <v>85</v>
      </c>
    </row>
    <row r="143" spans="1:34" x14ac:dyDescent="0.25">
      <c r="A143" s="13" t="s">
        <v>6</v>
      </c>
      <c r="B143" s="13" t="s">
        <v>6</v>
      </c>
      <c r="C143" s="13" t="s">
        <v>276</v>
      </c>
      <c r="D143" s="13" t="s">
        <v>738</v>
      </c>
      <c r="E143" s="13" t="s">
        <v>725</v>
      </c>
      <c r="F143" s="13">
        <v>2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9">
        <v>44468</v>
      </c>
      <c r="P143" s="110">
        <v>44476</v>
      </c>
      <c r="Q143" s="13" t="str">
        <f t="shared" si="14"/>
        <v>CALICRD024130CADENASNUTRESA</v>
      </c>
      <c r="R143" s="2">
        <v>2</v>
      </c>
      <c r="S143" s="13">
        <v>2</v>
      </c>
      <c r="T143" s="123">
        <f t="shared" si="15"/>
        <v>1</v>
      </c>
      <c r="U143" s="13">
        <f t="shared" si="16"/>
        <v>0</v>
      </c>
      <c r="V143" s="123">
        <f t="shared" si="17"/>
        <v>0</v>
      </c>
      <c r="X143" s="13">
        <v>86</v>
      </c>
      <c r="Y143" s="13">
        <v>38</v>
      </c>
      <c r="Z143" s="13">
        <v>136</v>
      </c>
      <c r="AA143" s="13">
        <v>288960</v>
      </c>
      <c r="AB143" s="13">
        <v>577920</v>
      </c>
      <c r="AC143" s="13">
        <v>0.401333</v>
      </c>
      <c r="AD143" s="110">
        <f t="shared" si="18"/>
        <v>44472</v>
      </c>
      <c r="AE143" s="13" t="e">
        <f>IF(AND(AD143&lt;=$AI$4,#REF!&lt;1),1,"")</f>
        <v>#REF!</v>
      </c>
      <c r="AF143" s="110">
        <f t="shared" ca="1" si="19"/>
        <v>44553</v>
      </c>
      <c r="AH143" s="13">
        <f t="shared" ca="1" si="20"/>
        <v>85</v>
      </c>
    </row>
    <row r="144" spans="1:34" x14ac:dyDescent="0.25">
      <c r="A144" s="13" t="s">
        <v>10</v>
      </c>
      <c r="B144" s="13" t="s">
        <v>10</v>
      </c>
      <c r="C144" s="13" t="s">
        <v>276</v>
      </c>
      <c r="D144" s="13" t="s">
        <v>738</v>
      </c>
      <c r="E144" s="13" t="s">
        <v>725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9">
        <v>44468</v>
      </c>
      <c r="P144" s="110">
        <v>44476</v>
      </c>
      <c r="Q144" s="13" t="str">
        <f t="shared" si="14"/>
        <v>PERECRD024130CADENASNUTRESA</v>
      </c>
      <c r="R144" s="2">
        <v>1</v>
      </c>
      <c r="S144" s="13">
        <v>1</v>
      </c>
      <c r="T144" s="123">
        <f t="shared" si="15"/>
        <v>1</v>
      </c>
      <c r="U144" s="13">
        <f t="shared" si="16"/>
        <v>0</v>
      </c>
      <c r="V144" s="123">
        <f t="shared" si="17"/>
        <v>0</v>
      </c>
      <c r="X144" s="13">
        <v>86</v>
      </c>
      <c r="Y144" s="13">
        <v>38</v>
      </c>
      <c r="Z144" s="13">
        <v>136</v>
      </c>
      <c r="AA144" s="13">
        <v>288960</v>
      </c>
      <c r="AB144" s="13">
        <v>288960</v>
      </c>
      <c r="AC144" s="13">
        <v>0.20066700000000001</v>
      </c>
      <c r="AD144" s="110">
        <f t="shared" si="18"/>
        <v>44472</v>
      </c>
      <c r="AE144" s="13" t="e">
        <f>IF(AND(AD144&lt;=$AI$4,#REF!&lt;1),1,"")</f>
        <v>#REF!</v>
      </c>
      <c r="AF144" s="110">
        <f t="shared" ca="1" si="19"/>
        <v>44553</v>
      </c>
      <c r="AH144" s="13">
        <f t="shared" ca="1" si="20"/>
        <v>85</v>
      </c>
    </row>
    <row r="145" spans="1:34" x14ac:dyDescent="0.25">
      <c r="A145" s="13" t="s">
        <v>3</v>
      </c>
      <c r="B145" s="13" t="s">
        <v>3</v>
      </c>
      <c r="C145" s="13" t="s">
        <v>277</v>
      </c>
      <c r="D145" s="13" t="s">
        <v>278</v>
      </c>
      <c r="E145" s="13" t="s">
        <v>731</v>
      </c>
      <c r="F145" s="13">
        <v>21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9">
        <v>44468</v>
      </c>
      <c r="P145" s="110">
        <v>44476</v>
      </c>
      <c r="Q145" s="13" t="str">
        <f t="shared" si="14"/>
        <v>BARRCRD024131CADENASNUTRESA</v>
      </c>
      <c r="R145" s="2">
        <v>21</v>
      </c>
      <c r="S145" s="13">
        <v>21</v>
      </c>
      <c r="T145" s="123">
        <f t="shared" si="15"/>
        <v>1</v>
      </c>
      <c r="U145" s="13">
        <f t="shared" si="16"/>
        <v>0</v>
      </c>
      <c r="V145" s="123">
        <f t="shared" si="17"/>
        <v>0</v>
      </c>
      <c r="X145" s="13">
        <v>5</v>
      </c>
      <c r="Y145" s="13">
        <v>5</v>
      </c>
      <c r="Z145" s="13">
        <v>30</v>
      </c>
      <c r="AA145" s="13">
        <v>1470</v>
      </c>
      <c r="AB145" s="13">
        <v>30870</v>
      </c>
      <c r="AC145" s="13">
        <v>2.1437999999999999E-2</v>
      </c>
      <c r="AD145" s="110">
        <f t="shared" si="18"/>
        <v>44472</v>
      </c>
      <c r="AE145" s="13" t="e">
        <f>IF(AND(AD145&lt;=$AI$4,#REF!&lt;1),1,"")</f>
        <v>#REF!</v>
      </c>
      <c r="AF145" s="110">
        <f t="shared" ca="1" si="19"/>
        <v>44553</v>
      </c>
      <c r="AH145" s="13">
        <f t="shared" ca="1" si="20"/>
        <v>85</v>
      </c>
    </row>
    <row r="146" spans="1:34" x14ac:dyDescent="0.25">
      <c r="A146" s="13" t="s">
        <v>4</v>
      </c>
      <c r="B146" s="13" t="s">
        <v>4</v>
      </c>
      <c r="C146" s="13" t="s">
        <v>277</v>
      </c>
      <c r="D146" s="13" t="s">
        <v>278</v>
      </c>
      <c r="E146" s="13" t="s">
        <v>731</v>
      </c>
      <c r="F146" s="13">
        <v>76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9">
        <v>44468</v>
      </c>
      <c r="P146" s="110">
        <v>44476</v>
      </c>
      <c r="Q146" s="13" t="str">
        <f t="shared" si="14"/>
        <v>BGTACRD024131CADENASNUTRESA</v>
      </c>
      <c r="R146" s="2">
        <v>76</v>
      </c>
      <c r="S146" s="13">
        <v>76</v>
      </c>
      <c r="T146" s="123">
        <f t="shared" si="15"/>
        <v>1</v>
      </c>
      <c r="U146" s="13">
        <f t="shared" si="16"/>
        <v>0</v>
      </c>
      <c r="V146" s="123">
        <f t="shared" si="17"/>
        <v>0</v>
      </c>
      <c r="X146" s="13">
        <v>5</v>
      </c>
      <c r="Y146" s="13">
        <v>5</v>
      </c>
      <c r="Z146" s="13">
        <v>30</v>
      </c>
      <c r="AA146" s="13">
        <v>1470</v>
      </c>
      <c r="AB146" s="13">
        <v>111720</v>
      </c>
      <c r="AC146" s="13">
        <v>7.7582999999999999E-2</v>
      </c>
      <c r="AD146" s="110">
        <f t="shared" si="18"/>
        <v>44472</v>
      </c>
      <c r="AE146" s="13" t="e">
        <f>IF(AND(AD146&lt;=$AI$4,#REF!&lt;1),1,"")</f>
        <v>#REF!</v>
      </c>
      <c r="AF146" s="110">
        <f t="shared" ca="1" si="19"/>
        <v>44553</v>
      </c>
      <c r="AH146" s="13">
        <f t="shared" ca="1" si="20"/>
        <v>85</v>
      </c>
    </row>
    <row r="147" spans="1:34" x14ac:dyDescent="0.25">
      <c r="A147" s="13" t="s">
        <v>5</v>
      </c>
      <c r="B147" s="13" t="s">
        <v>5</v>
      </c>
      <c r="C147" s="13" t="s">
        <v>277</v>
      </c>
      <c r="D147" s="13" t="s">
        <v>278</v>
      </c>
      <c r="E147" s="13" t="s">
        <v>731</v>
      </c>
      <c r="F147" s="13">
        <v>11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9">
        <v>44468</v>
      </c>
      <c r="P147" s="110">
        <v>44476</v>
      </c>
      <c r="Q147" s="13" t="str">
        <f t="shared" si="14"/>
        <v>BUCACRD024131CADENASNUTRESA</v>
      </c>
      <c r="R147" s="2">
        <v>11</v>
      </c>
      <c r="S147" s="13">
        <v>11</v>
      </c>
      <c r="T147" s="123">
        <f t="shared" si="15"/>
        <v>1</v>
      </c>
      <c r="U147" s="13">
        <f t="shared" si="16"/>
        <v>0</v>
      </c>
      <c r="V147" s="123">
        <f t="shared" si="17"/>
        <v>0</v>
      </c>
      <c r="X147" s="13">
        <v>5</v>
      </c>
      <c r="Y147" s="13">
        <v>5</v>
      </c>
      <c r="Z147" s="13">
        <v>30</v>
      </c>
      <c r="AA147" s="13">
        <v>1470</v>
      </c>
      <c r="AB147" s="13">
        <v>16170</v>
      </c>
      <c r="AC147" s="13">
        <v>1.1228999999999999E-2</v>
      </c>
      <c r="AD147" s="110">
        <f t="shared" si="18"/>
        <v>44472</v>
      </c>
      <c r="AE147" s="13" t="e">
        <f>IF(AND(AD147&lt;=$AI$4,#REF!&lt;1),1,"")</f>
        <v>#REF!</v>
      </c>
      <c r="AF147" s="110">
        <f t="shared" ca="1" si="19"/>
        <v>44553</v>
      </c>
      <c r="AH147" s="13">
        <f t="shared" ca="1" si="20"/>
        <v>85</v>
      </c>
    </row>
    <row r="148" spans="1:34" x14ac:dyDescent="0.25">
      <c r="A148" s="13" t="s">
        <v>6</v>
      </c>
      <c r="B148" s="13" t="s">
        <v>6</v>
      </c>
      <c r="C148" s="13" t="s">
        <v>277</v>
      </c>
      <c r="D148" s="13" t="s">
        <v>278</v>
      </c>
      <c r="E148" s="13" t="s">
        <v>731</v>
      </c>
      <c r="F148" s="13">
        <v>35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9">
        <v>44468</v>
      </c>
      <c r="P148" s="110">
        <v>44476</v>
      </c>
      <c r="Q148" s="13" t="str">
        <f t="shared" si="14"/>
        <v>CALICRD024131CADENASNUTRESA</v>
      </c>
      <c r="R148" s="2">
        <v>35</v>
      </c>
      <c r="S148" s="13">
        <v>35</v>
      </c>
      <c r="T148" s="123">
        <f t="shared" si="15"/>
        <v>1</v>
      </c>
      <c r="U148" s="13">
        <f t="shared" si="16"/>
        <v>0</v>
      </c>
      <c r="V148" s="123">
        <f t="shared" si="17"/>
        <v>0</v>
      </c>
      <c r="X148" s="13">
        <v>5</v>
      </c>
      <c r="Y148" s="13">
        <v>5</v>
      </c>
      <c r="Z148" s="13">
        <v>30</v>
      </c>
      <c r="AA148" s="13">
        <v>1470</v>
      </c>
      <c r="AB148" s="13">
        <v>51450</v>
      </c>
      <c r="AC148" s="13">
        <v>3.5728999999999997E-2</v>
      </c>
      <c r="AD148" s="110">
        <f t="shared" si="18"/>
        <v>44472</v>
      </c>
      <c r="AE148" s="13" t="e">
        <f>IF(AND(AD148&lt;=$AI$4,#REF!&lt;1),1,"")</f>
        <v>#REF!</v>
      </c>
      <c r="AF148" s="110">
        <f t="shared" ca="1" si="19"/>
        <v>44553</v>
      </c>
      <c r="AH148" s="13">
        <f t="shared" ca="1" si="20"/>
        <v>85</v>
      </c>
    </row>
    <row r="149" spans="1:34" x14ac:dyDescent="0.25">
      <c r="A149" s="13" t="s">
        <v>7</v>
      </c>
      <c r="B149" s="13" t="s">
        <v>7</v>
      </c>
      <c r="C149" s="13" t="s">
        <v>277</v>
      </c>
      <c r="D149" s="13" t="s">
        <v>278</v>
      </c>
      <c r="E149" s="13" t="s">
        <v>731</v>
      </c>
      <c r="F149" s="13">
        <v>18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9">
        <v>44468</v>
      </c>
      <c r="P149" s="110">
        <v>44476</v>
      </c>
      <c r="Q149" s="13" t="str">
        <f t="shared" si="14"/>
        <v>CARTCRD024131CADENASNUTRESA</v>
      </c>
      <c r="R149" s="2">
        <v>18</v>
      </c>
      <c r="S149" s="13">
        <v>18</v>
      </c>
      <c r="T149" s="123">
        <f t="shared" si="15"/>
        <v>1</v>
      </c>
      <c r="U149" s="13">
        <f t="shared" si="16"/>
        <v>0</v>
      </c>
      <c r="V149" s="123">
        <f t="shared" si="17"/>
        <v>0</v>
      </c>
      <c r="X149" s="13">
        <v>5</v>
      </c>
      <c r="Y149" s="13">
        <v>5</v>
      </c>
      <c r="Z149" s="13">
        <v>30</v>
      </c>
      <c r="AA149" s="13">
        <v>1470</v>
      </c>
      <c r="AB149" s="13">
        <v>26460</v>
      </c>
      <c r="AC149" s="13">
        <v>1.8374999999999999E-2</v>
      </c>
      <c r="AD149" s="110">
        <f t="shared" si="18"/>
        <v>44472</v>
      </c>
      <c r="AE149" s="13" t="e">
        <f>IF(AND(AD149&lt;=$AI$4,#REF!&lt;1),1,"")</f>
        <v>#REF!</v>
      </c>
      <c r="AF149" s="110">
        <f t="shared" ca="1" si="19"/>
        <v>44553</v>
      </c>
      <c r="AH149" s="13">
        <f t="shared" ca="1" si="20"/>
        <v>85</v>
      </c>
    </row>
    <row r="150" spans="1:34" x14ac:dyDescent="0.25">
      <c r="A150" s="13" t="s">
        <v>8</v>
      </c>
      <c r="B150" s="13" t="s">
        <v>8</v>
      </c>
      <c r="C150" s="13" t="s">
        <v>277</v>
      </c>
      <c r="D150" s="13" t="s">
        <v>278</v>
      </c>
      <c r="E150" s="13" t="s">
        <v>731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9">
        <v>44468</v>
      </c>
      <c r="P150" s="110">
        <v>44476</v>
      </c>
      <c r="Q150" s="13" t="str">
        <f t="shared" si="14"/>
        <v>IBA1CRD024131CADENASNUTRESA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5</v>
      </c>
      <c r="Y150" s="13">
        <v>5</v>
      </c>
      <c r="Z150" s="13">
        <v>30</v>
      </c>
      <c r="AA150" s="13">
        <v>1470</v>
      </c>
      <c r="AB150" s="13">
        <v>1470</v>
      </c>
      <c r="AC150" s="13">
        <v>1.021E-3</v>
      </c>
      <c r="AD150" s="110">
        <f t="shared" si="18"/>
        <v>44472</v>
      </c>
      <c r="AE150" s="13" t="e">
        <f>IF(AND(AD150&lt;=$AI$4,#REF!&lt;1),1,"")</f>
        <v>#REF!</v>
      </c>
      <c r="AF150" s="110">
        <f t="shared" ca="1" si="19"/>
        <v>44553</v>
      </c>
      <c r="AH150" s="13">
        <f t="shared" ca="1" si="20"/>
        <v>85</v>
      </c>
    </row>
    <row r="151" spans="1:34" x14ac:dyDescent="0.25">
      <c r="A151" s="13" t="s">
        <v>9</v>
      </c>
      <c r="B151" s="13" t="s">
        <v>9</v>
      </c>
      <c r="C151" s="13" t="s">
        <v>277</v>
      </c>
      <c r="D151" s="13" t="s">
        <v>278</v>
      </c>
      <c r="E151" s="13" t="s">
        <v>731</v>
      </c>
      <c r="F151" s="13">
        <v>70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9">
        <v>44468</v>
      </c>
      <c r="P151" s="110">
        <v>44476</v>
      </c>
      <c r="Q151" s="13" t="str">
        <f t="shared" si="14"/>
        <v>MEDECRD024131CADENASNUTRESA</v>
      </c>
      <c r="R151" s="2">
        <v>70</v>
      </c>
      <c r="S151" s="13">
        <v>70</v>
      </c>
      <c r="T151" s="123">
        <f t="shared" si="15"/>
        <v>1</v>
      </c>
      <c r="U151" s="13">
        <f t="shared" si="16"/>
        <v>0</v>
      </c>
      <c r="V151" s="123">
        <f t="shared" si="17"/>
        <v>0</v>
      </c>
      <c r="X151" s="13">
        <v>5</v>
      </c>
      <c r="Y151" s="13">
        <v>5</v>
      </c>
      <c r="Z151" s="13">
        <v>30</v>
      </c>
      <c r="AA151" s="13">
        <v>1470</v>
      </c>
      <c r="AB151" s="13">
        <v>102900</v>
      </c>
      <c r="AC151" s="13">
        <v>7.1457999999999994E-2</v>
      </c>
      <c r="AD151" s="110">
        <f t="shared" si="18"/>
        <v>44472</v>
      </c>
      <c r="AE151" s="13" t="e">
        <f>IF(AND(AD151&lt;=$AI$4,#REF!&lt;1),1,"")</f>
        <v>#REF!</v>
      </c>
      <c r="AF151" s="110">
        <f t="shared" ca="1" si="19"/>
        <v>44553</v>
      </c>
      <c r="AH151" s="13">
        <f t="shared" ca="1" si="20"/>
        <v>85</v>
      </c>
    </row>
    <row r="152" spans="1:34" x14ac:dyDescent="0.25">
      <c r="A152" s="13" t="s">
        <v>10</v>
      </c>
      <c r="B152" s="13" t="s">
        <v>10</v>
      </c>
      <c r="C152" s="13" t="s">
        <v>277</v>
      </c>
      <c r="D152" s="13" t="s">
        <v>278</v>
      </c>
      <c r="E152" s="13" t="s">
        <v>731</v>
      </c>
      <c r="F152" s="13">
        <v>19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9">
        <v>44468</v>
      </c>
      <c r="P152" s="110">
        <v>44476</v>
      </c>
      <c r="Q152" s="13" t="str">
        <f t="shared" si="14"/>
        <v>PERECRD024131CADENASNUTRESA</v>
      </c>
      <c r="R152" s="2">
        <v>19</v>
      </c>
      <c r="S152" s="13">
        <v>19</v>
      </c>
      <c r="T152" s="123">
        <f t="shared" si="15"/>
        <v>1</v>
      </c>
      <c r="U152" s="13">
        <f t="shared" si="16"/>
        <v>0</v>
      </c>
      <c r="V152" s="123">
        <f t="shared" si="17"/>
        <v>0</v>
      </c>
      <c r="X152" s="13">
        <v>5</v>
      </c>
      <c r="Y152" s="13">
        <v>5</v>
      </c>
      <c r="Z152" s="13">
        <v>30</v>
      </c>
      <c r="AA152" s="13">
        <v>1470</v>
      </c>
      <c r="AB152" s="13">
        <v>27930</v>
      </c>
      <c r="AC152" s="13">
        <v>1.9396E-2</v>
      </c>
      <c r="AD152" s="110">
        <f t="shared" si="18"/>
        <v>44472</v>
      </c>
      <c r="AE152" s="13" t="e">
        <f>IF(AND(AD152&lt;=$AI$4,#REF!&lt;1),1,"")</f>
        <v>#REF!</v>
      </c>
      <c r="AF152" s="110">
        <f t="shared" ca="1" si="19"/>
        <v>44553</v>
      </c>
      <c r="AH152" s="13">
        <f t="shared" ca="1" si="20"/>
        <v>85</v>
      </c>
    </row>
    <row r="153" spans="1:34" x14ac:dyDescent="0.25">
      <c r="A153" s="13" t="s">
        <v>3</v>
      </c>
      <c r="B153" s="13" t="s">
        <v>3</v>
      </c>
      <c r="C153" s="13" t="s">
        <v>294</v>
      </c>
      <c r="D153" s="13" t="s">
        <v>739</v>
      </c>
      <c r="E153" s="13" t="s">
        <v>725</v>
      </c>
      <c r="F153" s="13">
        <v>11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9">
        <v>44468</v>
      </c>
      <c r="P153" s="110">
        <v>44476</v>
      </c>
      <c r="Q153" s="13" t="str">
        <f t="shared" si="14"/>
        <v>BARRCRD024350CADENASNUTRESA</v>
      </c>
      <c r="R153" s="2">
        <v>11</v>
      </c>
      <c r="S153" s="13">
        <v>11</v>
      </c>
      <c r="T153" s="123">
        <f t="shared" si="15"/>
        <v>1</v>
      </c>
      <c r="U153" s="13">
        <f t="shared" si="16"/>
        <v>0</v>
      </c>
      <c r="V153" s="123">
        <f t="shared" si="17"/>
        <v>0</v>
      </c>
      <c r="X153" s="13">
        <v>90</v>
      </c>
      <c r="Y153" s="13">
        <v>53</v>
      </c>
      <c r="Z153" s="13">
        <v>1</v>
      </c>
      <c r="AA153" s="13">
        <v>27000</v>
      </c>
      <c r="AB153" s="13">
        <v>297000</v>
      </c>
      <c r="AC153" s="13">
        <v>0.20624999999999999</v>
      </c>
      <c r="AD153" s="110">
        <f t="shared" si="18"/>
        <v>44472</v>
      </c>
      <c r="AE153" s="13" t="e">
        <f>IF(AND(AD153&lt;=$AI$4,#REF!&lt;1),1,"")</f>
        <v>#REF!</v>
      </c>
      <c r="AF153" s="110">
        <f t="shared" ca="1" si="19"/>
        <v>44553</v>
      </c>
      <c r="AH153" s="13">
        <f t="shared" ca="1" si="20"/>
        <v>85</v>
      </c>
    </row>
    <row r="154" spans="1:34" x14ac:dyDescent="0.25">
      <c r="A154" s="13" t="s">
        <v>4</v>
      </c>
      <c r="B154" s="13" t="s">
        <v>4</v>
      </c>
      <c r="C154" s="13" t="s">
        <v>294</v>
      </c>
      <c r="D154" s="13" t="s">
        <v>739</v>
      </c>
      <c r="E154" s="13" t="s">
        <v>725</v>
      </c>
      <c r="F154" s="13">
        <v>16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9">
        <v>44468</v>
      </c>
      <c r="P154" s="110">
        <v>44476</v>
      </c>
      <c r="Q154" s="13" t="str">
        <f t="shared" si="14"/>
        <v>BGTACRD024350CADENASNUTRESA</v>
      </c>
      <c r="R154" s="2">
        <v>16</v>
      </c>
      <c r="S154" s="13">
        <v>16</v>
      </c>
      <c r="T154" s="123">
        <f t="shared" si="15"/>
        <v>1</v>
      </c>
      <c r="U154" s="13">
        <f t="shared" si="16"/>
        <v>0</v>
      </c>
      <c r="V154" s="123">
        <f t="shared" si="17"/>
        <v>0</v>
      </c>
      <c r="X154" s="13">
        <v>90</v>
      </c>
      <c r="Y154" s="13">
        <v>53</v>
      </c>
      <c r="Z154" s="13">
        <v>1</v>
      </c>
      <c r="AA154" s="13">
        <v>27000</v>
      </c>
      <c r="AB154" s="13">
        <v>432000</v>
      </c>
      <c r="AC154" s="13">
        <v>0.3</v>
      </c>
      <c r="AD154" s="110">
        <f t="shared" si="18"/>
        <v>44472</v>
      </c>
      <c r="AE154" s="13" t="e">
        <f>IF(AND(AD154&lt;=$AI$4,#REF!&lt;1),1,"")</f>
        <v>#REF!</v>
      </c>
      <c r="AF154" s="110">
        <f t="shared" ca="1" si="19"/>
        <v>44553</v>
      </c>
      <c r="AH154" s="13">
        <f t="shared" ca="1" si="20"/>
        <v>85</v>
      </c>
    </row>
    <row r="155" spans="1:34" x14ac:dyDescent="0.25">
      <c r="A155" s="13" t="s">
        <v>5</v>
      </c>
      <c r="B155" s="13" t="s">
        <v>5</v>
      </c>
      <c r="C155" s="13" t="s">
        <v>294</v>
      </c>
      <c r="D155" s="13" t="s">
        <v>739</v>
      </c>
      <c r="E155" s="13" t="s">
        <v>725</v>
      </c>
      <c r="F155" s="13">
        <v>4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9">
        <v>44468</v>
      </c>
      <c r="P155" s="110">
        <v>44476</v>
      </c>
      <c r="Q155" s="13" t="str">
        <f t="shared" si="14"/>
        <v>BUCACRD024350CADENASNUTRESA</v>
      </c>
      <c r="R155" s="2">
        <v>4</v>
      </c>
      <c r="S155" s="13">
        <v>4</v>
      </c>
      <c r="T155" s="123">
        <f t="shared" si="15"/>
        <v>1</v>
      </c>
      <c r="U155" s="13">
        <f t="shared" si="16"/>
        <v>0</v>
      </c>
      <c r="V155" s="123">
        <f t="shared" si="17"/>
        <v>0</v>
      </c>
      <c r="X155" s="13">
        <v>90</v>
      </c>
      <c r="Y155" s="13">
        <v>53</v>
      </c>
      <c r="Z155" s="13">
        <v>1</v>
      </c>
      <c r="AA155" s="13">
        <v>27000</v>
      </c>
      <c r="AB155" s="13">
        <v>108000</v>
      </c>
      <c r="AC155" s="13">
        <v>7.4999999999999997E-2</v>
      </c>
      <c r="AD155" s="110">
        <f t="shared" si="18"/>
        <v>44472</v>
      </c>
      <c r="AE155" s="13" t="e">
        <f>IF(AND(AD155&lt;=$AI$4,#REF!&lt;1),1,"")</f>
        <v>#REF!</v>
      </c>
      <c r="AF155" s="110">
        <f t="shared" ca="1" si="19"/>
        <v>44553</v>
      </c>
      <c r="AH155" s="13">
        <f t="shared" ca="1" si="20"/>
        <v>85</v>
      </c>
    </row>
    <row r="156" spans="1:34" x14ac:dyDescent="0.25">
      <c r="A156" s="13" t="s">
        <v>6</v>
      </c>
      <c r="B156" s="13" t="s">
        <v>6</v>
      </c>
      <c r="C156" s="13" t="s">
        <v>294</v>
      </c>
      <c r="D156" s="13" t="s">
        <v>739</v>
      </c>
      <c r="E156" s="13" t="s">
        <v>725</v>
      </c>
      <c r="F156" s="13">
        <v>8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9">
        <v>44468</v>
      </c>
      <c r="P156" s="110">
        <v>44476</v>
      </c>
      <c r="Q156" s="13" t="str">
        <f t="shared" si="14"/>
        <v>CALICRD024350CADENASNUTRESA</v>
      </c>
      <c r="R156" s="2">
        <v>8</v>
      </c>
      <c r="S156" s="13">
        <v>8</v>
      </c>
      <c r="T156" s="123">
        <f t="shared" si="15"/>
        <v>1</v>
      </c>
      <c r="U156" s="13">
        <f t="shared" si="16"/>
        <v>0</v>
      </c>
      <c r="V156" s="123">
        <f t="shared" si="17"/>
        <v>0</v>
      </c>
      <c r="X156" s="13">
        <v>90</v>
      </c>
      <c r="Y156" s="13">
        <v>53</v>
      </c>
      <c r="Z156" s="13">
        <v>1</v>
      </c>
      <c r="AA156" s="13">
        <v>27000</v>
      </c>
      <c r="AB156" s="13">
        <v>216000</v>
      </c>
      <c r="AC156" s="13">
        <v>0.15</v>
      </c>
      <c r="AD156" s="110">
        <f t="shared" si="18"/>
        <v>44472</v>
      </c>
      <c r="AE156" s="13" t="e">
        <f>IF(AND(AD156&lt;=$AI$4,#REF!&lt;1),1,"")</f>
        <v>#REF!</v>
      </c>
      <c r="AF156" s="110">
        <f t="shared" ca="1" si="19"/>
        <v>44553</v>
      </c>
      <c r="AH156" s="13">
        <f t="shared" ca="1" si="20"/>
        <v>85</v>
      </c>
    </row>
    <row r="157" spans="1:34" x14ac:dyDescent="0.25">
      <c r="A157" s="13" t="s">
        <v>7</v>
      </c>
      <c r="B157" s="13" t="s">
        <v>7</v>
      </c>
      <c r="C157" s="13" t="s">
        <v>294</v>
      </c>
      <c r="D157" s="13" t="s">
        <v>739</v>
      </c>
      <c r="E157" s="13" t="s">
        <v>725</v>
      </c>
      <c r="F157" s="13">
        <v>4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9">
        <v>44468</v>
      </c>
      <c r="P157" s="110">
        <v>44476</v>
      </c>
      <c r="Q157" s="13" t="str">
        <f t="shared" si="14"/>
        <v>CARTCRD024350CADENASNUTRESA</v>
      </c>
      <c r="R157" s="2">
        <v>4</v>
      </c>
      <c r="S157" s="13">
        <v>4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90</v>
      </c>
      <c r="Y157" s="13">
        <v>53</v>
      </c>
      <c r="Z157" s="13">
        <v>1</v>
      </c>
      <c r="AA157" s="13">
        <v>27000</v>
      </c>
      <c r="AB157" s="13">
        <v>108000</v>
      </c>
      <c r="AC157" s="13">
        <v>7.4999999999999997E-2</v>
      </c>
      <c r="AD157" s="110">
        <f t="shared" si="18"/>
        <v>44472</v>
      </c>
      <c r="AE157" s="13" t="e">
        <f>IF(AND(AD157&lt;=$AI$4,#REF!&lt;1),1,"")</f>
        <v>#REF!</v>
      </c>
      <c r="AF157" s="110">
        <f t="shared" ca="1" si="19"/>
        <v>44553</v>
      </c>
      <c r="AH157" s="13">
        <f t="shared" ca="1" si="20"/>
        <v>85</v>
      </c>
    </row>
    <row r="158" spans="1:34" x14ac:dyDescent="0.25">
      <c r="A158" s="13" t="s">
        <v>8</v>
      </c>
      <c r="B158" s="13" t="s">
        <v>8</v>
      </c>
      <c r="C158" s="13" t="s">
        <v>294</v>
      </c>
      <c r="D158" s="13" t="s">
        <v>739</v>
      </c>
      <c r="E158" s="13" t="s">
        <v>725</v>
      </c>
      <c r="F158" s="13">
        <v>18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9">
        <v>44468</v>
      </c>
      <c r="P158" s="110">
        <v>44476</v>
      </c>
      <c r="Q158" s="13" t="str">
        <f t="shared" si="14"/>
        <v>IBA1CRD024350CADENASNUTRESA</v>
      </c>
      <c r="R158" s="2">
        <v>18</v>
      </c>
      <c r="S158" s="13">
        <v>18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90</v>
      </c>
      <c r="Y158" s="13">
        <v>53</v>
      </c>
      <c r="Z158" s="13">
        <v>1</v>
      </c>
      <c r="AA158" s="13">
        <v>27000</v>
      </c>
      <c r="AB158" s="13">
        <v>486000</v>
      </c>
      <c r="AC158" s="13">
        <v>0.33750000000000002</v>
      </c>
      <c r="AD158" s="110">
        <f t="shared" si="18"/>
        <v>44472</v>
      </c>
      <c r="AE158" s="13" t="e">
        <f>IF(AND(AD158&lt;=$AI$4,#REF!&lt;1),1,"")</f>
        <v>#REF!</v>
      </c>
      <c r="AF158" s="110">
        <f t="shared" ca="1" si="19"/>
        <v>44553</v>
      </c>
      <c r="AH158" s="13">
        <f t="shared" ca="1" si="20"/>
        <v>85</v>
      </c>
    </row>
    <row r="159" spans="1:34" x14ac:dyDescent="0.25">
      <c r="A159" s="13" t="s">
        <v>9</v>
      </c>
      <c r="B159" s="13" t="s">
        <v>9</v>
      </c>
      <c r="C159" s="13" t="s">
        <v>294</v>
      </c>
      <c r="D159" s="13" t="s">
        <v>739</v>
      </c>
      <c r="E159" s="13" t="s">
        <v>725</v>
      </c>
      <c r="F159" s="13">
        <v>6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9">
        <v>44468</v>
      </c>
      <c r="P159" s="110">
        <v>44469</v>
      </c>
      <c r="Q159" s="13" t="str">
        <f t="shared" si="14"/>
        <v>MEDECRD024350CADENASNUTRESA</v>
      </c>
      <c r="R159" s="2">
        <v>6</v>
      </c>
      <c r="S159" s="13">
        <v>6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90</v>
      </c>
      <c r="Y159" s="13">
        <v>53</v>
      </c>
      <c r="Z159" s="13">
        <v>1</v>
      </c>
      <c r="AA159" s="13">
        <v>27000</v>
      </c>
      <c r="AB159" s="13">
        <v>162000</v>
      </c>
      <c r="AC159" s="13">
        <v>0.1125</v>
      </c>
      <c r="AD159" s="110">
        <f t="shared" si="18"/>
        <v>44472</v>
      </c>
      <c r="AE159" s="13" t="e">
        <f>IF(AND(AD159&lt;=$AI$4,#REF!&lt;1),1,"")</f>
        <v>#REF!</v>
      </c>
      <c r="AF159" s="110">
        <f t="shared" ca="1" si="19"/>
        <v>44553</v>
      </c>
      <c r="AH159" s="13">
        <f t="shared" ca="1" si="20"/>
        <v>85</v>
      </c>
    </row>
    <row r="160" spans="1:34" x14ac:dyDescent="0.25">
      <c r="A160" s="13" t="s">
        <v>10</v>
      </c>
      <c r="B160" s="13" t="s">
        <v>10</v>
      </c>
      <c r="C160" s="13" t="s">
        <v>294</v>
      </c>
      <c r="D160" s="13" t="s">
        <v>739</v>
      </c>
      <c r="E160" s="13" t="s">
        <v>725</v>
      </c>
      <c r="F160" s="13">
        <v>3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9">
        <v>44468</v>
      </c>
      <c r="P160" s="110">
        <v>44476</v>
      </c>
      <c r="Q160" s="13" t="str">
        <f t="shared" si="14"/>
        <v>PERECRD024350CADENASNUTRESA</v>
      </c>
      <c r="R160" s="2">
        <v>3</v>
      </c>
      <c r="S160" s="13">
        <v>3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90</v>
      </c>
      <c r="Y160" s="13">
        <v>53</v>
      </c>
      <c r="Z160" s="13">
        <v>1</v>
      </c>
      <c r="AA160" s="13">
        <v>27000</v>
      </c>
      <c r="AB160" s="13">
        <v>81000</v>
      </c>
      <c r="AC160" s="13">
        <v>5.6250000000000001E-2</v>
      </c>
      <c r="AD160" s="110">
        <f t="shared" si="18"/>
        <v>44472</v>
      </c>
      <c r="AE160" s="13" t="e">
        <f>IF(AND(AD160&lt;=$AI$4,#REF!&lt;1),1,"")</f>
        <v>#REF!</v>
      </c>
      <c r="AF160" s="110">
        <f t="shared" ca="1" si="19"/>
        <v>44553</v>
      </c>
      <c r="AH160" s="13">
        <f t="shared" ca="1" si="20"/>
        <v>85</v>
      </c>
    </row>
    <row r="161" spans="1:34" x14ac:dyDescent="0.25">
      <c r="A161" s="13" t="s">
        <v>3</v>
      </c>
      <c r="B161" s="13" t="s">
        <v>3</v>
      </c>
      <c r="C161" s="13" t="s">
        <v>295</v>
      </c>
      <c r="D161" s="13" t="s">
        <v>740</v>
      </c>
      <c r="E161" s="13" t="s">
        <v>725</v>
      </c>
      <c r="F161" s="13">
        <v>3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14"/>
        <v>BARRCRD024351CADENASNUTRESA</v>
      </c>
      <c r="R161" s="2">
        <v>3</v>
      </c>
      <c r="S161" s="13">
        <v>3</v>
      </c>
      <c r="T161" s="123">
        <f t="shared" si="15"/>
        <v>1</v>
      </c>
      <c r="U161" s="13">
        <f t="shared" si="16"/>
        <v>0</v>
      </c>
      <c r="V161" s="123">
        <f t="shared" si="17"/>
        <v>0</v>
      </c>
      <c r="X161" s="13">
        <v>28</v>
      </c>
      <c r="Y161" s="13">
        <v>22</v>
      </c>
      <c r="Z161" s="13">
        <v>1</v>
      </c>
      <c r="AA161" s="13">
        <v>2940</v>
      </c>
      <c r="AB161" s="13">
        <v>8820</v>
      </c>
      <c r="AC161" s="13">
        <v>6.1250000000000002E-3</v>
      </c>
      <c r="AD161" s="110">
        <f t="shared" si="18"/>
        <v>44472</v>
      </c>
      <c r="AE161" s="13" t="e">
        <f>IF(AND(AD161&lt;=$AI$4,#REF!&lt;1),1,"")</f>
        <v>#REF!</v>
      </c>
      <c r="AF161" s="110">
        <f t="shared" ca="1" si="19"/>
        <v>44553</v>
      </c>
      <c r="AH161" s="13">
        <f t="shared" ca="1" si="20"/>
        <v>85</v>
      </c>
    </row>
    <row r="162" spans="1:34" x14ac:dyDescent="0.25">
      <c r="A162" s="13" t="s">
        <v>4</v>
      </c>
      <c r="B162" s="13" t="s">
        <v>4</v>
      </c>
      <c r="C162" s="13" t="s">
        <v>295</v>
      </c>
      <c r="D162" s="13" t="s">
        <v>740</v>
      </c>
      <c r="E162" s="13" t="s">
        <v>725</v>
      </c>
      <c r="F162" s="13">
        <v>10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14"/>
        <v>BGTACRD024351CADENASNUTRESA</v>
      </c>
      <c r="R162" s="2">
        <v>10</v>
      </c>
      <c r="S162" s="13">
        <v>10</v>
      </c>
      <c r="T162" s="123">
        <f t="shared" si="15"/>
        <v>1</v>
      </c>
      <c r="U162" s="13">
        <f t="shared" si="16"/>
        <v>0</v>
      </c>
      <c r="V162" s="123">
        <f t="shared" si="17"/>
        <v>0</v>
      </c>
      <c r="X162" s="13">
        <v>28</v>
      </c>
      <c r="Y162" s="13">
        <v>22</v>
      </c>
      <c r="Z162" s="13">
        <v>1</v>
      </c>
      <c r="AA162" s="13">
        <v>2940</v>
      </c>
      <c r="AB162" s="13">
        <v>29400</v>
      </c>
      <c r="AC162" s="13">
        <v>2.0417000000000001E-2</v>
      </c>
      <c r="AD162" s="110">
        <f t="shared" si="18"/>
        <v>44472</v>
      </c>
      <c r="AE162" s="13" t="e">
        <f>IF(AND(AD162&lt;=$AI$4,#REF!&lt;1),1,"")</f>
        <v>#REF!</v>
      </c>
      <c r="AF162" s="110">
        <f t="shared" ca="1" si="19"/>
        <v>44553</v>
      </c>
      <c r="AH162" s="13">
        <f t="shared" ca="1" si="20"/>
        <v>85</v>
      </c>
    </row>
    <row r="163" spans="1:34" x14ac:dyDescent="0.25">
      <c r="A163" s="13" t="s">
        <v>7</v>
      </c>
      <c r="B163" s="13" t="s">
        <v>7</v>
      </c>
      <c r="C163" s="13" t="s">
        <v>295</v>
      </c>
      <c r="D163" s="13" t="s">
        <v>740</v>
      </c>
      <c r="E163" s="13" t="s">
        <v>725</v>
      </c>
      <c r="F163" s="13">
        <v>5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14"/>
        <v>CARTCRD024351CADENASNUTRESA</v>
      </c>
      <c r="R163" s="2">
        <v>5</v>
      </c>
      <c r="S163" s="13">
        <v>5</v>
      </c>
      <c r="T163" s="123">
        <f t="shared" si="15"/>
        <v>1</v>
      </c>
      <c r="U163" s="13">
        <f t="shared" si="16"/>
        <v>0</v>
      </c>
      <c r="V163" s="123">
        <f t="shared" si="17"/>
        <v>0</v>
      </c>
      <c r="X163" s="13">
        <v>28</v>
      </c>
      <c r="Y163" s="13">
        <v>22</v>
      </c>
      <c r="Z163" s="13">
        <v>1</v>
      </c>
      <c r="AA163" s="13">
        <v>2940</v>
      </c>
      <c r="AB163" s="13">
        <v>14700</v>
      </c>
      <c r="AC163" s="13">
        <v>1.0208E-2</v>
      </c>
      <c r="AD163" s="110">
        <f t="shared" si="18"/>
        <v>44472</v>
      </c>
      <c r="AE163" s="13" t="e">
        <f>IF(AND(AD163&lt;=$AI$4,#REF!&lt;1),1,"")</f>
        <v>#REF!</v>
      </c>
      <c r="AF163" s="110">
        <f t="shared" ca="1" si="19"/>
        <v>44553</v>
      </c>
      <c r="AH163" s="13">
        <f t="shared" ca="1" si="20"/>
        <v>85</v>
      </c>
    </row>
    <row r="164" spans="1:34" x14ac:dyDescent="0.25">
      <c r="A164" s="13" t="s">
        <v>9</v>
      </c>
      <c r="B164" s="13" t="s">
        <v>9</v>
      </c>
      <c r="C164" s="13" t="s">
        <v>295</v>
      </c>
      <c r="D164" s="13" t="s">
        <v>740</v>
      </c>
      <c r="E164" s="13" t="s">
        <v>725</v>
      </c>
      <c r="F164" s="13">
        <v>5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44469</v>
      </c>
      <c r="Q164" s="13" t="str">
        <f t="shared" si="14"/>
        <v>MEDECRD024351CADENASNUTRESA</v>
      </c>
      <c r="R164" s="2">
        <v>5</v>
      </c>
      <c r="S164" s="13">
        <v>5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28</v>
      </c>
      <c r="Y164" s="13">
        <v>22</v>
      </c>
      <c r="Z164" s="13">
        <v>1</v>
      </c>
      <c r="AA164" s="13">
        <v>2940</v>
      </c>
      <c r="AB164" s="13">
        <v>14700</v>
      </c>
      <c r="AC164" s="13">
        <v>1.0208E-2</v>
      </c>
      <c r="AD164" s="110">
        <f t="shared" si="18"/>
        <v>44472</v>
      </c>
      <c r="AE164" s="13" t="e">
        <f>IF(AND(AD164&lt;=$AI$4,#REF!&lt;1),1,"")</f>
        <v>#REF!</v>
      </c>
      <c r="AF164" s="110">
        <f t="shared" ca="1" si="19"/>
        <v>44553</v>
      </c>
      <c r="AH164" s="13">
        <f t="shared" ca="1" si="20"/>
        <v>85</v>
      </c>
    </row>
    <row r="165" spans="1:34" x14ac:dyDescent="0.25">
      <c r="A165" s="13" t="s">
        <v>3</v>
      </c>
      <c r="B165" s="13" t="s">
        <v>3</v>
      </c>
      <c r="C165" s="13" t="s">
        <v>296</v>
      </c>
      <c r="D165" s="13" t="s">
        <v>741</v>
      </c>
      <c r="E165" s="13" t="s">
        <v>725</v>
      </c>
      <c r="F165" s="13">
        <v>30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14"/>
        <v>BARRCRD024352CADENASNUTRESA</v>
      </c>
      <c r="R165" s="2">
        <v>30</v>
      </c>
      <c r="S165" s="13">
        <v>30</v>
      </c>
      <c r="T165" s="123">
        <f t="shared" si="15"/>
        <v>1</v>
      </c>
      <c r="U165" s="13">
        <f t="shared" si="16"/>
        <v>0</v>
      </c>
      <c r="V165" s="123">
        <f t="shared" si="17"/>
        <v>0</v>
      </c>
      <c r="X165" s="13">
        <v>5</v>
      </c>
      <c r="Y165" s="13">
        <v>30</v>
      </c>
      <c r="Z165" s="13">
        <v>40</v>
      </c>
      <c r="AA165" s="13">
        <v>6000</v>
      </c>
      <c r="AB165" s="13">
        <v>180000</v>
      </c>
      <c r="AC165" s="13">
        <v>0.125</v>
      </c>
      <c r="AD165" s="110">
        <f t="shared" si="18"/>
        <v>44472</v>
      </c>
      <c r="AE165" s="13" t="e">
        <f>IF(AND(AD165&lt;=$AI$4,#REF!&lt;1),1,"")</f>
        <v>#REF!</v>
      </c>
      <c r="AF165" s="110">
        <f t="shared" ca="1" si="19"/>
        <v>44553</v>
      </c>
      <c r="AH165" s="13">
        <f t="shared" ca="1" si="20"/>
        <v>85</v>
      </c>
    </row>
    <row r="166" spans="1:34" x14ac:dyDescent="0.25">
      <c r="A166" s="13" t="s">
        <v>5</v>
      </c>
      <c r="B166" s="13" t="s">
        <v>5</v>
      </c>
      <c r="C166" s="13" t="s">
        <v>296</v>
      </c>
      <c r="D166" s="13" t="s">
        <v>741</v>
      </c>
      <c r="E166" s="13" t="s">
        <v>725</v>
      </c>
      <c r="F166" s="13">
        <v>25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14"/>
        <v>BUCACRD024352CADENASNUTRESA</v>
      </c>
      <c r="R166" s="2">
        <v>25</v>
      </c>
      <c r="S166" s="13">
        <v>25</v>
      </c>
      <c r="T166" s="123">
        <f t="shared" si="15"/>
        <v>1</v>
      </c>
      <c r="U166" s="13">
        <f t="shared" si="16"/>
        <v>0</v>
      </c>
      <c r="V166" s="123">
        <f t="shared" si="17"/>
        <v>0</v>
      </c>
      <c r="X166" s="13">
        <v>5</v>
      </c>
      <c r="Y166" s="13">
        <v>30</v>
      </c>
      <c r="Z166" s="13">
        <v>40</v>
      </c>
      <c r="AA166" s="13">
        <v>6000</v>
      </c>
      <c r="AB166" s="13">
        <v>150000</v>
      </c>
      <c r="AC166" s="13">
        <v>0.104167</v>
      </c>
      <c r="AD166" s="110">
        <f t="shared" si="18"/>
        <v>44472</v>
      </c>
      <c r="AE166" s="13" t="e">
        <f>IF(AND(AD166&lt;=$AI$4,#REF!&lt;1),1,"")</f>
        <v>#REF!</v>
      </c>
      <c r="AF166" s="110">
        <f t="shared" ca="1" si="19"/>
        <v>44553</v>
      </c>
      <c r="AH166" s="13">
        <f t="shared" ca="1" si="20"/>
        <v>85</v>
      </c>
    </row>
    <row r="167" spans="1:34" x14ac:dyDescent="0.25">
      <c r="A167" s="13" t="s">
        <v>7</v>
      </c>
      <c r="B167" s="13" t="s">
        <v>7</v>
      </c>
      <c r="C167" s="13" t="s">
        <v>296</v>
      </c>
      <c r="D167" s="13" t="s">
        <v>741</v>
      </c>
      <c r="E167" s="13" t="s">
        <v>725</v>
      </c>
      <c r="F167" s="13">
        <v>37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44476</v>
      </c>
      <c r="Q167" s="13" t="str">
        <f t="shared" si="14"/>
        <v>CARTCRD024352CADENASNUTRESA</v>
      </c>
      <c r="R167" s="2">
        <v>37</v>
      </c>
      <c r="S167" s="13">
        <v>37</v>
      </c>
      <c r="T167" s="123">
        <f t="shared" si="15"/>
        <v>1</v>
      </c>
      <c r="U167" s="13">
        <f t="shared" si="16"/>
        <v>0</v>
      </c>
      <c r="V167" s="123">
        <f t="shared" si="17"/>
        <v>0</v>
      </c>
      <c r="X167" s="13">
        <v>5</v>
      </c>
      <c r="Y167" s="13">
        <v>30</v>
      </c>
      <c r="Z167" s="13">
        <v>40</v>
      </c>
      <c r="AA167" s="13">
        <v>6000</v>
      </c>
      <c r="AB167" s="13">
        <v>222000</v>
      </c>
      <c r="AC167" s="13">
        <v>0.154167</v>
      </c>
      <c r="AD167" s="110">
        <f t="shared" si="18"/>
        <v>44472</v>
      </c>
      <c r="AE167" s="13" t="e">
        <f>IF(AND(AD167&lt;=$AI$4,#REF!&lt;1),1,"")</f>
        <v>#REF!</v>
      </c>
      <c r="AF167" s="110">
        <f t="shared" ca="1" si="19"/>
        <v>44553</v>
      </c>
      <c r="AH167" s="13">
        <f t="shared" ca="1" si="20"/>
        <v>85</v>
      </c>
    </row>
    <row r="168" spans="1:34" x14ac:dyDescent="0.25">
      <c r="A168" s="13" t="s">
        <v>9</v>
      </c>
      <c r="B168" s="13" t="s">
        <v>9</v>
      </c>
      <c r="C168" s="13" t="s">
        <v>296</v>
      </c>
      <c r="D168" s="13" t="s">
        <v>741</v>
      </c>
      <c r="E168" s="13" t="s">
        <v>725</v>
      </c>
      <c r="F168" s="13">
        <v>126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44469</v>
      </c>
      <c r="Q168" s="13" t="str">
        <f t="shared" si="14"/>
        <v>MEDECRD024352CADENASNUTRESA</v>
      </c>
      <c r="R168" s="2">
        <v>126</v>
      </c>
      <c r="S168" s="13">
        <v>126</v>
      </c>
      <c r="T168" s="123">
        <f t="shared" si="15"/>
        <v>1</v>
      </c>
      <c r="U168" s="13">
        <f t="shared" si="16"/>
        <v>0</v>
      </c>
      <c r="V168" s="123">
        <f t="shared" si="17"/>
        <v>0</v>
      </c>
      <c r="X168" s="13">
        <v>5</v>
      </c>
      <c r="Y168" s="13">
        <v>30</v>
      </c>
      <c r="Z168" s="13">
        <v>40</v>
      </c>
      <c r="AA168" s="13">
        <v>6000</v>
      </c>
      <c r="AB168" s="13">
        <v>756000</v>
      </c>
      <c r="AC168" s="13">
        <v>0.52500000000000002</v>
      </c>
      <c r="AD168" s="110">
        <f t="shared" si="18"/>
        <v>44472</v>
      </c>
      <c r="AE168" s="13" t="e">
        <f>IF(AND(AD168&lt;=$AI$4,#REF!&lt;1),1,"")</f>
        <v>#REF!</v>
      </c>
      <c r="AF168" s="110">
        <f t="shared" ca="1" si="19"/>
        <v>44553</v>
      </c>
      <c r="AH168" s="13">
        <f t="shared" ca="1" si="20"/>
        <v>85</v>
      </c>
    </row>
    <row r="169" spans="1:34" x14ac:dyDescent="0.25">
      <c r="A169" s="13" t="s">
        <v>4</v>
      </c>
      <c r="B169" s="13" t="s">
        <v>4</v>
      </c>
      <c r="C169" s="13" t="s">
        <v>297</v>
      </c>
      <c r="D169" s="13" t="s">
        <v>298</v>
      </c>
      <c r="E169" s="13" t="s">
        <v>725</v>
      </c>
      <c r="F169" s="13">
        <v>5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44504</v>
      </c>
      <c r="Q169" s="13" t="str">
        <f t="shared" si="14"/>
        <v>BGTACRD024353CADENASNUTRESA</v>
      </c>
      <c r="R169" s="2">
        <v>5</v>
      </c>
      <c r="S169" s="13">
        <v>3</v>
      </c>
      <c r="T169" s="123">
        <f t="shared" si="15"/>
        <v>1</v>
      </c>
      <c r="U169" s="13">
        <f t="shared" si="16"/>
        <v>2</v>
      </c>
      <c r="V169" s="123">
        <f t="shared" si="17"/>
        <v>0.4</v>
      </c>
      <c r="X169" s="13">
        <v>35</v>
      </c>
      <c r="Y169" s="13">
        <v>100</v>
      </c>
      <c r="Z169" s="13">
        <v>67</v>
      </c>
      <c r="AA169" s="13">
        <v>234500</v>
      </c>
      <c r="AB169" s="13">
        <v>1172500</v>
      </c>
      <c r="AC169" s="13">
        <v>0.81423599999999996</v>
      </c>
      <c r="AD169" s="110">
        <f t="shared" si="18"/>
        <v>44472</v>
      </c>
      <c r="AE169" s="13" t="e">
        <f>IF(AND(AD169&lt;=$AI$4,#REF!&lt;1),1,"")</f>
        <v>#REF!</v>
      </c>
      <c r="AF169" s="110">
        <f t="shared" ca="1" si="19"/>
        <v>44553</v>
      </c>
      <c r="AH169" s="13">
        <f t="shared" ca="1" si="20"/>
        <v>85</v>
      </c>
    </row>
    <row r="170" spans="1:34" x14ac:dyDescent="0.25">
      <c r="A170" s="13" t="s">
        <v>5</v>
      </c>
      <c r="B170" s="13" t="s">
        <v>5</v>
      </c>
      <c r="C170" s="13" t="s">
        <v>297</v>
      </c>
      <c r="D170" s="13" t="s">
        <v>298</v>
      </c>
      <c r="E170" s="13" t="s">
        <v>725</v>
      </c>
      <c r="F170" s="13">
        <v>1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44504</v>
      </c>
      <c r="Q170" s="13" t="str">
        <f t="shared" si="14"/>
        <v>BUCACRD024353CADENASNUTRESA</v>
      </c>
      <c r="R170" s="2">
        <v>1</v>
      </c>
      <c r="S170" s="13">
        <v>1</v>
      </c>
      <c r="T170" s="123">
        <f t="shared" si="15"/>
        <v>1</v>
      </c>
      <c r="U170" s="13">
        <f t="shared" si="16"/>
        <v>0</v>
      </c>
      <c r="V170" s="123">
        <f t="shared" si="17"/>
        <v>0</v>
      </c>
      <c r="X170" s="13">
        <v>35</v>
      </c>
      <c r="Y170" s="13">
        <v>100</v>
      </c>
      <c r="Z170" s="13">
        <v>67</v>
      </c>
      <c r="AA170" s="13">
        <v>234500</v>
      </c>
      <c r="AB170" s="13">
        <v>234500</v>
      </c>
      <c r="AC170" s="13">
        <v>0.16284699999999999</v>
      </c>
      <c r="AD170" s="110">
        <f t="shared" si="18"/>
        <v>44472</v>
      </c>
      <c r="AE170" s="13" t="e">
        <f>IF(AND(AD170&lt;=$AI$4,#REF!&lt;1),1,"")</f>
        <v>#REF!</v>
      </c>
      <c r="AF170" s="110">
        <f t="shared" ca="1" si="19"/>
        <v>44553</v>
      </c>
      <c r="AH170" s="13">
        <f t="shared" ca="1" si="20"/>
        <v>85</v>
      </c>
    </row>
    <row r="171" spans="1:34" x14ac:dyDescent="0.25">
      <c r="A171" s="13" t="s">
        <v>8</v>
      </c>
      <c r="B171" s="13" t="s">
        <v>8</v>
      </c>
      <c r="C171" s="13" t="s">
        <v>297</v>
      </c>
      <c r="D171" s="13" t="s">
        <v>298</v>
      </c>
      <c r="E171" s="13" t="s">
        <v>725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44504</v>
      </c>
      <c r="Q171" s="13" t="str">
        <f t="shared" si="14"/>
        <v>IBA1CRD024353CADENASNUTRESA</v>
      </c>
      <c r="R171" s="2">
        <v>2</v>
      </c>
      <c r="S171" s="13">
        <v>2</v>
      </c>
      <c r="T171" s="123">
        <f t="shared" si="15"/>
        <v>1</v>
      </c>
      <c r="U171" s="13">
        <f t="shared" si="16"/>
        <v>0</v>
      </c>
      <c r="V171" s="123">
        <f t="shared" si="17"/>
        <v>0</v>
      </c>
      <c r="X171" s="13">
        <v>35</v>
      </c>
      <c r="Y171" s="13">
        <v>100</v>
      </c>
      <c r="Z171" s="13">
        <v>67</v>
      </c>
      <c r="AA171" s="13">
        <v>234500</v>
      </c>
      <c r="AB171" s="13">
        <v>469000</v>
      </c>
      <c r="AC171" s="13">
        <v>0.32569399999999998</v>
      </c>
      <c r="AD171" s="110">
        <f t="shared" si="18"/>
        <v>44472</v>
      </c>
      <c r="AE171" s="13" t="e">
        <f>IF(AND(AD171&lt;=$AI$4,#REF!&lt;1),1,"")</f>
        <v>#REF!</v>
      </c>
      <c r="AF171" s="110">
        <f t="shared" ca="1" si="19"/>
        <v>44553</v>
      </c>
      <c r="AH171" s="13">
        <f t="shared" ca="1" si="20"/>
        <v>85</v>
      </c>
    </row>
    <row r="172" spans="1:34" x14ac:dyDescent="0.25">
      <c r="A172" s="13" t="s">
        <v>9</v>
      </c>
      <c r="B172" s="13" t="s">
        <v>9</v>
      </c>
      <c r="C172" s="13" t="s">
        <v>297</v>
      </c>
      <c r="D172" s="13" t="s">
        <v>298</v>
      </c>
      <c r="E172" s="13" t="s">
        <v>725</v>
      </c>
      <c r="F172" s="13">
        <v>4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Q172" s="13" t="str">
        <f t="shared" si="14"/>
        <v>MEDECRD024353CADENASNUTRESA</v>
      </c>
      <c r="T172" s="123">
        <f t="shared" si="15"/>
        <v>0</v>
      </c>
      <c r="U172" s="13">
        <f t="shared" si="16"/>
        <v>0</v>
      </c>
      <c r="V172" s="123">
        <f t="shared" si="17"/>
        <v>0</v>
      </c>
      <c r="X172" s="13">
        <v>35</v>
      </c>
      <c r="Y172" s="13">
        <v>100</v>
      </c>
      <c r="Z172" s="13">
        <v>67</v>
      </c>
      <c r="AA172" s="13">
        <v>234500</v>
      </c>
      <c r="AB172" s="13">
        <v>938000</v>
      </c>
      <c r="AC172" s="13">
        <v>0.651389</v>
      </c>
      <c r="AD172" s="110">
        <f t="shared" si="18"/>
        <v>44472</v>
      </c>
      <c r="AE172" s="13" t="e">
        <f>IF(AND(AD172&lt;=$AI$4,#REF!&lt;1),1,"")</f>
        <v>#REF!</v>
      </c>
      <c r="AF172" s="110">
        <f t="shared" ca="1" si="19"/>
        <v>44553</v>
      </c>
      <c r="AH172" s="13">
        <f t="shared" ca="1" si="20"/>
        <v>85</v>
      </c>
    </row>
    <row r="173" spans="1:34" x14ac:dyDescent="0.25">
      <c r="A173" s="13" t="s">
        <v>150</v>
      </c>
      <c r="B173" s="13" t="s">
        <v>150</v>
      </c>
      <c r="C173" s="13" t="s">
        <v>297</v>
      </c>
      <c r="D173" s="13" t="s">
        <v>298</v>
      </c>
      <c r="E173" s="13" t="s">
        <v>725</v>
      </c>
      <c r="F173" s="13">
        <v>1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44504</v>
      </c>
      <c r="Q173" s="13" t="str">
        <f t="shared" si="14"/>
        <v>VILACRD024353CADENASNUTRESA</v>
      </c>
      <c r="R173" s="2">
        <v>1</v>
      </c>
      <c r="S173" s="13">
        <v>1</v>
      </c>
      <c r="T173" s="123">
        <f t="shared" si="15"/>
        <v>1</v>
      </c>
      <c r="U173" s="13">
        <f t="shared" si="16"/>
        <v>0</v>
      </c>
      <c r="V173" s="123">
        <f t="shared" si="17"/>
        <v>0</v>
      </c>
      <c r="X173" s="13">
        <v>35</v>
      </c>
      <c r="Y173" s="13">
        <v>100</v>
      </c>
      <c r="Z173" s="13">
        <v>67</v>
      </c>
      <c r="AA173" s="13">
        <v>234500</v>
      </c>
      <c r="AB173" s="13">
        <v>234500</v>
      </c>
      <c r="AC173" s="13">
        <v>0.16284699999999999</v>
      </c>
      <c r="AD173" s="110">
        <f t="shared" si="18"/>
        <v>44472</v>
      </c>
      <c r="AE173" s="13" t="e">
        <f>IF(AND(AD173&lt;=$AI$4,#REF!&lt;1),1,"")</f>
        <v>#REF!</v>
      </c>
      <c r="AF173" s="110">
        <f t="shared" ca="1" si="19"/>
        <v>44553</v>
      </c>
      <c r="AH173" s="13">
        <f t="shared" ca="1" si="20"/>
        <v>85</v>
      </c>
    </row>
    <row r="174" spans="1:34" x14ac:dyDescent="0.25">
      <c r="A174" s="13" t="s">
        <v>4</v>
      </c>
      <c r="B174" s="13" t="s">
        <v>4</v>
      </c>
      <c r="C174" s="13" t="s">
        <v>299</v>
      </c>
      <c r="D174" s="13" t="s">
        <v>300</v>
      </c>
      <c r="E174" s="13" t="s">
        <v>725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44504</v>
      </c>
      <c r="Q174" s="13" t="str">
        <f t="shared" si="14"/>
        <v>BGTACRD024354CADENASNUTRESA</v>
      </c>
      <c r="R174" s="2">
        <v>2</v>
      </c>
      <c r="S174" s="13">
        <v>1</v>
      </c>
      <c r="T174" s="123">
        <f t="shared" si="15"/>
        <v>1</v>
      </c>
      <c r="U174" s="13">
        <f t="shared" si="16"/>
        <v>1</v>
      </c>
      <c r="V174" s="123">
        <f t="shared" si="17"/>
        <v>0.5</v>
      </c>
      <c r="X174" s="13">
        <v>172</v>
      </c>
      <c r="Y174" s="13">
        <v>172</v>
      </c>
      <c r="Z174" s="13">
        <v>320</v>
      </c>
      <c r="AA174" s="13">
        <v>9466880</v>
      </c>
      <c r="AB174" s="13">
        <v>18933760</v>
      </c>
      <c r="AC174" s="13">
        <v>13.148444</v>
      </c>
      <c r="AD174" s="110">
        <f t="shared" si="18"/>
        <v>44472</v>
      </c>
      <c r="AE174" s="13" t="e">
        <f>IF(AND(AD174&lt;=$AI$4,#REF!&lt;1),1,"")</f>
        <v>#REF!</v>
      </c>
      <c r="AF174" s="110">
        <f t="shared" ca="1" si="19"/>
        <v>44553</v>
      </c>
      <c r="AH174" s="13">
        <f t="shared" ca="1" si="20"/>
        <v>85</v>
      </c>
    </row>
    <row r="175" spans="1:34" x14ac:dyDescent="0.25">
      <c r="A175" s="13" t="s">
        <v>6</v>
      </c>
      <c r="B175" s="13" t="s">
        <v>6</v>
      </c>
      <c r="C175" s="13" t="s">
        <v>299</v>
      </c>
      <c r="D175" s="13" t="s">
        <v>300</v>
      </c>
      <c r="E175" s="13" t="s">
        <v>725</v>
      </c>
      <c r="F175" s="13">
        <v>1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44504</v>
      </c>
      <c r="Q175" s="13" t="str">
        <f t="shared" si="14"/>
        <v>CALICRD024354CADENASNUTRESA</v>
      </c>
      <c r="R175" s="2">
        <v>1</v>
      </c>
      <c r="S175" s="13">
        <v>1</v>
      </c>
      <c r="T175" s="123">
        <f t="shared" si="15"/>
        <v>1</v>
      </c>
      <c r="U175" s="13">
        <f t="shared" si="16"/>
        <v>0</v>
      </c>
      <c r="V175" s="123">
        <f t="shared" si="17"/>
        <v>0</v>
      </c>
      <c r="X175" s="13">
        <v>172</v>
      </c>
      <c r="Y175" s="13">
        <v>172</v>
      </c>
      <c r="Z175" s="13">
        <v>320</v>
      </c>
      <c r="AA175" s="13">
        <v>9466880</v>
      </c>
      <c r="AB175" s="13">
        <v>9466880</v>
      </c>
      <c r="AC175" s="13">
        <v>6.5742219999999998</v>
      </c>
      <c r="AD175" s="110">
        <f t="shared" si="18"/>
        <v>44472</v>
      </c>
      <c r="AE175" s="13" t="e">
        <f>IF(AND(AD175&lt;=$AI$4,#REF!&lt;1),1,"")</f>
        <v>#REF!</v>
      </c>
      <c r="AF175" s="110">
        <f t="shared" ca="1" si="19"/>
        <v>44553</v>
      </c>
      <c r="AH175" s="13">
        <f t="shared" ca="1" si="20"/>
        <v>85</v>
      </c>
    </row>
    <row r="176" spans="1:34" x14ac:dyDescent="0.25">
      <c r="A176" s="13" t="s">
        <v>9</v>
      </c>
      <c r="B176" s="13" t="s">
        <v>9</v>
      </c>
      <c r="C176" s="13" t="s">
        <v>299</v>
      </c>
      <c r="D176" s="13" t="s">
        <v>300</v>
      </c>
      <c r="E176" s="13" t="s">
        <v>725</v>
      </c>
      <c r="F176" s="13">
        <v>4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Q176" s="13" t="str">
        <f t="shared" si="14"/>
        <v>MEDECRD024354CADENASNUTRESA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172</v>
      </c>
      <c r="Y176" s="13">
        <v>172</v>
      </c>
      <c r="Z176" s="13">
        <v>320</v>
      </c>
      <c r="AA176" s="13">
        <v>9466880</v>
      </c>
      <c r="AB176" s="13">
        <v>37867520</v>
      </c>
      <c r="AC176" s="13">
        <v>26.296889</v>
      </c>
      <c r="AD176" s="110">
        <f t="shared" si="18"/>
        <v>44472</v>
      </c>
      <c r="AE176" s="13" t="e">
        <f>IF(AND(AD176&lt;=$AI$4,#REF!&lt;1),1,"")</f>
        <v>#REF!</v>
      </c>
      <c r="AF176" s="110">
        <f t="shared" ca="1" si="19"/>
        <v>44553</v>
      </c>
      <c r="AH176" s="13">
        <f t="shared" ca="1" si="20"/>
        <v>85</v>
      </c>
    </row>
    <row r="177" spans="1:34" x14ac:dyDescent="0.25">
      <c r="A177" s="13" t="s">
        <v>10</v>
      </c>
      <c r="B177" s="13" t="s">
        <v>10</v>
      </c>
      <c r="C177" s="13" t="s">
        <v>299</v>
      </c>
      <c r="D177" s="13" t="s">
        <v>300</v>
      </c>
      <c r="E177" s="13" t="s">
        <v>725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44504</v>
      </c>
      <c r="Q177" s="13" t="str">
        <f t="shared" si="14"/>
        <v>PERECRD024354CADENASNUTRESA</v>
      </c>
      <c r="R177" s="2">
        <v>1</v>
      </c>
      <c r="S177" s="13">
        <v>1</v>
      </c>
      <c r="T177" s="123">
        <f t="shared" si="15"/>
        <v>1</v>
      </c>
      <c r="U177" s="13">
        <f t="shared" si="16"/>
        <v>0</v>
      </c>
      <c r="V177" s="123">
        <f t="shared" si="17"/>
        <v>0</v>
      </c>
      <c r="X177" s="13">
        <v>172</v>
      </c>
      <c r="Y177" s="13">
        <v>172</v>
      </c>
      <c r="Z177" s="13">
        <v>320</v>
      </c>
      <c r="AA177" s="13">
        <v>9466880</v>
      </c>
      <c r="AB177" s="13">
        <v>9466880</v>
      </c>
      <c r="AC177" s="13">
        <v>6.5742219999999998</v>
      </c>
      <c r="AD177" s="110">
        <f t="shared" si="18"/>
        <v>44472</v>
      </c>
      <c r="AE177" s="13" t="e">
        <f>IF(AND(AD177&lt;=$AI$4,#REF!&lt;1),1,"")</f>
        <v>#REF!</v>
      </c>
      <c r="AF177" s="110">
        <f t="shared" ca="1" si="19"/>
        <v>44553</v>
      </c>
      <c r="AH177" s="13">
        <f t="shared" ca="1" si="20"/>
        <v>85</v>
      </c>
    </row>
    <row r="178" spans="1:34" x14ac:dyDescent="0.25">
      <c r="A178" s="13" t="s">
        <v>5</v>
      </c>
      <c r="B178" s="13" t="s">
        <v>5</v>
      </c>
      <c r="C178" s="13" t="s">
        <v>1182</v>
      </c>
      <c r="D178" s="13" t="s">
        <v>742</v>
      </c>
      <c r="E178" s="13" t="s">
        <v>728</v>
      </c>
      <c r="F178" s="13">
        <v>40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9">
        <v>44505</v>
      </c>
      <c r="L178" s="109">
        <v>44515</v>
      </c>
      <c r="Q178" s="13" t="str">
        <f t="shared" si="14"/>
        <v>BUCACRD023562AUTOSERVICIONUTRESA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1</v>
      </c>
      <c r="Y178" s="13">
        <v>57</v>
      </c>
      <c r="Z178" s="13">
        <v>40</v>
      </c>
      <c r="AA178" s="13">
        <v>2280</v>
      </c>
      <c r="AB178" s="13">
        <v>91200</v>
      </c>
      <c r="AC178" s="13">
        <v>6.3333E-2</v>
      </c>
      <c r="AD178" s="110">
        <f t="shared" si="18"/>
        <v>44509</v>
      </c>
      <c r="AE178" s="13" t="e">
        <f>IF(AND(AD178&lt;=$AI$4,#REF!&lt;1),1,"")</f>
        <v>#REF!</v>
      </c>
      <c r="AF178" s="110">
        <f t="shared" ca="1" si="19"/>
        <v>44553</v>
      </c>
      <c r="AH178" s="13">
        <f t="shared" ca="1" si="20"/>
        <v>48</v>
      </c>
    </row>
    <row r="179" spans="1:34" x14ac:dyDescent="0.25">
      <c r="A179" s="13" t="s">
        <v>8</v>
      </c>
      <c r="B179" s="13" t="s">
        <v>8</v>
      </c>
      <c r="C179" s="13" t="s">
        <v>1182</v>
      </c>
      <c r="D179" s="13" t="s">
        <v>742</v>
      </c>
      <c r="E179" s="13" t="s">
        <v>728</v>
      </c>
      <c r="F179" s="13">
        <v>16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9">
        <v>44505</v>
      </c>
      <c r="L179" s="109">
        <v>44515</v>
      </c>
      <c r="Q179" s="13" t="str">
        <f t="shared" si="14"/>
        <v>IBA1CRD023562AUTOSERVICIONUTRESA</v>
      </c>
      <c r="T179" s="123">
        <f t="shared" si="15"/>
        <v>0</v>
      </c>
      <c r="U179" s="13">
        <f t="shared" si="16"/>
        <v>0</v>
      </c>
      <c r="V179" s="123">
        <f t="shared" si="17"/>
        <v>0</v>
      </c>
      <c r="X179" s="13">
        <v>1</v>
      </c>
      <c r="Y179" s="13">
        <v>57</v>
      </c>
      <c r="Z179" s="13">
        <v>40</v>
      </c>
      <c r="AA179" s="13">
        <v>2280</v>
      </c>
      <c r="AB179" s="13">
        <v>36480</v>
      </c>
      <c r="AC179" s="13">
        <v>2.5333000000000001E-2</v>
      </c>
      <c r="AD179" s="110">
        <f t="shared" si="18"/>
        <v>44509</v>
      </c>
      <c r="AE179" s="13" t="e">
        <f>IF(AND(AD179&lt;=$AI$4,#REF!&lt;1),1,"")</f>
        <v>#REF!</v>
      </c>
      <c r="AF179" s="110">
        <f t="shared" ca="1" si="19"/>
        <v>44553</v>
      </c>
      <c r="AH179" s="13">
        <f t="shared" ca="1" si="20"/>
        <v>48</v>
      </c>
    </row>
    <row r="180" spans="1:34" x14ac:dyDescent="0.25">
      <c r="A180" s="13" t="s">
        <v>5</v>
      </c>
      <c r="B180" s="13" t="s">
        <v>5</v>
      </c>
      <c r="C180" s="13" t="s">
        <v>245</v>
      </c>
      <c r="D180" s="13" t="s">
        <v>743</v>
      </c>
      <c r="E180" s="13" t="s">
        <v>1183</v>
      </c>
      <c r="F180" s="13">
        <v>40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9">
        <v>44518</v>
      </c>
      <c r="L180" s="109">
        <v>44515</v>
      </c>
      <c r="Q180" s="13" t="str">
        <f t="shared" si="14"/>
        <v>BUCACRD023535AUTOSERVICIONUTRESA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19</v>
      </c>
      <c r="Y180" s="13">
        <v>32</v>
      </c>
      <c r="Z180" s="13">
        <v>32</v>
      </c>
      <c r="AA180" s="13">
        <v>19456</v>
      </c>
      <c r="AB180" s="13">
        <v>778240</v>
      </c>
      <c r="AC180" s="13">
        <v>0.54044400000000004</v>
      </c>
      <c r="AD180" s="110">
        <f t="shared" si="18"/>
        <v>44522</v>
      </c>
      <c r="AE180" s="13" t="e">
        <f>IF(AND(AD180&lt;=$AI$4,#REF!&lt;1),1,"")</f>
        <v>#REF!</v>
      </c>
      <c r="AF180" s="110">
        <f t="shared" ca="1" si="19"/>
        <v>44553</v>
      </c>
      <c r="AH180" s="13">
        <f t="shared" ca="1" si="20"/>
        <v>35</v>
      </c>
    </row>
    <row r="181" spans="1:34" x14ac:dyDescent="0.25">
      <c r="A181" s="13" t="s">
        <v>6</v>
      </c>
      <c r="B181" s="13" t="s">
        <v>6</v>
      </c>
      <c r="C181" s="13" t="s">
        <v>245</v>
      </c>
      <c r="D181" s="13" t="s">
        <v>743</v>
      </c>
      <c r="E181" s="13" t="s">
        <v>1183</v>
      </c>
      <c r="F181" s="13">
        <v>2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9">
        <v>44518</v>
      </c>
      <c r="L181" s="109">
        <v>44515</v>
      </c>
      <c r="Q181" s="13" t="str">
        <f t="shared" si="14"/>
        <v>CALICRD023535AUTOSERVICIONUTRESA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19</v>
      </c>
      <c r="Y181" s="13">
        <v>32</v>
      </c>
      <c r="Z181" s="13">
        <v>32</v>
      </c>
      <c r="AA181" s="13">
        <v>19456</v>
      </c>
      <c r="AB181" s="13">
        <v>38912</v>
      </c>
      <c r="AC181" s="13">
        <v>2.7022000000000001E-2</v>
      </c>
      <c r="AD181" s="110">
        <f t="shared" si="18"/>
        <v>44522</v>
      </c>
      <c r="AE181" s="13" t="e">
        <f>IF(AND(AD181&lt;=$AI$4,#REF!&lt;1),1,"")</f>
        <v>#REF!</v>
      </c>
      <c r="AF181" s="110">
        <f t="shared" ca="1" si="19"/>
        <v>44553</v>
      </c>
      <c r="AH181" s="13">
        <f t="shared" ca="1" si="20"/>
        <v>35</v>
      </c>
    </row>
    <row r="182" spans="1:34" x14ac:dyDescent="0.25">
      <c r="A182" s="13" t="s">
        <v>8</v>
      </c>
      <c r="B182" s="13" t="s">
        <v>8</v>
      </c>
      <c r="C182" s="13" t="s">
        <v>245</v>
      </c>
      <c r="D182" s="13" t="s">
        <v>743</v>
      </c>
      <c r="E182" s="13" t="s">
        <v>1183</v>
      </c>
      <c r="F182" s="13">
        <v>2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9">
        <v>44518</v>
      </c>
      <c r="L182" s="109">
        <v>44515</v>
      </c>
      <c r="Q182" s="13" t="str">
        <f t="shared" si="14"/>
        <v>IBA1CRD023535AUTOSERVICIONUTRESA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19</v>
      </c>
      <c r="Y182" s="13">
        <v>32</v>
      </c>
      <c r="Z182" s="13">
        <v>32</v>
      </c>
      <c r="AA182" s="13">
        <v>19456</v>
      </c>
      <c r="AB182" s="13">
        <v>38912</v>
      </c>
      <c r="AC182" s="13">
        <v>2.7022000000000001E-2</v>
      </c>
      <c r="AD182" s="110">
        <f t="shared" si="18"/>
        <v>44522</v>
      </c>
      <c r="AE182" s="13" t="e">
        <f>IF(AND(AD182&lt;=$AI$4,#REF!&lt;1),1,"")</f>
        <v>#REF!</v>
      </c>
      <c r="AF182" s="110">
        <f t="shared" ca="1" si="19"/>
        <v>44553</v>
      </c>
      <c r="AH182" s="13">
        <f t="shared" ca="1" si="20"/>
        <v>35</v>
      </c>
    </row>
    <row r="183" spans="1:34" x14ac:dyDescent="0.25">
      <c r="A183" s="13" t="s">
        <v>8</v>
      </c>
      <c r="B183" s="13" t="s">
        <v>8</v>
      </c>
      <c r="C183" s="13" t="s">
        <v>244</v>
      </c>
      <c r="D183" s="13" t="s">
        <v>744</v>
      </c>
      <c r="E183" s="13" t="s">
        <v>1183</v>
      </c>
      <c r="F183" s="13">
        <v>2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9">
        <v>44518</v>
      </c>
      <c r="L183" s="109">
        <v>44515</v>
      </c>
      <c r="Q183" s="13" t="str">
        <f t="shared" si="14"/>
        <v>IBA1CRD023531AUTOSERVICIONUTRESA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19</v>
      </c>
      <c r="Y183" s="13">
        <v>32</v>
      </c>
      <c r="Z183" s="13">
        <v>32</v>
      </c>
      <c r="AA183" s="13">
        <v>19456</v>
      </c>
      <c r="AB183" s="13">
        <v>38912</v>
      </c>
      <c r="AC183" s="13">
        <v>2.7022000000000001E-2</v>
      </c>
      <c r="AD183" s="110">
        <f t="shared" si="18"/>
        <v>44522</v>
      </c>
      <c r="AE183" s="13" t="e">
        <f>IF(AND(AD183&lt;=$AI$4,#REF!&lt;1),1,"")</f>
        <v>#REF!</v>
      </c>
      <c r="AF183" s="110">
        <f t="shared" ca="1" si="19"/>
        <v>44553</v>
      </c>
      <c r="AH183" s="13">
        <f t="shared" ca="1" si="20"/>
        <v>35</v>
      </c>
    </row>
    <row r="184" spans="1:34" x14ac:dyDescent="0.25">
      <c r="A184" s="13" t="s">
        <v>4</v>
      </c>
      <c r="B184" s="13" t="s">
        <v>4</v>
      </c>
      <c r="C184" s="13" t="s">
        <v>391</v>
      </c>
      <c r="D184" s="13" t="s">
        <v>745</v>
      </c>
      <c r="E184" s="13" t="s">
        <v>727</v>
      </c>
      <c r="F184" s="13">
        <v>1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9">
        <v>44513</v>
      </c>
      <c r="L184" s="109">
        <v>44515</v>
      </c>
      <c r="Q184" s="13" t="str">
        <f t="shared" si="14"/>
        <v>BGTAACT000484AUTOSERVICIONUTRESA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60</v>
      </c>
      <c r="Y184" s="13">
        <v>60</v>
      </c>
      <c r="Z184" s="13">
        <v>150</v>
      </c>
      <c r="AA184" s="13">
        <v>540000</v>
      </c>
      <c r="AB184" s="13">
        <v>540000</v>
      </c>
      <c r="AC184" s="13">
        <v>0.375</v>
      </c>
      <c r="AD184" s="110">
        <f t="shared" si="18"/>
        <v>44517</v>
      </c>
      <c r="AE184" s="13" t="e">
        <f>IF(AND(AD184&lt;=$AI$4,#REF!&lt;1),1,"")</f>
        <v>#REF!</v>
      </c>
      <c r="AF184" s="110">
        <f t="shared" ca="1" si="19"/>
        <v>44553</v>
      </c>
      <c r="AH184" s="13">
        <f t="shared" ca="1" si="20"/>
        <v>40</v>
      </c>
    </row>
    <row r="185" spans="1:34" x14ac:dyDescent="0.25">
      <c r="A185" s="13" t="s">
        <v>6</v>
      </c>
      <c r="B185" s="13" t="s">
        <v>6</v>
      </c>
      <c r="C185" s="13" t="s">
        <v>391</v>
      </c>
      <c r="D185" s="13" t="s">
        <v>745</v>
      </c>
      <c r="E185" s="13" t="s">
        <v>727</v>
      </c>
      <c r="F185" s="13">
        <v>3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9">
        <v>44513</v>
      </c>
      <c r="L185" s="109">
        <v>44515</v>
      </c>
      <c r="Q185" s="13" t="str">
        <f t="shared" si="14"/>
        <v>CALIACT000484AUTOSERVICIONUTRESA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60</v>
      </c>
      <c r="Y185" s="13">
        <v>60</v>
      </c>
      <c r="Z185" s="13">
        <v>150</v>
      </c>
      <c r="AA185" s="13">
        <v>540000</v>
      </c>
      <c r="AB185" s="13">
        <v>1620000</v>
      </c>
      <c r="AC185" s="13">
        <v>1.125</v>
      </c>
      <c r="AD185" s="110">
        <f t="shared" si="18"/>
        <v>44517</v>
      </c>
      <c r="AE185" s="13" t="e">
        <f>IF(AND(AD185&lt;=$AI$4,#REF!&lt;1),1,"")</f>
        <v>#REF!</v>
      </c>
      <c r="AF185" s="110">
        <f t="shared" ca="1" si="19"/>
        <v>44553</v>
      </c>
      <c r="AH185" s="13">
        <f t="shared" ca="1" si="20"/>
        <v>40</v>
      </c>
    </row>
    <row r="186" spans="1:34" x14ac:dyDescent="0.25">
      <c r="A186" s="13" t="s">
        <v>8</v>
      </c>
      <c r="B186" s="13" t="s">
        <v>8</v>
      </c>
      <c r="C186" s="13" t="s">
        <v>391</v>
      </c>
      <c r="D186" s="13" t="s">
        <v>745</v>
      </c>
      <c r="E186" s="13" t="s">
        <v>727</v>
      </c>
      <c r="F186" s="13">
        <v>2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9">
        <v>44513</v>
      </c>
      <c r="L186" s="109">
        <v>44515</v>
      </c>
      <c r="Q186" s="13" t="str">
        <f t="shared" si="14"/>
        <v>IBA1ACT000484AUTOSERVICIONUTRESA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60</v>
      </c>
      <c r="Y186" s="13">
        <v>60</v>
      </c>
      <c r="Z186" s="13">
        <v>150</v>
      </c>
      <c r="AA186" s="13">
        <v>540000</v>
      </c>
      <c r="AB186" s="13">
        <v>1080000</v>
      </c>
      <c r="AC186" s="13">
        <v>0.75</v>
      </c>
      <c r="AD186" s="110">
        <f t="shared" si="18"/>
        <v>44517</v>
      </c>
      <c r="AE186" s="13" t="e">
        <f>IF(AND(AD186&lt;=$AI$4,#REF!&lt;1),1,"")</f>
        <v>#REF!</v>
      </c>
      <c r="AF186" s="110">
        <f t="shared" ca="1" si="19"/>
        <v>44553</v>
      </c>
      <c r="AH186" s="13">
        <f t="shared" ca="1" si="20"/>
        <v>40</v>
      </c>
    </row>
    <row r="187" spans="1:34" x14ac:dyDescent="0.25">
      <c r="A187" s="13" t="s">
        <v>10</v>
      </c>
      <c r="B187" s="13" t="s">
        <v>10</v>
      </c>
      <c r="C187" s="13" t="s">
        <v>391</v>
      </c>
      <c r="D187" s="13" t="s">
        <v>745</v>
      </c>
      <c r="E187" s="13" t="s">
        <v>727</v>
      </c>
      <c r="F187" s="13">
        <v>2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9">
        <v>44513</v>
      </c>
      <c r="L187" s="109">
        <v>44515</v>
      </c>
      <c r="Q187" s="13" t="str">
        <f t="shared" si="14"/>
        <v>PEREACT000484AUTOSERVICIONUTRESA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60</v>
      </c>
      <c r="Y187" s="13">
        <v>60</v>
      </c>
      <c r="Z187" s="13">
        <v>150</v>
      </c>
      <c r="AA187" s="13">
        <v>540000</v>
      </c>
      <c r="AB187" s="13">
        <v>1080000</v>
      </c>
      <c r="AC187" s="13">
        <v>0.75</v>
      </c>
      <c r="AD187" s="110">
        <f t="shared" si="18"/>
        <v>44517</v>
      </c>
      <c r="AE187" s="13" t="e">
        <f>IF(AND(AD187&lt;=$AI$4,#REF!&lt;1),1,"")</f>
        <v>#REF!</v>
      </c>
      <c r="AF187" s="110">
        <f t="shared" ca="1" si="19"/>
        <v>44553</v>
      </c>
      <c r="AH187" s="13">
        <f t="shared" ca="1" si="20"/>
        <v>40</v>
      </c>
    </row>
    <row r="188" spans="1:34" x14ac:dyDescent="0.25">
      <c r="A188" s="13" t="s">
        <v>10</v>
      </c>
      <c r="B188" s="13" t="s">
        <v>10</v>
      </c>
      <c r="C188" s="13" t="s">
        <v>1184</v>
      </c>
      <c r="D188" s="13" t="s">
        <v>746</v>
      </c>
      <c r="E188" s="13" t="s">
        <v>727</v>
      </c>
      <c r="F188" s="13">
        <v>2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9">
        <v>44513</v>
      </c>
      <c r="L188" s="109">
        <v>44515</v>
      </c>
      <c r="Q188" s="13" t="str">
        <f t="shared" si="14"/>
        <v>PEREACT000481AUTOSERVICIONUTRESA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60</v>
      </c>
      <c r="Y188" s="13">
        <v>60</v>
      </c>
      <c r="Z188" s="13">
        <v>150</v>
      </c>
      <c r="AA188" s="13">
        <v>540000</v>
      </c>
      <c r="AB188" s="13">
        <v>1080000</v>
      </c>
      <c r="AC188" s="13">
        <v>0.75</v>
      </c>
      <c r="AD188" s="110">
        <f t="shared" si="18"/>
        <v>44517</v>
      </c>
      <c r="AE188" s="13" t="e">
        <f>IF(AND(AD188&lt;=$AI$4,#REF!&lt;1),1,"")</f>
        <v>#REF!</v>
      </c>
      <c r="AF188" s="110">
        <f t="shared" ca="1" si="19"/>
        <v>44553</v>
      </c>
      <c r="AH188" s="13">
        <f t="shared" ca="1" si="20"/>
        <v>40</v>
      </c>
    </row>
    <row r="189" spans="1:34" x14ac:dyDescent="0.25">
      <c r="A189" s="13" t="s">
        <v>6</v>
      </c>
      <c r="B189" s="13" t="s">
        <v>6</v>
      </c>
      <c r="C189" s="13" t="s">
        <v>1185</v>
      </c>
      <c r="D189" s="13" t="s">
        <v>747</v>
      </c>
      <c r="E189" s="13" t="s">
        <v>727</v>
      </c>
      <c r="F189" s="13">
        <v>1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9">
        <v>44513</v>
      </c>
      <c r="L189" s="109">
        <v>44515</v>
      </c>
      <c r="Q189" s="13" t="str">
        <f t="shared" si="14"/>
        <v>CALIACT000489AUTOSERVICIONUTRESA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40</v>
      </c>
      <c r="Y189" s="13">
        <v>94</v>
      </c>
      <c r="Z189" s="13">
        <v>121</v>
      </c>
      <c r="AA189" s="13">
        <v>454960</v>
      </c>
      <c r="AB189" s="13">
        <v>454960</v>
      </c>
      <c r="AC189" s="13">
        <v>0.315944</v>
      </c>
      <c r="AD189" s="110">
        <f t="shared" si="18"/>
        <v>44517</v>
      </c>
      <c r="AE189" s="13" t="e">
        <f>IF(AND(AD189&lt;=$AI$4,#REF!&lt;1),1,"")</f>
        <v>#REF!</v>
      </c>
      <c r="AF189" s="110">
        <f t="shared" ca="1" si="19"/>
        <v>44553</v>
      </c>
      <c r="AH189" s="13">
        <f t="shared" ca="1" si="20"/>
        <v>40</v>
      </c>
    </row>
    <row r="190" spans="1:34" x14ac:dyDescent="0.25">
      <c r="A190" s="13" t="s">
        <v>8</v>
      </c>
      <c r="B190" s="13" t="s">
        <v>8</v>
      </c>
      <c r="C190" s="13" t="s">
        <v>1186</v>
      </c>
      <c r="D190" s="13" t="s">
        <v>748</v>
      </c>
      <c r="E190" s="13" t="s">
        <v>727</v>
      </c>
      <c r="F190" s="13">
        <v>1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9">
        <v>44513</v>
      </c>
      <c r="L190" s="109">
        <v>44515</v>
      </c>
      <c r="Q190" s="13" t="str">
        <f t="shared" si="14"/>
        <v>IBA1ACT000549AUTOSERVICIONUTRESA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40</v>
      </c>
      <c r="Y190" s="13">
        <v>94</v>
      </c>
      <c r="Z190" s="13">
        <v>121</v>
      </c>
      <c r="AA190" s="13">
        <v>454960</v>
      </c>
      <c r="AB190" s="13">
        <v>454960</v>
      </c>
      <c r="AC190" s="13">
        <v>0.315944</v>
      </c>
      <c r="AD190" s="110">
        <f t="shared" si="18"/>
        <v>44517</v>
      </c>
      <c r="AE190" s="13" t="e">
        <f>IF(AND(AD190&lt;=$AI$4,#REF!&lt;1),1,"")</f>
        <v>#REF!</v>
      </c>
      <c r="AF190" s="110">
        <f t="shared" ca="1" si="19"/>
        <v>44553</v>
      </c>
      <c r="AH190" s="13">
        <f t="shared" ca="1" si="20"/>
        <v>40</v>
      </c>
    </row>
    <row r="191" spans="1:34" x14ac:dyDescent="0.25">
      <c r="A191" s="13" t="s">
        <v>6</v>
      </c>
      <c r="B191" s="13" t="s">
        <v>6</v>
      </c>
      <c r="C191" s="13" t="s">
        <v>392</v>
      </c>
      <c r="D191" s="13" t="s">
        <v>393</v>
      </c>
      <c r="E191" s="13" t="s">
        <v>725</v>
      </c>
      <c r="F191" s="13">
        <v>1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9">
        <v>44505</v>
      </c>
      <c r="L191" s="109">
        <v>44515</v>
      </c>
      <c r="Q191" s="13" t="str">
        <f t="shared" si="14"/>
        <v>CALIACT000550AUTOSERVICIONUTRESA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50</v>
      </c>
      <c r="Y191" s="13">
        <v>50</v>
      </c>
      <c r="Z191" s="13">
        <v>152</v>
      </c>
      <c r="AA191" s="13">
        <v>375000</v>
      </c>
      <c r="AB191" s="13">
        <v>375000</v>
      </c>
      <c r="AC191" s="13">
        <v>0.26041700000000001</v>
      </c>
      <c r="AD191" s="110">
        <f t="shared" si="18"/>
        <v>44509</v>
      </c>
      <c r="AE191" s="13" t="e">
        <f>IF(AND(AD191&lt;=$AI$4,#REF!&lt;1),1,"")</f>
        <v>#REF!</v>
      </c>
      <c r="AF191" s="110">
        <f t="shared" ca="1" si="19"/>
        <v>44553</v>
      </c>
      <c r="AH191" s="13">
        <f t="shared" ca="1" si="20"/>
        <v>48</v>
      </c>
    </row>
    <row r="192" spans="1:34" x14ac:dyDescent="0.25">
      <c r="A192" s="13" t="s">
        <v>10</v>
      </c>
      <c r="B192" s="13" t="s">
        <v>10</v>
      </c>
      <c r="C192" s="13" t="s">
        <v>392</v>
      </c>
      <c r="D192" s="13" t="s">
        <v>393</v>
      </c>
      <c r="E192" s="13" t="s">
        <v>725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9">
        <v>44505</v>
      </c>
      <c r="L192" s="109">
        <v>44515</v>
      </c>
      <c r="Q192" s="13" t="str">
        <f t="shared" si="14"/>
        <v>PEREACT000550AUTOSERVICIONUTRESA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50</v>
      </c>
      <c r="Y192" s="13">
        <v>50</v>
      </c>
      <c r="Z192" s="13">
        <v>152</v>
      </c>
      <c r="AA192" s="13">
        <v>375000</v>
      </c>
      <c r="AB192" s="13">
        <v>375000</v>
      </c>
      <c r="AC192" s="13">
        <v>0.26041700000000001</v>
      </c>
      <c r="AD192" s="110">
        <f t="shared" si="18"/>
        <v>44509</v>
      </c>
      <c r="AE192" s="13" t="e">
        <f>IF(AND(AD192&lt;=$AI$4,#REF!&lt;1),1,"")</f>
        <v>#REF!</v>
      </c>
      <c r="AF192" s="110">
        <f t="shared" ca="1" si="19"/>
        <v>44553</v>
      </c>
      <c r="AH192" s="13">
        <f t="shared" ca="1" si="20"/>
        <v>48</v>
      </c>
    </row>
    <row r="193" spans="1:34" x14ac:dyDescent="0.25">
      <c r="A193" s="13" t="s">
        <v>8</v>
      </c>
      <c r="B193" s="13" t="s">
        <v>8</v>
      </c>
      <c r="C193" s="13" t="s">
        <v>1187</v>
      </c>
      <c r="D193" s="13" t="s">
        <v>749</v>
      </c>
      <c r="E193" s="13" t="s">
        <v>723</v>
      </c>
      <c r="F193" s="13">
        <v>2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9">
        <v>44517</v>
      </c>
      <c r="L193" s="109">
        <v>44515</v>
      </c>
      <c r="Q193" s="13" t="str">
        <f t="shared" si="14"/>
        <v>IBA1ACT000460AUTOSERVICIONUTRESA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70</v>
      </c>
      <c r="Y193" s="13">
        <v>135</v>
      </c>
      <c r="Z193" s="13">
        <v>168</v>
      </c>
      <c r="AA193" s="13">
        <v>1587600</v>
      </c>
      <c r="AB193" s="13">
        <v>3175200</v>
      </c>
      <c r="AC193" s="13">
        <v>2.2050000000000001</v>
      </c>
      <c r="AD193" s="110">
        <f t="shared" si="18"/>
        <v>44521</v>
      </c>
      <c r="AE193" s="13" t="e">
        <f>IF(AND(AD193&lt;=$AI$4,#REF!&lt;1),1,"")</f>
        <v>#REF!</v>
      </c>
      <c r="AF193" s="110">
        <f t="shared" ca="1" si="19"/>
        <v>44553</v>
      </c>
      <c r="AH193" s="13">
        <f t="shared" ca="1" si="20"/>
        <v>36</v>
      </c>
    </row>
    <row r="194" spans="1:34" x14ac:dyDescent="0.25">
      <c r="A194" s="13" t="s">
        <v>6</v>
      </c>
      <c r="B194" s="13" t="s">
        <v>6</v>
      </c>
      <c r="C194" s="13" t="s">
        <v>243</v>
      </c>
      <c r="D194" s="13" t="s">
        <v>750</v>
      </c>
      <c r="E194" s="13" t="s">
        <v>723</v>
      </c>
      <c r="F194" s="13">
        <v>1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9">
        <v>44517</v>
      </c>
      <c r="L194" s="109">
        <v>44515</v>
      </c>
      <c r="Q194" s="13" t="str">
        <f t="shared" si="14"/>
        <v>CALIACT000466AUTOSERVICIONUTRESA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70</v>
      </c>
      <c r="Y194" s="13">
        <v>135</v>
      </c>
      <c r="Z194" s="13">
        <v>168</v>
      </c>
      <c r="AA194" s="13">
        <v>1587600</v>
      </c>
      <c r="AB194" s="13">
        <v>1587600</v>
      </c>
      <c r="AC194" s="13">
        <v>1.1025</v>
      </c>
      <c r="AD194" s="110">
        <f t="shared" si="18"/>
        <v>44521</v>
      </c>
      <c r="AE194" s="13" t="e">
        <f>IF(AND(AD194&lt;=$AI$4,#REF!&lt;1),1,"")</f>
        <v>#REF!</v>
      </c>
      <c r="AF194" s="110">
        <f t="shared" ca="1" si="19"/>
        <v>44553</v>
      </c>
      <c r="AH194" s="13">
        <f t="shared" ca="1" si="20"/>
        <v>36</v>
      </c>
    </row>
    <row r="195" spans="1:34" x14ac:dyDescent="0.25">
      <c r="A195" s="13" t="s">
        <v>8</v>
      </c>
      <c r="B195" s="13" t="s">
        <v>8</v>
      </c>
      <c r="C195" s="13" t="s">
        <v>243</v>
      </c>
      <c r="D195" s="13" t="s">
        <v>750</v>
      </c>
      <c r="E195" s="13" t="s">
        <v>723</v>
      </c>
      <c r="F195" s="13">
        <v>4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9">
        <v>44517</v>
      </c>
      <c r="L195" s="109">
        <v>44515</v>
      </c>
      <c r="Q195" s="13" t="str">
        <f t="shared" ref="Q195:Q258" si="21">+CONCATENATE(B195,C195,H195,I195)</f>
        <v>IBA1ACT000466AUTOSERVICIONUTRESA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70</v>
      </c>
      <c r="Y195" s="13">
        <v>135</v>
      </c>
      <c r="Z195" s="13">
        <v>168</v>
      </c>
      <c r="AA195" s="13">
        <v>1587600</v>
      </c>
      <c r="AB195" s="13">
        <v>6350400</v>
      </c>
      <c r="AC195" s="13">
        <v>4.41</v>
      </c>
      <c r="AD195" s="110">
        <f t="shared" ref="AD195:AD258" si="25">K195+4</f>
        <v>44521</v>
      </c>
      <c r="AE195" s="13" t="e">
        <f>IF(AND(AD195&lt;=$AI$4,#REF!&lt;1),1,"")</f>
        <v>#REF!</v>
      </c>
      <c r="AF195" s="110">
        <f t="shared" ref="AF195:AF258" ca="1" si="26">TODAY()</f>
        <v>44553</v>
      </c>
      <c r="AH195" s="13">
        <f t="shared" ref="AH195:AH258" ca="1" si="27">AF195-K195</f>
        <v>36</v>
      </c>
    </row>
    <row r="196" spans="1:34" x14ac:dyDescent="0.25">
      <c r="A196" s="13" t="s">
        <v>10</v>
      </c>
      <c r="B196" s="13" t="s">
        <v>10</v>
      </c>
      <c r="C196" s="13" t="s">
        <v>243</v>
      </c>
      <c r="D196" s="13" t="s">
        <v>750</v>
      </c>
      <c r="E196" s="13" t="s">
        <v>723</v>
      </c>
      <c r="F196" s="13">
        <v>6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9">
        <v>44517</v>
      </c>
      <c r="L196" s="109">
        <v>44515</v>
      </c>
      <c r="Q196" s="13" t="str">
        <f t="shared" si="21"/>
        <v>PEREACT000466AUTOSERVICIONUTRESA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70</v>
      </c>
      <c r="Y196" s="13">
        <v>135</v>
      </c>
      <c r="Z196" s="13">
        <v>168</v>
      </c>
      <c r="AA196" s="13">
        <v>1587600</v>
      </c>
      <c r="AB196" s="13">
        <v>9525600</v>
      </c>
      <c r="AC196" s="13">
        <v>6.6150000000000002</v>
      </c>
      <c r="AD196" s="110">
        <f t="shared" si="25"/>
        <v>44521</v>
      </c>
      <c r="AE196" s="13" t="e">
        <f>IF(AND(AD196&lt;=$AI$4,#REF!&lt;1),1,"")</f>
        <v>#REF!</v>
      </c>
      <c r="AF196" s="110">
        <f t="shared" ca="1" si="26"/>
        <v>44553</v>
      </c>
      <c r="AH196" s="13">
        <f t="shared" ca="1" si="27"/>
        <v>36</v>
      </c>
    </row>
    <row r="197" spans="1:34" x14ac:dyDescent="0.25">
      <c r="A197" s="13" t="s">
        <v>8</v>
      </c>
      <c r="B197" s="13" t="s">
        <v>8</v>
      </c>
      <c r="C197" s="13" t="s">
        <v>1188</v>
      </c>
      <c r="D197" s="13" t="s">
        <v>751</v>
      </c>
      <c r="E197" s="13" t="s">
        <v>723</v>
      </c>
      <c r="F197" s="13">
        <v>2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9">
        <v>44517</v>
      </c>
      <c r="L197" s="109">
        <v>44515</v>
      </c>
      <c r="Q197" s="13" t="str">
        <f t="shared" si="21"/>
        <v>IBA1ACT000465AUTOSERVICIONUTRESA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70</v>
      </c>
      <c r="Y197" s="13">
        <v>98</v>
      </c>
      <c r="Z197" s="13">
        <v>168</v>
      </c>
      <c r="AA197" s="13">
        <v>1152480</v>
      </c>
      <c r="AB197" s="13">
        <v>2304960</v>
      </c>
      <c r="AC197" s="13">
        <v>1.6006670000000001</v>
      </c>
      <c r="AD197" s="110">
        <f t="shared" si="25"/>
        <v>44521</v>
      </c>
      <c r="AE197" s="13" t="e">
        <f>IF(AND(AD197&lt;=$AI$4,#REF!&lt;1),1,"")</f>
        <v>#REF!</v>
      </c>
      <c r="AF197" s="110">
        <f t="shared" ca="1" si="26"/>
        <v>44553</v>
      </c>
      <c r="AH197" s="13">
        <f t="shared" ca="1" si="27"/>
        <v>36</v>
      </c>
    </row>
    <row r="198" spans="1:34" x14ac:dyDescent="0.25">
      <c r="A198" s="13" t="s">
        <v>6</v>
      </c>
      <c r="B198" s="13" t="s">
        <v>6</v>
      </c>
      <c r="C198" s="13" t="s">
        <v>1189</v>
      </c>
      <c r="D198" s="13" t="s">
        <v>752</v>
      </c>
      <c r="E198" s="13" t="s">
        <v>723</v>
      </c>
      <c r="F198" s="13">
        <v>7</v>
      </c>
      <c r="G198" s="2" t="s">
        <v>390</v>
      </c>
      <c r="H198" s="13" t="s">
        <v>0</v>
      </c>
      <c r="I198" s="13" t="s">
        <v>140</v>
      </c>
      <c r="J198" s="13" t="s">
        <v>46</v>
      </c>
      <c r="K198" s="109">
        <v>44517</v>
      </c>
      <c r="L198" s="109">
        <v>44515</v>
      </c>
      <c r="Q198" s="13" t="str">
        <f t="shared" si="21"/>
        <v>CALIACT000467AUTOSERVICIONUTRESA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70</v>
      </c>
      <c r="Y198" s="13">
        <v>98</v>
      </c>
      <c r="Z198" s="13">
        <v>168</v>
      </c>
      <c r="AA198" s="13">
        <v>1152480</v>
      </c>
      <c r="AB198" s="13">
        <v>8067360</v>
      </c>
      <c r="AC198" s="13">
        <v>5.6023329999999998</v>
      </c>
      <c r="AD198" s="110">
        <f t="shared" si="25"/>
        <v>44521</v>
      </c>
      <c r="AE198" s="13" t="e">
        <f>IF(AND(AD198&lt;=$AI$4,#REF!&lt;1),1,"")</f>
        <v>#REF!</v>
      </c>
      <c r="AF198" s="110">
        <f t="shared" ca="1" si="26"/>
        <v>44553</v>
      </c>
      <c r="AH198" s="13">
        <f t="shared" ca="1" si="27"/>
        <v>36</v>
      </c>
    </row>
    <row r="199" spans="1:34" x14ac:dyDescent="0.25">
      <c r="A199" s="13" t="s">
        <v>8</v>
      </c>
      <c r="B199" s="13" t="s">
        <v>8</v>
      </c>
      <c r="C199" s="13" t="s">
        <v>1189</v>
      </c>
      <c r="D199" s="13" t="s">
        <v>752</v>
      </c>
      <c r="E199" s="13" t="s">
        <v>723</v>
      </c>
      <c r="F199" s="13">
        <v>1</v>
      </c>
      <c r="G199" s="2" t="s">
        <v>390</v>
      </c>
      <c r="H199" s="13" t="s">
        <v>0</v>
      </c>
      <c r="I199" s="13" t="s">
        <v>140</v>
      </c>
      <c r="J199" s="13" t="s">
        <v>46</v>
      </c>
      <c r="K199" s="109">
        <v>44517</v>
      </c>
      <c r="L199" s="109">
        <v>44515</v>
      </c>
      <c r="Q199" s="13" t="str">
        <f t="shared" si="21"/>
        <v>IBA1ACT000467AUTOSERVICIONUTRESA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70</v>
      </c>
      <c r="Y199" s="13">
        <v>98</v>
      </c>
      <c r="Z199" s="13">
        <v>168</v>
      </c>
      <c r="AA199" s="13">
        <v>1152480</v>
      </c>
      <c r="AB199" s="13">
        <v>1152480</v>
      </c>
      <c r="AC199" s="13">
        <v>0.80033299999999996</v>
      </c>
      <c r="AD199" s="110">
        <f t="shared" si="25"/>
        <v>44521</v>
      </c>
      <c r="AE199" s="13" t="e">
        <f>IF(AND(AD199&lt;=$AI$4,#REF!&lt;1),1,"")</f>
        <v>#REF!</v>
      </c>
      <c r="AF199" s="110">
        <f t="shared" ca="1" si="26"/>
        <v>44553</v>
      </c>
      <c r="AH199" s="13">
        <f t="shared" ca="1" si="27"/>
        <v>36</v>
      </c>
    </row>
    <row r="200" spans="1:34" x14ac:dyDescent="0.25">
      <c r="A200" s="13" t="s">
        <v>4</v>
      </c>
      <c r="B200" s="13" t="s">
        <v>4</v>
      </c>
      <c r="C200" s="13" t="s">
        <v>240</v>
      </c>
      <c r="D200" s="13" t="s">
        <v>753</v>
      </c>
      <c r="E200" s="13" t="s">
        <v>1179</v>
      </c>
      <c r="F200" s="13">
        <v>1</v>
      </c>
      <c r="G200" s="2" t="s">
        <v>390</v>
      </c>
      <c r="H200" s="13" t="s">
        <v>0</v>
      </c>
      <c r="I200" s="13" t="s">
        <v>140</v>
      </c>
      <c r="J200" s="13" t="s">
        <v>46</v>
      </c>
      <c r="K200" s="109">
        <v>44517</v>
      </c>
      <c r="L200" s="109">
        <v>44515</v>
      </c>
      <c r="Q200" s="13" t="str">
        <f t="shared" si="21"/>
        <v>BGTAACT000502AUTOSERVICIONUTRESA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37</v>
      </c>
      <c r="Y200" s="13">
        <v>49</v>
      </c>
      <c r="Z200" s="13">
        <v>163</v>
      </c>
      <c r="AA200" s="13">
        <v>282240</v>
      </c>
      <c r="AB200" s="13">
        <v>282240</v>
      </c>
      <c r="AC200" s="13">
        <v>0.19600000000000001</v>
      </c>
      <c r="AD200" s="110">
        <f t="shared" si="25"/>
        <v>44521</v>
      </c>
      <c r="AE200" s="13" t="e">
        <f>IF(AND(AD200&lt;=$AI$4,#REF!&lt;1),1,"")</f>
        <v>#REF!</v>
      </c>
      <c r="AF200" s="110">
        <f t="shared" ca="1" si="26"/>
        <v>44553</v>
      </c>
      <c r="AH200" s="13">
        <f t="shared" ca="1" si="27"/>
        <v>36</v>
      </c>
    </row>
    <row r="201" spans="1:34" x14ac:dyDescent="0.25">
      <c r="A201" s="13" t="s">
        <v>5</v>
      </c>
      <c r="B201" s="13" t="s">
        <v>5</v>
      </c>
      <c r="C201" s="13" t="s">
        <v>240</v>
      </c>
      <c r="D201" s="13" t="s">
        <v>753</v>
      </c>
      <c r="E201" s="13" t="s">
        <v>1179</v>
      </c>
      <c r="F201" s="13">
        <v>6</v>
      </c>
      <c r="G201" s="2" t="s">
        <v>390</v>
      </c>
      <c r="H201" s="13" t="s">
        <v>0</v>
      </c>
      <c r="I201" s="13" t="s">
        <v>140</v>
      </c>
      <c r="J201" s="13" t="s">
        <v>46</v>
      </c>
      <c r="K201" s="109">
        <v>44517</v>
      </c>
      <c r="L201" s="109">
        <v>44515</v>
      </c>
      <c r="Q201" s="13" t="str">
        <f t="shared" si="21"/>
        <v>BUCAACT000502AUTOSERVICIONUTRESA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37</v>
      </c>
      <c r="Y201" s="13">
        <v>49</v>
      </c>
      <c r="Z201" s="13">
        <v>163</v>
      </c>
      <c r="AA201" s="13">
        <v>282240</v>
      </c>
      <c r="AB201" s="13">
        <v>1693440</v>
      </c>
      <c r="AC201" s="13">
        <v>1.1759999999999999</v>
      </c>
      <c r="AD201" s="110">
        <f t="shared" si="25"/>
        <v>44521</v>
      </c>
      <c r="AE201" s="13" t="e">
        <f>IF(AND(AD201&lt;=$AI$4,#REF!&lt;1),1,"")</f>
        <v>#REF!</v>
      </c>
      <c r="AF201" s="110">
        <f t="shared" ca="1" si="26"/>
        <v>44553</v>
      </c>
      <c r="AH201" s="13">
        <f t="shared" ca="1" si="27"/>
        <v>36</v>
      </c>
    </row>
    <row r="202" spans="1:34" x14ac:dyDescent="0.25">
      <c r="A202" s="13" t="s">
        <v>8</v>
      </c>
      <c r="B202" s="13" t="s">
        <v>8</v>
      </c>
      <c r="C202" s="13" t="s">
        <v>240</v>
      </c>
      <c r="D202" s="13" t="s">
        <v>753</v>
      </c>
      <c r="E202" s="13" t="s">
        <v>1179</v>
      </c>
      <c r="F202" s="13">
        <v>1</v>
      </c>
      <c r="G202" s="2" t="s">
        <v>390</v>
      </c>
      <c r="H202" s="13" t="s">
        <v>0</v>
      </c>
      <c r="I202" s="13" t="s">
        <v>140</v>
      </c>
      <c r="J202" s="13" t="s">
        <v>46</v>
      </c>
      <c r="K202" s="109">
        <v>44517</v>
      </c>
      <c r="L202" s="109">
        <v>44515</v>
      </c>
      <c r="P202" s="110">
        <v>44511</v>
      </c>
      <c r="Q202" s="13" t="str">
        <f t="shared" si="21"/>
        <v>IBA1ACT000502AUTOSERVICIONUTRESA</v>
      </c>
      <c r="R202" s="2">
        <v>1</v>
      </c>
      <c r="S202" s="13">
        <v>1</v>
      </c>
      <c r="T202" s="123">
        <f t="shared" si="22"/>
        <v>1</v>
      </c>
      <c r="U202" s="13">
        <f t="shared" si="23"/>
        <v>0</v>
      </c>
      <c r="V202" s="123">
        <f t="shared" si="24"/>
        <v>0</v>
      </c>
      <c r="X202" s="13">
        <v>37</v>
      </c>
      <c r="Y202" s="13">
        <v>49</v>
      </c>
      <c r="Z202" s="13">
        <v>163</v>
      </c>
      <c r="AA202" s="13">
        <v>282240</v>
      </c>
      <c r="AB202" s="13">
        <v>282240</v>
      </c>
      <c r="AC202" s="13">
        <v>0.19600000000000001</v>
      </c>
      <c r="AD202" s="110">
        <f t="shared" si="25"/>
        <v>44521</v>
      </c>
      <c r="AE202" s="13" t="e">
        <f>IF(AND(AD202&lt;=$AI$4,#REF!&lt;1),1,"")</f>
        <v>#REF!</v>
      </c>
      <c r="AF202" s="110">
        <f t="shared" ca="1" si="26"/>
        <v>44553</v>
      </c>
      <c r="AH202" s="13">
        <f t="shared" ca="1" si="27"/>
        <v>36</v>
      </c>
    </row>
    <row r="203" spans="1:34" x14ac:dyDescent="0.25">
      <c r="A203" s="13" t="s">
        <v>6</v>
      </c>
      <c r="B203" s="13" t="s">
        <v>6</v>
      </c>
      <c r="C203" s="13" t="s">
        <v>240</v>
      </c>
      <c r="D203" s="13" t="s">
        <v>753</v>
      </c>
      <c r="E203" s="13" t="s">
        <v>1179</v>
      </c>
      <c r="F203" s="13">
        <v>8</v>
      </c>
      <c r="G203" s="2" t="s">
        <v>390</v>
      </c>
      <c r="H203" s="13" t="s">
        <v>0</v>
      </c>
      <c r="I203" s="13" t="s">
        <v>140</v>
      </c>
      <c r="J203" s="13" t="s">
        <v>46</v>
      </c>
      <c r="K203" s="109">
        <v>44517</v>
      </c>
      <c r="L203" s="109">
        <v>44515</v>
      </c>
      <c r="Q203" s="13" t="str">
        <f t="shared" si="21"/>
        <v>CALIACT000502AUTOSERVICIONUTRESA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37</v>
      </c>
      <c r="Y203" s="13">
        <v>49</v>
      </c>
      <c r="Z203" s="13">
        <v>163</v>
      </c>
      <c r="AA203" s="13">
        <v>282240</v>
      </c>
      <c r="AB203" s="13">
        <v>2257920</v>
      </c>
      <c r="AC203" s="13">
        <v>1.5680000000000001</v>
      </c>
      <c r="AD203" s="110">
        <f t="shared" si="25"/>
        <v>44521</v>
      </c>
      <c r="AE203" s="13" t="e">
        <f>IF(AND(AD203&lt;=$AI$4,#REF!&lt;1),1,"")</f>
        <v>#REF!</v>
      </c>
      <c r="AF203" s="110">
        <f t="shared" ca="1" si="26"/>
        <v>44553</v>
      </c>
      <c r="AH203" s="13">
        <f t="shared" ca="1" si="27"/>
        <v>36</v>
      </c>
    </row>
    <row r="204" spans="1:34" x14ac:dyDescent="0.25">
      <c r="A204" s="13" t="s">
        <v>4</v>
      </c>
      <c r="B204" s="13" t="s">
        <v>4</v>
      </c>
      <c r="C204" s="13" t="s">
        <v>238</v>
      </c>
      <c r="D204" s="13" t="s">
        <v>754</v>
      </c>
      <c r="E204" s="13" t="s">
        <v>1179</v>
      </c>
      <c r="F204" s="13">
        <v>1</v>
      </c>
      <c r="G204" s="2" t="s">
        <v>390</v>
      </c>
      <c r="H204" s="13" t="s">
        <v>0</v>
      </c>
      <c r="I204" s="13" t="s">
        <v>140</v>
      </c>
      <c r="J204" s="13" t="s">
        <v>46</v>
      </c>
      <c r="K204" s="109">
        <v>44517</v>
      </c>
      <c r="L204" s="109">
        <v>44515</v>
      </c>
      <c r="Q204" s="13" t="str">
        <f t="shared" si="21"/>
        <v>BGTAACT000496AUTOSERVICIONUTRESA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110</v>
      </c>
      <c r="Y204" s="13">
        <v>105</v>
      </c>
      <c r="Z204" s="13">
        <v>113</v>
      </c>
      <c r="AA204" s="13">
        <v>1416250</v>
      </c>
      <c r="AB204" s="13">
        <v>1416250</v>
      </c>
      <c r="AC204" s="13">
        <v>0.98350700000000002</v>
      </c>
      <c r="AD204" s="110">
        <f t="shared" si="25"/>
        <v>44521</v>
      </c>
      <c r="AE204" s="13" t="e">
        <f>IF(AND(AD204&lt;=$AI$4,#REF!&lt;1),1,"")</f>
        <v>#REF!</v>
      </c>
      <c r="AF204" s="110">
        <f t="shared" ca="1" si="26"/>
        <v>44553</v>
      </c>
      <c r="AH204" s="13">
        <f t="shared" ca="1" si="27"/>
        <v>36</v>
      </c>
    </row>
    <row r="205" spans="1:34" x14ac:dyDescent="0.25">
      <c r="A205" s="13" t="s">
        <v>5</v>
      </c>
      <c r="B205" s="13" t="s">
        <v>5</v>
      </c>
      <c r="C205" s="13" t="s">
        <v>238</v>
      </c>
      <c r="D205" s="13" t="s">
        <v>754</v>
      </c>
      <c r="E205" s="13" t="s">
        <v>1179</v>
      </c>
      <c r="F205" s="13">
        <v>4</v>
      </c>
      <c r="G205" s="2" t="s">
        <v>390</v>
      </c>
      <c r="H205" s="13" t="s">
        <v>0</v>
      </c>
      <c r="I205" s="13" t="s">
        <v>140</v>
      </c>
      <c r="J205" s="13" t="s">
        <v>46</v>
      </c>
      <c r="K205" s="109">
        <v>44517</v>
      </c>
      <c r="L205" s="109">
        <v>44515</v>
      </c>
      <c r="Q205" s="13" t="str">
        <f t="shared" si="21"/>
        <v>BUCAACT000496AUTOSERVICIONUTRESA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110</v>
      </c>
      <c r="Y205" s="13">
        <v>105</v>
      </c>
      <c r="Z205" s="13">
        <v>113</v>
      </c>
      <c r="AA205" s="13">
        <v>1416250</v>
      </c>
      <c r="AB205" s="13">
        <v>5665000</v>
      </c>
      <c r="AC205" s="13">
        <v>3.9340280000000001</v>
      </c>
      <c r="AD205" s="110">
        <f t="shared" si="25"/>
        <v>44521</v>
      </c>
      <c r="AE205" s="13" t="e">
        <f>IF(AND(AD205&lt;=$AI$4,#REF!&lt;1),1,"")</f>
        <v>#REF!</v>
      </c>
      <c r="AF205" s="110">
        <f t="shared" ca="1" si="26"/>
        <v>44553</v>
      </c>
      <c r="AH205" s="13">
        <f t="shared" ca="1" si="27"/>
        <v>36</v>
      </c>
    </row>
    <row r="206" spans="1:34" x14ac:dyDescent="0.25">
      <c r="A206" s="13" t="s">
        <v>6</v>
      </c>
      <c r="B206" s="13" t="s">
        <v>6</v>
      </c>
      <c r="C206" s="13" t="s">
        <v>238</v>
      </c>
      <c r="D206" s="13" t="s">
        <v>754</v>
      </c>
      <c r="E206" s="13" t="s">
        <v>1179</v>
      </c>
      <c r="F206" s="13">
        <v>6</v>
      </c>
      <c r="G206" s="2" t="s">
        <v>390</v>
      </c>
      <c r="H206" s="13" t="s">
        <v>0</v>
      </c>
      <c r="I206" s="13" t="s">
        <v>140</v>
      </c>
      <c r="J206" s="13" t="s">
        <v>46</v>
      </c>
      <c r="K206" s="109">
        <v>44517</v>
      </c>
      <c r="L206" s="109">
        <v>44515</v>
      </c>
      <c r="Q206" s="13" t="str">
        <f t="shared" si="21"/>
        <v>CALIACT000496AUTOSERVICIONUTRESA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110</v>
      </c>
      <c r="Y206" s="13">
        <v>105</v>
      </c>
      <c r="Z206" s="13">
        <v>113</v>
      </c>
      <c r="AA206" s="13">
        <v>1416250</v>
      </c>
      <c r="AB206" s="13">
        <v>8497500</v>
      </c>
      <c r="AC206" s="13">
        <v>5.9010420000000003</v>
      </c>
      <c r="AD206" s="110">
        <f t="shared" si="25"/>
        <v>44521</v>
      </c>
      <c r="AE206" s="13" t="e">
        <f>IF(AND(AD206&lt;=$AI$4,#REF!&lt;1),1,"")</f>
        <v>#REF!</v>
      </c>
      <c r="AF206" s="110">
        <f t="shared" ca="1" si="26"/>
        <v>44553</v>
      </c>
      <c r="AH206" s="13">
        <f t="shared" ca="1" si="27"/>
        <v>36</v>
      </c>
    </row>
    <row r="207" spans="1:34" x14ac:dyDescent="0.25">
      <c r="A207" s="13" t="s">
        <v>6</v>
      </c>
      <c r="B207" s="13" t="s">
        <v>6</v>
      </c>
      <c r="C207" s="13" t="s">
        <v>394</v>
      </c>
      <c r="D207" s="13" t="s">
        <v>755</v>
      </c>
      <c r="E207" s="13" t="s">
        <v>1179</v>
      </c>
      <c r="F207" s="13">
        <v>2</v>
      </c>
      <c r="G207" s="2" t="s">
        <v>390</v>
      </c>
      <c r="H207" s="13" t="s">
        <v>0</v>
      </c>
      <c r="I207" s="13" t="s">
        <v>140</v>
      </c>
      <c r="J207" s="13" t="s">
        <v>46</v>
      </c>
      <c r="K207" s="109">
        <v>44517</v>
      </c>
      <c r="L207" s="109">
        <v>44515</v>
      </c>
      <c r="Q207" s="13" t="str">
        <f t="shared" si="21"/>
        <v>CALICRD023546AUTOSERVICIONUTRESA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42</v>
      </c>
      <c r="Y207" s="13">
        <v>64</v>
      </c>
      <c r="Z207" s="13">
        <v>150</v>
      </c>
      <c r="AA207" s="13">
        <v>403200</v>
      </c>
      <c r="AB207" s="13">
        <v>806400</v>
      </c>
      <c r="AC207" s="13">
        <v>0.56000000000000005</v>
      </c>
      <c r="AD207" s="110">
        <f t="shared" si="25"/>
        <v>44521</v>
      </c>
      <c r="AE207" s="13" t="e">
        <f>IF(AND(AD207&lt;=$AI$4,#REF!&lt;1),1,"")</f>
        <v>#REF!</v>
      </c>
      <c r="AF207" s="110">
        <f t="shared" ca="1" si="26"/>
        <v>44553</v>
      </c>
      <c r="AH207" s="13">
        <f t="shared" ca="1" si="27"/>
        <v>36</v>
      </c>
    </row>
    <row r="208" spans="1:34" x14ac:dyDescent="0.25">
      <c r="A208" s="13" t="s">
        <v>3</v>
      </c>
      <c r="B208" s="13" t="s">
        <v>3</v>
      </c>
      <c r="C208" s="13" t="s">
        <v>1169</v>
      </c>
      <c r="D208" s="13" t="s">
        <v>1170</v>
      </c>
      <c r="E208" s="13" t="s">
        <v>727</v>
      </c>
      <c r="F208" s="13">
        <v>8</v>
      </c>
      <c r="G208" s="2" t="s">
        <v>329</v>
      </c>
      <c r="H208" s="13" t="s">
        <v>0</v>
      </c>
      <c r="I208" s="13" t="s">
        <v>140</v>
      </c>
      <c r="J208" s="13" t="s">
        <v>46</v>
      </c>
      <c r="K208" s="109">
        <v>44512</v>
      </c>
      <c r="L208" s="109">
        <v>44531</v>
      </c>
      <c r="Q208" s="13" t="str">
        <f t="shared" si="21"/>
        <v>BARRCRD024492AUTOSERVICIONUTRESA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13</v>
      </c>
      <c r="Y208" s="13">
        <v>25</v>
      </c>
      <c r="Z208" s="13">
        <v>30</v>
      </c>
      <c r="AA208" s="13">
        <v>9750</v>
      </c>
      <c r="AB208" s="13">
        <v>78000</v>
      </c>
      <c r="AC208" s="13">
        <v>5.4167E-2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44553</v>
      </c>
      <c r="AH208" s="13">
        <f t="shared" ca="1" si="27"/>
        <v>41</v>
      </c>
    </row>
    <row r="209" spans="1:34" x14ac:dyDescent="0.25">
      <c r="A209" s="13" t="s">
        <v>4</v>
      </c>
      <c r="B209" s="13" t="s">
        <v>4</v>
      </c>
      <c r="C209" s="13" t="s">
        <v>1169</v>
      </c>
      <c r="D209" s="13" t="s">
        <v>1170</v>
      </c>
      <c r="E209" s="13" t="s">
        <v>727</v>
      </c>
      <c r="F209" s="13">
        <v>76</v>
      </c>
      <c r="G209" s="2" t="s">
        <v>329</v>
      </c>
      <c r="H209" s="13" t="s">
        <v>0</v>
      </c>
      <c r="I209" s="13" t="s">
        <v>140</v>
      </c>
      <c r="J209" s="13" t="s">
        <v>46</v>
      </c>
      <c r="K209" s="109">
        <v>44512</v>
      </c>
      <c r="L209" s="109">
        <v>44531</v>
      </c>
      <c r="P209" s="110">
        <v>44511</v>
      </c>
      <c r="Q209" s="13" t="str">
        <f t="shared" si="21"/>
        <v>BGTACRD024492AUTOSERVICIONUTRESA</v>
      </c>
      <c r="R209" s="2">
        <v>76</v>
      </c>
      <c r="S209" s="13">
        <v>76</v>
      </c>
      <c r="T209" s="123">
        <f t="shared" si="22"/>
        <v>1</v>
      </c>
      <c r="U209" s="13">
        <f t="shared" si="23"/>
        <v>0</v>
      </c>
      <c r="V209" s="123">
        <f t="shared" si="24"/>
        <v>0</v>
      </c>
      <c r="X209" s="13">
        <v>13</v>
      </c>
      <c r="Y209" s="13">
        <v>25</v>
      </c>
      <c r="Z209" s="13">
        <v>30</v>
      </c>
      <c r="AA209" s="13">
        <v>9750</v>
      </c>
      <c r="AB209" s="13">
        <v>741000</v>
      </c>
      <c r="AC209" s="13">
        <v>0.51458300000000001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44553</v>
      </c>
      <c r="AH209" s="13">
        <f t="shared" ca="1" si="27"/>
        <v>41</v>
      </c>
    </row>
    <row r="210" spans="1:34" x14ac:dyDescent="0.25">
      <c r="A210" s="13" t="s">
        <v>724</v>
      </c>
      <c r="B210" s="13" t="s">
        <v>4</v>
      </c>
      <c r="C210" s="13" t="s">
        <v>1169</v>
      </c>
      <c r="D210" s="13" t="s">
        <v>1170</v>
      </c>
      <c r="E210" s="13" t="s">
        <v>727</v>
      </c>
      <c r="F210" s="13">
        <v>24</v>
      </c>
      <c r="G210" s="2" t="s">
        <v>329</v>
      </c>
      <c r="H210" s="13" t="s">
        <v>0</v>
      </c>
      <c r="I210" s="13" t="s">
        <v>145</v>
      </c>
      <c r="J210" s="13" t="s">
        <v>46</v>
      </c>
      <c r="K210" s="109">
        <v>44512</v>
      </c>
      <c r="L210" s="109">
        <v>44531</v>
      </c>
      <c r="P210" s="110">
        <v>44511</v>
      </c>
      <c r="Q210" s="13" t="str">
        <f t="shared" si="21"/>
        <v>BGTACRD024492AUTOSERVICIOALTILLANO</v>
      </c>
      <c r="R210" s="2">
        <v>24</v>
      </c>
      <c r="S210" s="13">
        <v>24</v>
      </c>
      <c r="T210" s="123">
        <f t="shared" si="22"/>
        <v>1</v>
      </c>
      <c r="U210" s="13">
        <f t="shared" si="23"/>
        <v>0</v>
      </c>
      <c r="V210" s="123">
        <f t="shared" si="24"/>
        <v>0</v>
      </c>
      <c r="X210" s="13">
        <v>13</v>
      </c>
      <c r="Y210" s="13">
        <v>25</v>
      </c>
      <c r="Z210" s="13">
        <v>30</v>
      </c>
      <c r="AA210" s="13">
        <v>9750</v>
      </c>
      <c r="AB210" s="13">
        <v>234000</v>
      </c>
      <c r="AC210" s="13">
        <v>0.16250000000000001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44553</v>
      </c>
      <c r="AH210" s="13">
        <f t="shared" ca="1" si="27"/>
        <v>41</v>
      </c>
    </row>
    <row r="211" spans="1:34" x14ac:dyDescent="0.25">
      <c r="A211" s="13" t="s">
        <v>150</v>
      </c>
      <c r="B211" s="13" t="s">
        <v>150</v>
      </c>
      <c r="C211" s="13" t="s">
        <v>1169</v>
      </c>
      <c r="D211" s="13" t="s">
        <v>1170</v>
      </c>
      <c r="E211" s="13" t="s">
        <v>727</v>
      </c>
      <c r="F211" s="13">
        <v>12</v>
      </c>
      <c r="G211" s="2" t="s">
        <v>329</v>
      </c>
      <c r="H211" s="13" t="s">
        <v>0</v>
      </c>
      <c r="I211" s="13" t="s">
        <v>140</v>
      </c>
      <c r="J211" s="13" t="s">
        <v>46</v>
      </c>
      <c r="K211" s="109">
        <v>44512</v>
      </c>
      <c r="L211" s="109">
        <v>44531</v>
      </c>
      <c r="P211" s="110">
        <v>44511</v>
      </c>
      <c r="Q211" s="13" t="str">
        <f t="shared" si="21"/>
        <v>VILACRD024492AUTOSERVICIONUTRESA</v>
      </c>
      <c r="R211" s="2">
        <v>12</v>
      </c>
      <c r="S211" s="13">
        <v>12</v>
      </c>
      <c r="T211" s="123">
        <f t="shared" si="22"/>
        <v>1</v>
      </c>
      <c r="U211" s="13">
        <f t="shared" si="23"/>
        <v>0</v>
      </c>
      <c r="V211" s="123">
        <f t="shared" si="24"/>
        <v>0</v>
      </c>
      <c r="X211" s="13">
        <v>13</v>
      </c>
      <c r="Y211" s="13">
        <v>25</v>
      </c>
      <c r="Z211" s="13">
        <v>30</v>
      </c>
      <c r="AA211" s="13">
        <v>9750</v>
      </c>
      <c r="AB211" s="13">
        <v>117000</v>
      </c>
      <c r="AC211" s="13">
        <v>8.1250000000000003E-2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44553</v>
      </c>
      <c r="AH211" s="13">
        <f t="shared" ca="1" si="27"/>
        <v>41</v>
      </c>
    </row>
    <row r="212" spans="1:34" x14ac:dyDescent="0.25">
      <c r="A212" s="13" t="s">
        <v>149</v>
      </c>
      <c r="B212" s="13" t="s">
        <v>149</v>
      </c>
      <c r="C212" s="13" t="s">
        <v>1169</v>
      </c>
      <c r="D212" s="13" t="s">
        <v>1170</v>
      </c>
      <c r="E212" s="13" t="s">
        <v>727</v>
      </c>
      <c r="F212" s="13">
        <v>36</v>
      </c>
      <c r="G212" s="2" t="s">
        <v>329</v>
      </c>
      <c r="H212" s="13" t="s">
        <v>0</v>
      </c>
      <c r="I212" s="13" t="s">
        <v>140</v>
      </c>
      <c r="J212" s="13" t="s">
        <v>46</v>
      </c>
      <c r="K212" s="109">
        <v>44512</v>
      </c>
      <c r="L212" s="109">
        <v>44531</v>
      </c>
      <c r="P212" s="110">
        <v>44511</v>
      </c>
      <c r="Q212" s="13" t="str">
        <f t="shared" si="21"/>
        <v>DUITCRD024492AUTOSERVICIONUTRESA</v>
      </c>
      <c r="R212" s="2">
        <v>36</v>
      </c>
      <c r="S212" s="13">
        <v>36</v>
      </c>
      <c r="T212" s="123">
        <f t="shared" si="22"/>
        <v>1</v>
      </c>
      <c r="U212" s="13">
        <f t="shared" si="23"/>
        <v>0</v>
      </c>
      <c r="V212" s="123">
        <f t="shared" si="24"/>
        <v>0</v>
      </c>
      <c r="X212" s="13">
        <v>13</v>
      </c>
      <c r="Y212" s="13">
        <v>25</v>
      </c>
      <c r="Z212" s="13">
        <v>30</v>
      </c>
      <c r="AA212" s="13">
        <v>9750</v>
      </c>
      <c r="AB212" s="13">
        <v>351000</v>
      </c>
      <c r="AC212" s="13">
        <v>0.24374999999999999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44553</v>
      </c>
      <c r="AH212" s="13">
        <f t="shared" ca="1" si="27"/>
        <v>41</v>
      </c>
    </row>
    <row r="213" spans="1:34" x14ac:dyDescent="0.25">
      <c r="A213" s="13" t="s">
        <v>5</v>
      </c>
      <c r="B213" s="13" t="s">
        <v>5</v>
      </c>
      <c r="C213" s="13" t="s">
        <v>1169</v>
      </c>
      <c r="D213" s="13" t="s">
        <v>1170</v>
      </c>
      <c r="E213" s="13" t="s">
        <v>727</v>
      </c>
      <c r="F213" s="13">
        <v>60</v>
      </c>
      <c r="G213" s="2" t="s">
        <v>329</v>
      </c>
      <c r="H213" s="13" t="s">
        <v>0</v>
      </c>
      <c r="I213" s="13" t="s">
        <v>140</v>
      </c>
      <c r="J213" s="13" t="s">
        <v>46</v>
      </c>
      <c r="K213" s="109">
        <v>44512</v>
      </c>
      <c r="L213" s="109">
        <v>44531</v>
      </c>
      <c r="Q213" s="13" t="str">
        <f t="shared" si="21"/>
        <v>BUCACRD024492AUTOSERVICIONUTRESA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13</v>
      </c>
      <c r="Y213" s="13">
        <v>25</v>
      </c>
      <c r="Z213" s="13">
        <v>30</v>
      </c>
      <c r="AA213" s="13">
        <v>9750</v>
      </c>
      <c r="AB213" s="13">
        <v>585000</v>
      </c>
      <c r="AC213" s="13">
        <v>0.40625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44553</v>
      </c>
      <c r="AH213" s="13">
        <f t="shared" ca="1" si="27"/>
        <v>41</v>
      </c>
    </row>
    <row r="214" spans="1:34" x14ac:dyDescent="0.25">
      <c r="A214" s="13" t="s">
        <v>6</v>
      </c>
      <c r="B214" s="13" t="s">
        <v>6</v>
      </c>
      <c r="C214" s="13" t="s">
        <v>1169</v>
      </c>
      <c r="D214" s="13" t="s">
        <v>1170</v>
      </c>
      <c r="E214" s="13" t="s">
        <v>727</v>
      </c>
      <c r="F214" s="13">
        <v>36</v>
      </c>
      <c r="G214" s="2" t="s">
        <v>329</v>
      </c>
      <c r="H214" s="13" t="s">
        <v>0</v>
      </c>
      <c r="I214" s="13" t="s">
        <v>140</v>
      </c>
      <c r="J214" s="13" t="s">
        <v>46</v>
      </c>
      <c r="K214" s="109">
        <v>44512</v>
      </c>
      <c r="L214" s="109">
        <v>44531</v>
      </c>
      <c r="Q214" s="13" t="str">
        <f t="shared" si="21"/>
        <v>CALICRD024492AUTOSERVICIONUTRESA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13</v>
      </c>
      <c r="Y214" s="13">
        <v>25</v>
      </c>
      <c r="Z214" s="13">
        <v>30</v>
      </c>
      <c r="AA214" s="13">
        <v>9750</v>
      </c>
      <c r="AB214" s="13">
        <v>351000</v>
      </c>
      <c r="AC214" s="13">
        <v>0.24374999999999999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44553</v>
      </c>
      <c r="AH214" s="13">
        <f t="shared" ca="1" si="27"/>
        <v>41</v>
      </c>
    </row>
    <row r="215" spans="1:34" x14ac:dyDescent="0.25">
      <c r="A215" s="13" t="s">
        <v>7</v>
      </c>
      <c r="B215" s="13" t="s">
        <v>7</v>
      </c>
      <c r="C215" s="13" t="s">
        <v>1169</v>
      </c>
      <c r="D215" s="13" t="s">
        <v>1170</v>
      </c>
      <c r="E215" s="13" t="s">
        <v>727</v>
      </c>
      <c r="F215" s="13">
        <v>16</v>
      </c>
      <c r="G215" s="2" t="s">
        <v>329</v>
      </c>
      <c r="H215" s="13" t="s">
        <v>0</v>
      </c>
      <c r="I215" s="13" t="s">
        <v>140</v>
      </c>
      <c r="J215" s="13" t="s">
        <v>46</v>
      </c>
      <c r="K215" s="109">
        <v>44512</v>
      </c>
      <c r="L215" s="109">
        <v>44531</v>
      </c>
      <c r="Q215" s="13" t="str">
        <f t="shared" si="21"/>
        <v>CARTCRD024492AUTOSERVICIONUTRESA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13</v>
      </c>
      <c r="Y215" s="13">
        <v>25</v>
      </c>
      <c r="Z215" s="13">
        <v>30</v>
      </c>
      <c r="AA215" s="13">
        <v>9750</v>
      </c>
      <c r="AB215" s="13">
        <v>156000</v>
      </c>
      <c r="AC215" s="13">
        <v>0.108333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44553</v>
      </c>
      <c r="AH215" s="13">
        <f t="shared" ca="1" si="27"/>
        <v>41</v>
      </c>
    </row>
    <row r="216" spans="1:34" x14ac:dyDescent="0.25">
      <c r="A216" s="13" t="s">
        <v>8</v>
      </c>
      <c r="B216" s="13" t="s">
        <v>8</v>
      </c>
      <c r="C216" s="13" t="s">
        <v>1169</v>
      </c>
      <c r="D216" s="13" t="s">
        <v>1170</v>
      </c>
      <c r="E216" s="13" t="s">
        <v>727</v>
      </c>
      <c r="F216" s="13">
        <v>44</v>
      </c>
      <c r="G216" s="2" t="s">
        <v>329</v>
      </c>
      <c r="H216" s="13" t="s">
        <v>0</v>
      </c>
      <c r="I216" s="13" t="s">
        <v>140</v>
      </c>
      <c r="J216" s="13" t="s">
        <v>46</v>
      </c>
      <c r="K216" s="109">
        <v>44512</v>
      </c>
      <c r="L216" s="109">
        <v>44531</v>
      </c>
      <c r="P216" s="110">
        <v>44511</v>
      </c>
      <c r="Q216" s="13" t="str">
        <f t="shared" si="21"/>
        <v>IBA1CRD024492AUTOSERVICIONUTRESA</v>
      </c>
      <c r="R216" s="2">
        <v>44</v>
      </c>
      <c r="S216" s="13">
        <v>44</v>
      </c>
      <c r="T216" s="123">
        <f t="shared" si="22"/>
        <v>1</v>
      </c>
      <c r="U216" s="13">
        <f t="shared" si="23"/>
        <v>0</v>
      </c>
      <c r="V216" s="123">
        <f t="shared" si="24"/>
        <v>0</v>
      </c>
      <c r="X216" s="13">
        <v>13</v>
      </c>
      <c r="Y216" s="13">
        <v>25</v>
      </c>
      <c r="Z216" s="13">
        <v>30</v>
      </c>
      <c r="AA216" s="13">
        <v>9750</v>
      </c>
      <c r="AB216" s="13">
        <v>429000</v>
      </c>
      <c r="AC216" s="13">
        <v>0.29791699999999999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44553</v>
      </c>
      <c r="AH216" s="13">
        <f t="shared" ca="1" si="27"/>
        <v>41</v>
      </c>
    </row>
    <row r="217" spans="1:34" x14ac:dyDescent="0.25">
      <c r="A217" s="13" t="s">
        <v>9</v>
      </c>
      <c r="B217" s="13" t="s">
        <v>9</v>
      </c>
      <c r="C217" s="13" t="s">
        <v>1169</v>
      </c>
      <c r="D217" s="13" t="s">
        <v>1170</v>
      </c>
      <c r="E217" s="13" t="s">
        <v>727</v>
      </c>
      <c r="F217" s="13">
        <v>60</v>
      </c>
      <c r="G217" s="2" t="s">
        <v>329</v>
      </c>
      <c r="H217" s="13" t="s">
        <v>0</v>
      </c>
      <c r="I217" s="13" t="s">
        <v>140</v>
      </c>
      <c r="J217" s="13" t="s">
        <v>46</v>
      </c>
      <c r="K217" s="109">
        <v>44512</v>
      </c>
      <c r="L217" s="109">
        <v>44531</v>
      </c>
      <c r="Q217" s="13" t="str">
        <f t="shared" si="21"/>
        <v>MEDECRD024492AUTOSERVICIONUTRESA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13</v>
      </c>
      <c r="Y217" s="13">
        <v>25</v>
      </c>
      <c r="Z217" s="13">
        <v>30</v>
      </c>
      <c r="AA217" s="13">
        <v>9750</v>
      </c>
      <c r="AB217" s="13">
        <v>585000</v>
      </c>
      <c r="AC217" s="13">
        <v>0.40625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44553</v>
      </c>
      <c r="AH217" s="13">
        <f t="shared" ca="1" si="27"/>
        <v>41</v>
      </c>
    </row>
    <row r="218" spans="1:34" x14ac:dyDescent="0.25">
      <c r="A218" s="13" t="s">
        <v>10</v>
      </c>
      <c r="B218" s="13" t="s">
        <v>10</v>
      </c>
      <c r="C218" s="13" t="s">
        <v>1169</v>
      </c>
      <c r="D218" s="13" t="s">
        <v>1170</v>
      </c>
      <c r="E218" s="13" t="s">
        <v>727</v>
      </c>
      <c r="F218" s="13">
        <v>28</v>
      </c>
      <c r="G218" s="2" t="s">
        <v>329</v>
      </c>
      <c r="H218" s="13" t="s">
        <v>0</v>
      </c>
      <c r="I218" s="13" t="s">
        <v>140</v>
      </c>
      <c r="J218" s="13" t="s">
        <v>46</v>
      </c>
      <c r="K218" s="109">
        <v>44512</v>
      </c>
      <c r="L218" s="109">
        <v>44531</v>
      </c>
      <c r="Q218" s="13" t="str">
        <f t="shared" si="21"/>
        <v>PERECRD024492AUTOSERVICIONUTRESA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13</v>
      </c>
      <c r="Y218" s="13">
        <v>25</v>
      </c>
      <c r="Z218" s="13">
        <v>30</v>
      </c>
      <c r="AA218" s="13">
        <v>9750</v>
      </c>
      <c r="AB218" s="13">
        <v>273000</v>
      </c>
      <c r="AC218" s="13">
        <v>0.189583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44553</v>
      </c>
      <c r="AH218" s="13">
        <f t="shared" ca="1" si="27"/>
        <v>41</v>
      </c>
    </row>
    <row r="219" spans="1:34" x14ac:dyDescent="0.25">
      <c r="A219" s="13" t="s">
        <v>3</v>
      </c>
      <c r="B219" s="13" t="s">
        <v>3</v>
      </c>
      <c r="C219" s="13" t="s">
        <v>1171</v>
      </c>
      <c r="D219" s="13" t="s">
        <v>1172</v>
      </c>
      <c r="E219" s="13" t="s">
        <v>757</v>
      </c>
      <c r="F219" s="13">
        <v>510</v>
      </c>
      <c r="G219" s="2" t="s">
        <v>382</v>
      </c>
      <c r="H219" s="13" t="s">
        <v>2</v>
      </c>
      <c r="I219" s="13" t="s">
        <v>140</v>
      </c>
      <c r="J219" s="13" t="s">
        <v>139</v>
      </c>
      <c r="K219" s="109">
        <v>44512</v>
      </c>
      <c r="L219" s="109">
        <v>44525</v>
      </c>
      <c r="Q219" s="13" t="str">
        <f t="shared" si="21"/>
        <v>BARRCRD024886TRADICIONALNUTRESA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0.01</v>
      </c>
      <c r="Y219" s="13">
        <v>33.5</v>
      </c>
      <c r="Z219" s="13">
        <v>48.5</v>
      </c>
      <c r="AA219" s="13">
        <v>15.84</v>
      </c>
      <c r="AB219" s="13">
        <v>8078.4</v>
      </c>
      <c r="AC219" s="13">
        <v>5.6100000000000004E-3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44553</v>
      </c>
      <c r="AH219" s="13">
        <f t="shared" ca="1" si="27"/>
        <v>41</v>
      </c>
    </row>
    <row r="220" spans="1:34" x14ac:dyDescent="0.25">
      <c r="A220" s="13" t="s">
        <v>4</v>
      </c>
      <c r="B220" s="13" t="s">
        <v>4</v>
      </c>
      <c r="C220" s="13" t="s">
        <v>1171</v>
      </c>
      <c r="D220" s="13" t="s">
        <v>1172</v>
      </c>
      <c r="E220" s="13" t="s">
        <v>757</v>
      </c>
      <c r="F220" s="13">
        <v>1230</v>
      </c>
      <c r="G220" s="2" t="s">
        <v>382</v>
      </c>
      <c r="H220" s="13" t="s">
        <v>2</v>
      </c>
      <c r="I220" s="13" t="s">
        <v>140</v>
      </c>
      <c r="J220" s="13" t="s">
        <v>139</v>
      </c>
      <c r="K220" s="109">
        <v>44512</v>
      </c>
      <c r="L220" s="109">
        <v>44525</v>
      </c>
      <c r="Q220" s="13" t="str">
        <f t="shared" si="21"/>
        <v>BGTACRD024886TRADICIONALNUTRESA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0.01</v>
      </c>
      <c r="Y220" s="13">
        <v>33.5</v>
      </c>
      <c r="Z220" s="13">
        <v>48.5</v>
      </c>
      <c r="AA220" s="13">
        <v>15.84</v>
      </c>
      <c r="AB220" s="13">
        <v>19483.2</v>
      </c>
      <c r="AC220" s="13">
        <v>1.353E-2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44553</v>
      </c>
      <c r="AH220" s="13">
        <f t="shared" ca="1" si="27"/>
        <v>41</v>
      </c>
    </row>
    <row r="221" spans="1:34" x14ac:dyDescent="0.25">
      <c r="A221" s="13" t="s">
        <v>724</v>
      </c>
      <c r="B221" s="13" t="s">
        <v>4</v>
      </c>
      <c r="C221" s="13" t="s">
        <v>1171</v>
      </c>
      <c r="D221" s="13" t="s">
        <v>1172</v>
      </c>
      <c r="E221" s="13" t="s">
        <v>757</v>
      </c>
      <c r="F221" s="13">
        <v>500</v>
      </c>
      <c r="G221" s="2" t="s">
        <v>382</v>
      </c>
      <c r="H221" s="13" t="s">
        <v>2</v>
      </c>
      <c r="I221" s="13" t="s">
        <v>145</v>
      </c>
      <c r="J221" s="13" t="s">
        <v>139</v>
      </c>
      <c r="K221" s="109">
        <v>44512</v>
      </c>
      <c r="L221" s="109">
        <v>44525</v>
      </c>
      <c r="Q221" s="13" t="str">
        <f t="shared" si="21"/>
        <v>BGTACRD024886TRADICIONALALTILLANO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0.01</v>
      </c>
      <c r="Y221" s="13">
        <v>33.5</v>
      </c>
      <c r="Z221" s="13">
        <v>48.5</v>
      </c>
      <c r="AA221" s="13">
        <v>15.84</v>
      </c>
      <c r="AB221" s="13">
        <v>7920</v>
      </c>
      <c r="AC221" s="13">
        <v>5.4999999999999997E-3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44553</v>
      </c>
      <c r="AH221" s="13">
        <f t="shared" ca="1" si="27"/>
        <v>41</v>
      </c>
    </row>
    <row r="222" spans="1:34" x14ac:dyDescent="0.25">
      <c r="A222" s="13" t="s">
        <v>149</v>
      </c>
      <c r="B222" s="13" t="s">
        <v>149</v>
      </c>
      <c r="C222" s="13" t="s">
        <v>1171</v>
      </c>
      <c r="D222" s="13" t="s">
        <v>1172</v>
      </c>
      <c r="E222" s="13" t="s">
        <v>757</v>
      </c>
      <c r="F222" s="13">
        <v>200</v>
      </c>
      <c r="G222" s="2" t="s">
        <v>382</v>
      </c>
      <c r="H222" s="13" t="s">
        <v>2</v>
      </c>
      <c r="I222" s="13" t="s">
        <v>140</v>
      </c>
      <c r="J222" s="13" t="s">
        <v>139</v>
      </c>
      <c r="K222" s="109">
        <v>44512</v>
      </c>
      <c r="L222" s="109">
        <v>44525</v>
      </c>
      <c r="Q222" s="13" t="str">
        <f t="shared" si="21"/>
        <v>DUITCRD024886TRADICIONALNUTRESA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0.01</v>
      </c>
      <c r="Y222" s="13">
        <v>33.5</v>
      </c>
      <c r="Z222" s="13">
        <v>48.5</v>
      </c>
      <c r="AA222" s="13">
        <v>15.84</v>
      </c>
      <c r="AB222" s="13">
        <v>3168</v>
      </c>
      <c r="AC222" s="13">
        <v>2.2000000000000001E-3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44553</v>
      </c>
      <c r="AH222" s="13">
        <f t="shared" ca="1" si="27"/>
        <v>41</v>
      </c>
    </row>
    <row r="223" spans="1:34" x14ac:dyDescent="0.25">
      <c r="A223" s="13" t="s">
        <v>150</v>
      </c>
      <c r="B223" s="13" t="s">
        <v>150</v>
      </c>
      <c r="C223" s="13" t="s">
        <v>1171</v>
      </c>
      <c r="D223" s="13" t="s">
        <v>1172</v>
      </c>
      <c r="E223" s="13" t="s">
        <v>757</v>
      </c>
      <c r="F223" s="13">
        <v>250</v>
      </c>
      <c r="G223" s="2" t="s">
        <v>382</v>
      </c>
      <c r="H223" s="13" t="s">
        <v>2</v>
      </c>
      <c r="I223" s="13" t="s">
        <v>140</v>
      </c>
      <c r="J223" s="13" t="s">
        <v>139</v>
      </c>
      <c r="K223" s="109">
        <v>44512</v>
      </c>
      <c r="L223" s="109">
        <v>44525</v>
      </c>
      <c r="Q223" s="13" t="str">
        <f t="shared" si="21"/>
        <v>VILACRD024886TRADICIONALNUTRESA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0.01</v>
      </c>
      <c r="Y223" s="13">
        <v>33.5</v>
      </c>
      <c r="Z223" s="13">
        <v>48.5</v>
      </c>
      <c r="AA223" s="13">
        <v>15.84</v>
      </c>
      <c r="AB223" s="13">
        <v>3960</v>
      </c>
      <c r="AC223" s="13">
        <v>2.7499999999999998E-3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44553</v>
      </c>
      <c r="AH223" s="13">
        <f t="shared" ca="1" si="27"/>
        <v>41</v>
      </c>
    </row>
    <row r="224" spans="1:34" x14ac:dyDescent="0.25">
      <c r="A224" s="13" t="s">
        <v>5</v>
      </c>
      <c r="B224" s="13" t="s">
        <v>5</v>
      </c>
      <c r="C224" s="13" t="s">
        <v>1171</v>
      </c>
      <c r="D224" s="13" t="s">
        <v>1172</v>
      </c>
      <c r="E224" s="13" t="s">
        <v>757</v>
      </c>
      <c r="F224" s="13">
        <v>415</v>
      </c>
      <c r="G224" s="2" t="s">
        <v>382</v>
      </c>
      <c r="H224" s="13" t="s">
        <v>2</v>
      </c>
      <c r="I224" s="13" t="s">
        <v>140</v>
      </c>
      <c r="J224" s="13" t="s">
        <v>139</v>
      </c>
      <c r="K224" s="109">
        <v>44512</v>
      </c>
      <c r="L224" s="109">
        <v>44525</v>
      </c>
      <c r="Q224" s="13" t="str">
        <f t="shared" si="21"/>
        <v>BUCACRD024886TRADICIONALNUTRESA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0.01</v>
      </c>
      <c r="Y224" s="13">
        <v>33.5</v>
      </c>
      <c r="Z224" s="13">
        <v>48.5</v>
      </c>
      <c r="AA224" s="13">
        <v>15.84</v>
      </c>
      <c r="AB224" s="13">
        <v>6573.6</v>
      </c>
      <c r="AC224" s="13">
        <v>4.5649999999999996E-3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44553</v>
      </c>
      <c r="AH224" s="13">
        <f t="shared" ca="1" si="27"/>
        <v>41</v>
      </c>
    </row>
    <row r="225" spans="1:34" x14ac:dyDescent="0.25">
      <c r="A225" s="13" t="s">
        <v>6</v>
      </c>
      <c r="B225" s="13" t="s">
        <v>6</v>
      </c>
      <c r="C225" s="13" t="s">
        <v>1171</v>
      </c>
      <c r="D225" s="13" t="s">
        <v>1172</v>
      </c>
      <c r="E225" s="13" t="s">
        <v>757</v>
      </c>
      <c r="F225" s="13">
        <v>405</v>
      </c>
      <c r="G225" s="2" t="s">
        <v>382</v>
      </c>
      <c r="H225" s="13" t="s">
        <v>2</v>
      </c>
      <c r="I225" s="13" t="s">
        <v>140</v>
      </c>
      <c r="J225" s="13" t="s">
        <v>139</v>
      </c>
      <c r="K225" s="109">
        <v>44512</v>
      </c>
      <c r="L225" s="109">
        <v>44525</v>
      </c>
      <c r="Q225" s="13" t="str">
        <f t="shared" si="21"/>
        <v>CALICRD024886TRADICIONALNUTRESA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0.01</v>
      </c>
      <c r="Y225" s="13">
        <v>33.5</v>
      </c>
      <c r="Z225" s="13">
        <v>48.5</v>
      </c>
      <c r="AA225" s="13">
        <v>15.84</v>
      </c>
      <c r="AB225" s="13">
        <v>6415.2</v>
      </c>
      <c r="AC225" s="13">
        <v>4.4549999999999998E-3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44553</v>
      </c>
      <c r="AH225" s="13">
        <f t="shared" ca="1" si="27"/>
        <v>41</v>
      </c>
    </row>
    <row r="226" spans="1:34" x14ac:dyDescent="0.25">
      <c r="A226" s="13" t="s">
        <v>7</v>
      </c>
      <c r="B226" s="13" t="s">
        <v>7</v>
      </c>
      <c r="C226" s="13" t="s">
        <v>1171</v>
      </c>
      <c r="D226" s="13" t="s">
        <v>1172</v>
      </c>
      <c r="E226" s="13" t="s">
        <v>757</v>
      </c>
      <c r="F226" s="13">
        <v>340</v>
      </c>
      <c r="G226" s="2" t="s">
        <v>382</v>
      </c>
      <c r="H226" s="13" t="s">
        <v>2</v>
      </c>
      <c r="I226" s="13" t="s">
        <v>140</v>
      </c>
      <c r="J226" s="13" t="s">
        <v>139</v>
      </c>
      <c r="K226" s="109">
        <v>44512</v>
      </c>
      <c r="L226" s="109">
        <v>44525</v>
      </c>
      <c r="Q226" s="13" t="str">
        <f t="shared" si="21"/>
        <v>CARTCRD024886TRADICIONALNUTRESA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0.01</v>
      </c>
      <c r="Y226" s="13">
        <v>33.5</v>
      </c>
      <c r="Z226" s="13">
        <v>48.5</v>
      </c>
      <c r="AA226" s="13">
        <v>15.84</v>
      </c>
      <c r="AB226" s="13">
        <v>5385.6</v>
      </c>
      <c r="AC226" s="13">
        <v>3.7399999999999998E-3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44553</v>
      </c>
      <c r="AH226" s="13">
        <f t="shared" ca="1" si="27"/>
        <v>41</v>
      </c>
    </row>
    <row r="227" spans="1:34" x14ac:dyDescent="0.25">
      <c r="A227" s="13" t="s">
        <v>8</v>
      </c>
      <c r="B227" s="13" t="s">
        <v>8</v>
      </c>
      <c r="C227" s="13" t="s">
        <v>1171</v>
      </c>
      <c r="D227" s="13" t="s">
        <v>1172</v>
      </c>
      <c r="E227" s="13" t="s">
        <v>757</v>
      </c>
      <c r="F227" s="13">
        <v>375</v>
      </c>
      <c r="G227" s="2" t="s">
        <v>382</v>
      </c>
      <c r="H227" s="13" t="s">
        <v>2</v>
      </c>
      <c r="I227" s="13" t="s">
        <v>140</v>
      </c>
      <c r="J227" s="13" t="s">
        <v>139</v>
      </c>
      <c r="K227" s="109">
        <v>44512</v>
      </c>
      <c r="L227" s="109">
        <v>44525</v>
      </c>
      <c r="Q227" s="13" t="str">
        <f t="shared" si="21"/>
        <v>IBA1CRD024886TRADICIONALNUTRESA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0.01</v>
      </c>
      <c r="Y227" s="13">
        <v>33.5</v>
      </c>
      <c r="Z227" s="13">
        <v>48.5</v>
      </c>
      <c r="AA227" s="13">
        <v>15.84</v>
      </c>
      <c r="AB227" s="13">
        <v>5940</v>
      </c>
      <c r="AC227" s="13">
        <v>4.1250000000000002E-3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44553</v>
      </c>
      <c r="AH227" s="13">
        <f t="shared" ca="1" si="27"/>
        <v>41</v>
      </c>
    </row>
    <row r="228" spans="1:34" x14ac:dyDescent="0.25">
      <c r="A228" s="13" t="s">
        <v>10</v>
      </c>
      <c r="B228" s="13" t="s">
        <v>10</v>
      </c>
      <c r="C228" s="13" t="s">
        <v>1171</v>
      </c>
      <c r="D228" s="13" t="s">
        <v>1172</v>
      </c>
      <c r="E228" s="13" t="s">
        <v>757</v>
      </c>
      <c r="F228" s="13">
        <v>350</v>
      </c>
      <c r="G228" s="2" t="s">
        <v>382</v>
      </c>
      <c r="H228" s="13" t="s">
        <v>2</v>
      </c>
      <c r="I228" s="13" t="s">
        <v>140</v>
      </c>
      <c r="J228" s="13" t="s">
        <v>139</v>
      </c>
      <c r="K228" s="109">
        <v>44512</v>
      </c>
      <c r="L228" s="109">
        <v>44525</v>
      </c>
      <c r="Q228" s="13" t="str">
        <f t="shared" si="21"/>
        <v>PERECRD024886TRADICIONALNUTRESA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0.01</v>
      </c>
      <c r="Y228" s="13">
        <v>33.5</v>
      </c>
      <c r="Z228" s="13">
        <v>48.5</v>
      </c>
      <c r="AA228" s="13">
        <v>15.84</v>
      </c>
      <c r="AB228" s="13">
        <v>5544</v>
      </c>
      <c r="AC228" s="13">
        <v>3.8500000000000001E-3</v>
      </c>
      <c r="AD228" s="110">
        <f t="shared" si="25"/>
        <v>44516</v>
      </c>
      <c r="AE228" s="13" t="e">
        <f>IF(AND(AD228&lt;=$AI$4,#REF!&lt;1),1,"")</f>
        <v>#REF!</v>
      </c>
      <c r="AF228" s="110">
        <f t="shared" ca="1" si="26"/>
        <v>44553</v>
      </c>
      <c r="AH228" s="13">
        <f t="shared" ca="1" si="27"/>
        <v>41</v>
      </c>
    </row>
    <row r="229" spans="1:34" x14ac:dyDescent="0.25">
      <c r="A229" s="13" t="s">
        <v>9</v>
      </c>
      <c r="B229" s="13" t="s">
        <v>9</v>
      </c>
      <c r="C229" s="13" t="s">
        <v>1171</v>
      </c>
      <c r="D229" s="13" t="s">
        <v>1172</v>
      </c>
      <c r="E229" s="13" t="s">
        <v>757</v>
      </c>
      <c r="F229" s="13">
        <v>845</v>
      </c>
      <c r="G229" s="2" t="s">
        <v>382</v>
      </c>
      <c r="H229" s="13" t="s">
        <v>2</v>
      </c>
      <c r="I229" s="13" t="s">
        <v>140</v>
      </c>
      <c r="J229" s="13" t="s">
        <v>139</v>
      </c>
      <c r="K229" s="109">
        <v>44512</v>
      </c>
      <c r="L229" s="109">
        <v>44525</v>
      </c>
      <c r="Q229" s="13" t="str">
        <f t="shared" si="21"/>
        <v>MEDECRD024886TRADICIONALNUTRESA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0.01</v>
      </c>
      <c r="Y229" s="13">
        <v>33.5</v>
      </c>
      <c r="Z229" s="13">
        <v>48.5</v>
      </c>
      <c r="AA229" s="13">
        <v>15.84</v>
      </c>
      <c r="AB229" s="13">
        <v>13384.8</v>
      </c>
      <c r="AC229" s="13">
        <v>9.2949999999999994E-3</v>
      </c>
      <c r="AD229" s="110">
        <f t="shared" si="25"/>
        <v>44516</v>
      </c>
      <c r="AE229" s="13" t="e">
        <f>IF(AND(AD229&lt;=$AI$4,#REF!&lt;1),1,"")</f>
        <v>#REF!</v>
      </c>
      <c r="AF229" s="110">
        <f t="shared" ca="1" si="26"/>
        <v>44553</v>
      </c>
      <c r="AH229" s="13">
        <f t="shared" ca="1" si="27"/>
        <v>41</v>
      </c>
    </row>
    <row r="230" spans="1:34" x14ac:dyDescent="0.25">
      <c r="A230" s="13" t="s">
        <v>3</v>
      </c>
      <c r="B230" s="13" t="s">
        <v>3</v>
      </c>
      <c r="C230" s="13" t="s">
        <v>1173</v>
      </c>
      <c r="D230" s="13" t="s">
        <v>1174</v>
      </c>
      <c r="E230" s="13" t="s">
        <v>757</v>
      </c>
      <c r="F230" s="13">
        <v>3</v>
      </c>
      <c r="G230" s="2" t="s">
        <v>382</v>
      </c>
      <c r="H230" s="13" t="s">
        <v>2</v>
      </c>
      <c r="I230" s="13" t="s">
        <v>140</v>
      </c>
      <c r="J230" s="13" t="s">
        <v>139</v>
      </c>
      <c r="K230" s="109">
        <v>44512</v>
      </c>
      <c r="L230" s="109">
        <v>44525</v>
      </c>
      <c r="Q230" s="13" t="str">
        <f t="shared" si="21"/>
        <v>BARRCRD024888TRADICIONALNUTRESA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0.01</v>
      </c>
      <c r="Y230" s="13">
        <v>22</v>
      </c>
      <c r="Z230" s="13">
        <v>30</v>
      </c>
      <c r="AA230" s="13">
        <v>6.6</v>
      </c>
      <c r="AB230" s="13">
        <v>19.8</v>
      </c>
      <c r="AC230" s="13">
        <v>1.4E-5</v>
      </c>
      <c r="AD230" s="110">
        <f t="shared" si="25"/>
        <v>44516</v>
      </c>
      <c r="AE230" s="13" t="e">
        <f>IF(AND(AD230&lt;=$AI$4,#REF!&lt;1),1,"")</f>
        <v>#REF!</v>
      </c>
      <c r="AF230" s="110">
        <f t="shared" ca="1" si="26"/>
        <v>44553</v>
      </c>
      <c r="AH230" s="13">
        <f t="shared" ca="1" si="27"/>
        <v>41</v>
      </c>
    </row>
    <row r="231" spans="1:34" x14ac:dyDescent="0.25">
      <c r="A231" s="13" t="s">
        <v>4</v>
      </c>
      <c r="B231" s="13" t="s">
        <v>4</v>
      </c>
      <c r="C231" s="13" t="s">
        <v>1173</v>
      </c>
      <c r="D231" s="13" t="s">
        <v>1174</v>
      </c>
      <c r="E231" s="13" t="s">
        <v>757</v>
      </c>
      <c r="F231" s="13">
        <v>69</v>
      </c>
      <c r="G231" s="2" t="s">
        <v>382</v>
      </c>
      <c r="H231" s="13" t="s">
        <v>2</v>
      </c>
      <c r="I231" s="13" t="s">
        <v>140</v>
      </c>
      <c r="J231" s="13" t="s">
        <v>139</v>
      </c>
      <c r="K231" s="109">
        <v>44512</v>
      </c>
      <c r="L231" s="109">
        <v>44525</v>
      </c>
      <c r="Q231" s="13" t="str">
        <f t="shared" si="21"/>
        <v>BGTACRD024888TRADICIONALNUTRESA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0.01</v>
      </c>
      <c r="Y231" s="13">
        <v>22</v>
      </c>
      <c r="Z231" s="13">
        <v>30</v>
      </c>
      <c r="AA231" s="13">
        <v>6.6</v>
      </c>
      <c r="AB231" s="13">
        <v>455.4</v>
      </c>
      <c r="AC231" s="13">
        <v>3.1599999999999998E-4</v>
      </c>
      <c r="AD231" s="110">
        <f t="shared" si="25"/>
        <v>44516</v>
      </c>
      <c r="AE231" s="13" t="e">
        <f>IF(AND(AD231&lt;=$AI$4,#REF!&lt;1),1,"")</f>
        <v>#REF!</v>
      </c>
      <c r="AF231" s="110">
        <f t="shared" ca="1" si="26"/>
        <v>44553</v>
      </c>
      <c r="AH231" s="13">
        <f t="shared" ca="1" si="27"/>
        <v>41</v>
      </c>
    </row>
    <row r="232" spans="1:34" x14ac:dyDescent="0.25">
      <c r="A232" s="13" t="s">
        <v>5</v>
      </c>
      <c r="B232" s="13" t="s">
        <v>5</v>
      </c>
      <c r="C232" s="13" t="s">
        <v>1173</v>
      </c>
      <c r="D232" s="13" t="s">
        <v>1174</v>
      </c>
      <c r="E232" s="13" t="s">
        <v>757</v>
      </c>
      <c r="F232" s="13">
        <v>12</v>
      </c>
      <c r="G232" s="2" t="s">
        <v>382</v>
      </c>
      <c r="H232" s="13" t="s">
        <v>2</v>
      </c>
      <c r="I232" s="13" t="s">
        <v>140</v>
      </c>
      <c r="J232" s="13" t="s">
        <v>139</v>
      </c>
      <c r="K232" s="109">
        <v>44512</v>
      </c>
      <c r="L232" s="109">
        <v>44525</v>
      </c>
      <c r="Q232" s="13" t="str">
        <f t="shared" si="21"/>
        <v>BUCACRD024888TRADICIONALNUTRESA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0.01</v>
      </c>
      <c r="Y232" s="13">
        <v>22</v>
      </c>
      <c r="Z232" s="13">
        <v>30</v>
      </c>
      <c r="AA232" s="13">
        <v>6.6</v>
      </c>
      <c r="AB232" s="13">
        <v>79.2</v>
      </c>
      <c r="AC232" s="13">
        <v>5.5000000000000002E-5</v>
      </c>
      <c r="AD232" s="110">
        <f t="shared" si="25"/>
        <v>44516</v>
      </c>
      <c r="AE232" s="13" t="e">
        <f>IF(AND(AD232&lt;=$AI$4,#REF!&lt;1),1,"")</f>
        <v>#REF!</v>
      </c>
      <c r="AF232" s="110">
        <f t="shared" ca="1" si="26"/>
        <v>44553</v>
      </c>
      <c r="AH232" s="13">
        <f t="shared" ca="1" si="27"/>
        <v>41</v>
      </c>
    </row>
    <row r="233" spans="1:34" x14ac:dyDescent="0.25">
      <c r="A233" s="13" t="s">
        <v>6</v>
      </c>
      <c r="B233" s="13" t="s">
        <v>6</v>
      </c>
      <c r="C233" s="13" t="s">
        <v>1173</v>
      </c>
      <c r="D233" s="13" t="s">
        <v>1174</v>
      </c>
      <c r="E233" s="13" t="s">
        <v>757</v>
      </c>
      <c r="F233" s="13">
        <v>9</v>
      </c>
      <c r="G233" s="2" t="s">
        <v>382</v>
      </c>
      <c r="H233" s="13" t="s">
        <v>2</v>
      </c>
      <c r="I233" s="13" t="s">
        <v>140</v>
      </c>
      <c r="J233" s="13" t="s">
        <v>139</v>
      </c>
      <c r="K233" s="109">
        <v>44512</v>
      </c>
      <c r="L233" s="109">
        <v>44525</v>
      </c>
      <c r="Q233" s="13" t="str">
        <f t="shared" si="21"/>
        <v>CALICRD024888TRADICIONALNUTRESA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0.01</v>
      </c>
      <c r="Y233" s="13">
        <v>22</v>
      </c>
      <c r="Z233" s="13">
        <v>30</v>
      </c>
      <c r="AA233" s="13">
        <v>6.6</v>
      </c>
      <c r="AB233" s="13">
        <v>59.4</v>
      </c>
      <c r="AC233" s="13">
        <v>4.1E-5</v>
      </c>
      <c r="AD233" s="110">
        <f t="shared" si="25"/>
        <v>44516</v>
      </c>
      <c r="AE233" s="13" t="e">
        <f>IF(AND(AD233&lt;=$AI$4,#REF!&lt;1),1,"")</f>
        <v>#REF!</v>
      </c>
      <c r="AF233" s="110">
        <f t="shared" ca="1" si="26"/>
        <v>44553</v>
      </c>
      <c r="AH233" s="13">
        <f t="shared" ca="1" si="27"/>
        <v>41</v>
      </c>
    </row>
    <row r="234" spans="1:34" x14ac:dyDescent="0.25">
      <c r="A234" s="13" t="s">
        <v>7</v>
      </c>
      <c r="B234" s="13" t="s">
        <v>7</v>
      </c>
      <c r="C234" s="13" t="s">
        <v>1173</v>
      </c>
      <c r="D234" s="13" t="s">
        <v>1174</v>
      </c>
      <c r="E234" s="13" t="s">
        <v>757</v>
      </c>
      <c r="F234" s="13">
        <v>12</v>
      </c>
      <c r="G234" s="2" t="s">
        <v>382</v>
      </c>
      <c r="H234" s="13" t="s">
        <v>2</v>
      </c>
      <c r="I234" s="13" t="s">
        <v>140</v>
      </c>
      <c r="J234" s="13" t="s">
        <v>139</v>
      </c>
      <c r="K234" s="109">
        <v>44512</v>
      </c>
      <c r="L234" s="109">
        <v>44525</v>
      </c>
      <c r="Q234" s="13" t="str">
        <f t="shared" si="21"/>
        <v>CARTCRD024888TRADICIONALNUTRESA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0.01</v>
      </c>
      <c r="Y234" s="13">
        <v>22</v>
      </c>
      <c r="Z234" s="13">
        <v>30</v>
      </c>
      <c r="AA234" s="13">
        <v>6.6</v>
      </c>
      <c r="AB234" s="13">
        <v>79.2</v>
      </c>
      <c r="AC234" s="13">
        <v>5.5000000000000002E-5</v>
      </c>
      <c r="AD234" s="110">
        <f t="shared" si="25"/>
        <v>44516</v>
      </c>
      <c r="AE234" s="13" t="e">
        <f>IF(AND(AD234&lt;=$AI$4,#REF!&lt;1),1,"")</f>
        <v>#REF!</v>
      </c>
      <c r="AF234" s="110">
        <f t="shared" ca="1" si="26"/>
        <v>44553</v>
      </c>
      <c r="AH234" s="13">
        <f t="shared" ca="1" si="27"/>
        <v>41</v>
      </c>
    </row>
    <row r="235" spans="1:34" x14ac:dyDescent="0.25">
      <c r="A235" s="13" t="s">
        <v>9</v>
      </c>
      <c r="B235" s="13" t="s">
        <v>9</v>
      </c>
      <c r="C235" s="13" t="s">
        <v>1173</v>
      </c>
      <c r="D235" s="13" t="s">
        <v>1174</v>
      </c>
      <c r="E235" s="13" t="s">
        <v>757</v>
      </c>
      <c r="F235" s="13">
        <v>66</v>
      </c>
      <c r="G235" s="2" t="s">
        <v>382</v>
      </c>
      <c r="H235" s="13" t="s">
        <v>2</v>
      </c>
      <c r="I235" s="13" t="s">
        <v>140</v>
      </c>
      <c r="J235" s="13" t="s">
        <v>139</v>
      </c>
      <c r="K235" s="109">
        <v>44512</v>
      </c>
      <c r="L235" s="109">
        <v>44525</v>
      </c>
      <c r="Q235" s="13" t="str">
        <f t="shared" si="21"/>
        <v>MEDECRD024888TRADICIONALNUTRESA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0.01</v>
      </c>
      <c r="Y235" s="13">
        <v>22</v>
      </c>
      <c r="Z235" s="13">
        <v>30</v>
      </c>
      <c r="AA235" s="13">
        <v>6.6</v>
      </c>
      <c r="AB235" s="13">
        <v>435.6</v>
      </c>
      <c r="AC235" s="13">
        <v>3.0299999999999999E-4</v>
      </c>
      <c r="AD235" s="110">
        <f t="shared" si="25"/>
        <v>44516</v>
      </c>
      <c r="AE235" s="13" t="e">
        <f>IF(AND(AD235&lt;=$AI$4,#REF!&lt;1),1,"")</f>
        <v>#REF!</v>
      </c>
      <c r="AF235" s="110">
        <f t="shared" ca="1" si="26"/>
        <v>44553</v>
      </c>
      <c r="AH235" s="13">
        <f t="shared" ca="1" si="27"/>
        <v>41</v>
      </c>
    </row>
    <row r="236" spans="1:34" x14ac:dyDescent="0.25">
      <c r="A236" s="13" t="s">
        <v>3</v>
      </c>
      <c r="B236" s="13" t="s">
        <v>3</v>
      </c>
      <c r="C236" s="13" t="s">
        <v>433</v>
      </c>
      <c r="D236" s="13" t="s">
        <v>1175</v>
      </c>
      <c r="E236" s="13" t="s">
        <v>727</v>
      </c>
      <c r="F236" s="13">
        <v>5</v>
      </c>
      <c r="G236" s="2" t="s">
        <v>382</v>
      </c>
      <c r="H236" s="13" t="s">
        <v>0</v>
      </c>
      <c r="I236" s="13" t="s">
        <v>140</v>
      </c>
      <c r="J236" s="13" t="s">
        <v>46</v>
      </c>
      <c r="K236" s="109">
        <v>44512</v>
      </c>
      <c r="L236" s="109">
        <v>44525</v>
      </c>
      <c r="Q236" s="13" t="str">
        <f t="shared" si="21"/>
        <v>BARRCRD024883AUTOSERVICIONUTRESA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14.5</v>
      </c>
      <c r="Y236" s="13">
        <v>23.5</v>
      </c>
      <c r="Z236" s="13">
        <v>9.5</v>
      </c>
      <c r="AA236" s="13">
        <v>1092</v>
      </c>
      <c r="AB236" s="13">
        <v>5460</v>
      </c>
      <c r="AC236" s="13">
        <v>3.7919999999999998E-3</v>
      </c>
      <c r="AD236" s="110">
        <f t="shared" si="25"/>
        <v>44516</v>
      </c>
      <c r="AE236" s="13" t="e">
        <f>IF(AND(AD236&lt;=$AI$4,#REF!&lt;1),1,"")</f>
        <v>#REF!</v>
      </c>
      <c r="AF236" s="110">
        <f t="shared" ca="1" si="26"/>
        <v>44553</v>
      </c>
      <c r="AH236" s="13">
        <f t="shared" ca="1" si="27"/>
        <v>41</v>
      </c>
    </row>
    <row r="237" spans="1:34" x14ac:dyDescent="0.25">
      <c r="A237" s="13" t="s">
        <v>4</v>
      </c>
      <c r="B237" s="13" t="s">
        <v>4</v>
      </c>
      <c r="C237" s="13" t="s">
        <v>433</v>
      </c>
      <c r="D237" s="13" t="s">
        <v>1175</v>
      </c>
      <c r="E237" s="13" t="s">
        <v>727</v>
      </c>
      <c r="F237" s="13">
        <v>15</v>
      </c>
      <c r="G237" s="2" t="s">
        <v>382</v>
      </c>
      <c r="H237" s="13" t="s">
        <v>0</v>
      </c>
      <c r="I237" s="13" t="s">
        <v>140</v>
      </c>
      <c r="J237" s="13" t="s">
        <v>46</v>
      </c>
      <c r="K237" s="109">
        <v>44512</v>
      </c>
      <c r="L237" s="109">
        <v>44525</v>
      </c>
      <c r="Q237" s="13" t="str">
        <f t="shared" si="21"/>
        <v>BGTACRD024883AUTOSERVICIONUTRESA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14.5</v>
      </c>
      <c r="Y237" s="13">
        <v>23.5</v>
      </c>
      <c r="Z237" s="13">
        <v>9.5</v>
      </c>
      <c r="AA237" s="13">
        <v>1092</v>
      </c>
      <c r="AB237" s="13">
        <v>16380</v>
      </c>
      <c r="AC237" s="13">
        <v>1.1375E-2</v>
      </c>
      <c r="AD237" s="110">
        <f t="shared" si="25"/>
        <v>44516</v>
      </c>
      <c r="AE237" s="13" t="e">
        <f>IF(AND(AD237&lt;=$AI$4,#REF!&lt;1),1,"")</f>
        <v>#REF!</v>
      </c>
      <c r="AF237" s="110">
        <f t="shared" ca="1" si="26"/>
        <v>44553</v>
      </c>
      <c r="AH237" s="13">
        <f t="shared" ca="1" si="27"/>
        <v>41</v>
      </c>
    </row>
    <row r="238" spans="1:34" x14ac:dyDescent="0.25">
      <c r="A238" s="13" t="s">
        <v>724</v>
      </c>
      <c r="B238" s="13" t="s">
        <v>4</v>
      </c>
      <c r="C238" s="13" t="s">
        <v>433</v>
      </c>
      <c r="D238" s="13" t="s">
        <v>1175</v>
      </c>
      <c r="E238" s="13" t="s">
        <v>727</v>
      </c>
      <c r="F238" s="13">
        <v>30</v>
      </c>
      <c r="G238" s="2" t="s">
        <v>382</v>
      </c>
      <c r="H238" s="13" t="s">
        <v>0</v>
      </c>
      <c r="I238" s="13" t="s">
        <v>145</v>
      </c>
      <c r="J238" s="13" t="s">
        <v>46</v>
      </c>
      <c r="K238" s="109">
        <v>44512</v>
      </c>
      <c r="L238" s="109">
        <v>44525</v>
      </c>
      <c r="Q238" s="13" t="str">
        <f t="shared" si="21"/>
        <v>BGTACRD024883AUTOSERVICIOALTILLANO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14.5</v>
      </c>
      <c r="Y238" s="13">
        <v>23.5</v>
      </c>
      <c r="Z238" s="13">
        <v>9.5</v>
      </c>
      <c r="AA238" s="13">
        <v>1092</v>
      </c>
      <c r="AB238" s="13">
        <v>32760</v>
      </c>
      <c r="AC238" s="13">
        <v>2.2749999999999999E-2</v>
      </c>
      <c r="AD238" s="110">
        <f t="shared" si="25"/>
        <v>44516</v>
      </c>
      <c r="AE238" s="13" t="e">
        <f>IF(AND(AD238&lt;=$AI$4,#REF!&lt;1),1,"")</f>
        <v>#REF!</v>
      </c>
      <c r="AF238" s="110">
        <f t="shared" ca="1" si="26"/>
        <v>44553</v>
      </c>
      <c r="AH238" s="13">
        <f t="shared" ca="1" si="27"/>
        <v>41</v>
      </c>
    </row>
    <row r="239" spans="1:34" x14ac:dyDescent="0.25">
      <c r="A239" s="13" t="s">
        <v>149</v>
      </c>
      <c r="B239" s="13" t="s">
        <v>149</v>
      </c>
      <c r="C239" s="13" t="s">
        <v>433</v>
      </c>
      <c r="D239" s="13" t="s">
        <v>1175</v>
      </c>
      <c r="E239" s="13" t="s">
        <v>727</v>
      </c>
      <c r="F239" s="13">
        <v>30</v>
      </c>
      <c r="G239" s="2" t="s">
        <v>382</v>
      </c>
      <c r="H239" s="13" t="s">
        <v>0</v>
      </c>
      <c r="I239" s="13" t="s">
        <v>140</v>
      </c>
      <c r="J239" s="13" t="s">
        <v>46</v>
      </c>
      <c r="K239" s="109">
        <v>44512</v>
      </c>
      <c r="L239" s="109">
        <v>44525</v>
      </c>
      <c r="Q239" s="13" t="str">
        <f t="shared" si="21"/>
        <v>DUITCRD024883AUTOSERVICIONUTRESA</v>
      </c>
      <c r="T239" s="123">
        <f t="shared" si="22"/>
        <v>0</v>
      </c>
      <c r="U239" s="13">
        <f t="shared" si="23"/>
        <v>0</v>
      </c>
      <c r="V239" s="123">
        <f t="shared" si="24"/>
        <v>0</v>
      </c>
      <c r="X239" s="13">
        <v>14.5</v>
      </c>
      <c r="Y239" s="13">
        <v>23.5</v>
      </c>
      <c r="Z239" s="13">
        <v>9.5</v>
      </c>
      <c r="AA239" s="13">
        <v>1092</v>
      </c>
      <c r="AB239" s="13">
        <v>32760</v>
      </c>
      <c r="AC239" s="13">
        <v>2.2749999999999999E-2</v>
      </c>
      <c r="AD239" s="110">
        <f t="shared" si="25"/>
        <v>44516</v>
      </c>
      <c r="AE239" s="13" t="e">
        <f>IF(AND(AD239&lt;=$AI$4,#REF!&lt;1),1,"")</f>
        <v>#REF!</v>
      </c>
      <c r="AF239" s="110">
        <f t="shared" ca="1" si="26"/>
        <v>44553</v>
      </c>
      <c r="AH239" s="13">
        <f t="shared" ca="1" si="27"/>
        <v>41</v>
      </c>
    </row>
    <row r="240" spans="1:34" x14ac:dyDescent="0.25">
      <c r="A240" s="13" t="s">
        <v>150</v>
      </c>
      <c r="B240" s="13" t="s">
        <v>150</v>
      </c>
      <c r="C240" s="13" t="s">
        <v>433</v>
      </c>
      <c r="D240" s="13" t="s">
        <v>1175</v>
      </c>
      <c r="E240" s="13" t="s">
        <v>727</v>
      </c>
      <c r="F240" s="13">
        <v>10</v>
      </c>
      <c r="G240" s="2" t="s">
        <v>382</v>
      </c>
      <c r="H240" s="13" t="s">
        <v>0</v>
      </c>
      <c r="I240" s="13" t="s">
        <v>140</v>
      </c>
      <c r="J240" s="13" t="s">
        <v>46</v>
      </c>
      <c r="K240" s="109">
        <v>44512</v>
      </c>
      <c r="L240" s="109">
        <v>44525</v>
      </c>
      <c r="Q240" s="13" t="str">
        <f t="shared" si="21"/>
        <v>VILACRD024883AUTOSERVICIONUTRESA</v>
      </c>
      <c r="T240" s="123">
        <f t="shared" si="22"/>
        <v>0</v>
      </c>
      <c r="U240" s="13">
        <f t="shared" si="23"/>
        <v>0</v>
      </c>
      <c r="V240" s="123">
        <f t="shared" si="24"/>
        <v>0</v>
      </c>
      <c r="X240" s="13">
        <v>14.5</v>
      </c>
      <c r="Y240" s="13">
        <v>23.5</v>
      </c>
      <c r="Z240" s="13">
        <v>9.5</v>
      </c>
      <c r="AA240" s="13">
        <v>1092</v>
      </c>
      <c r="AB240" s="13">
        <v>10920</v>
      </c>
      <c r="AC240" s="13">
        <v>7.5830000000000003E-3</v>
      </c>
      <c r="AD240" s="110">
        <f t="shared" si="25"/>
        <v>44516</v>
      </c>
      <c r="AE240" s="13" t="e">
        <f>IF(AND(AD240&lt;=$AI$4,#REF!&lt;1),1,"")</f>
        <v>#REF!</v>
      </c>
      <c r="AF240" s="110">
        <f t="shared" ca="1" si="26"/>
        <v>44553</v>
      </c>
      <c r="AH240" s="13">
        <f t="shared" ca="1" si="27"/>
        <v>41</v>
      </c>
    </row>
    <row r="241" spans="1:34" x14ac:dyDescent="0.25">
      <c r="A241" s="13" t="s">
        <v>5</v>
      </c>
      <c r="B241" s="13" t="s">
        <v>5</v>
      </c>
      <c r="C241" s="13" t="s">
        <v>433</v>
      </c>
      <c r="D241" s="13" t="s">
        <v>1175</v>
      </c>
      <c r="E241" s="13" t="s">
        <v>727</v>
      </c>
      <c r="F241" s="13">
        <v>40</v>
      </c>
      <c r="G241" s="2" t="s">
        <v>382</v>
      </c>
      <c r="H241" s="13" t="s">
        <v>0</v>
      </c>
      <c r="I241" s="13" t="s">
        <v>140</v>
      </c>
      <c r="J241" s="13" t="s">
        <v>46</v>
      </c>
      <c r="K241" s="109">
        <v>44512</v>
      </c>
      <c r="L241" s="109">
        <v>44525</v>
      </c>
      <c r="Q241" s="13" t="str">
        <f t="shared" si="21"/>
        <v>BUCACRD024883AUTOSERVICIONUTRESA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14.5</v>
      </c>
      <c r="Y241" s="13">
        <v>23.5</v>
      </c>
      <c r="Z241" s="13">
        <v>9.5</v>
      </c>
      <c r="AA241" s="13">
        <v>1092</v>
      </c>
      <c r="AB241" s="13">
        <v>43680</v>
      </c>
      <c r="AC241" s="13">
        <v>3.0332999999999999E-2</v>
      </c>
      <c r="AD241" s="110">
        <f t="shared" si="25"/>
        <v>44516</v>
      </c>
      <c r="AE241" s="13" t="e">
        <f>IF(AND(AD241&lt;=$AI$4,#REF!&lt;1),1,"")</f>
        <v>#REF!</v>
      </c>
      <c r="AF241" s="110">
        <f t="shared" ca="1" si="26"/>
        <v>44553</v>
      </c>
      <c r="AH241" s="13">
        <f t="shared" ca="1" si="27"/>
        <v>41</v>
      </c>
    </row>
    <row r="242" spans="1:34" x14ac:dyDescent="0.25">
      <c r="A242" s="13" t="s">
        <v>6</v>
      </c>
      <c r="B242" s="13" t="s">
        <v>6</v>
      </c>
      <c r="C242" s="13" t="s">
        <v>433</v>
      </c>
      <c r="D242" s="13" t="s">
        <v>1175</v>
      </c>
      <c r="E242" s="13" t="s">
        <v>727</v>
      </c>
      <c r="F242" s="13">
        <v>30</v>
      </c>
      <c r="G242" s="2" t="s">
        <v>382</v>
      </c>
      <c r="H242" s="13" t="s">
        <v>0</v>
      </c>
      <c r="I242" s="13" t="s">
        <v>140</v>
      </c>
      <c r="J242" s="13" t="s">
        <v>46</v>
      </c>
      <c r="K242" s="109">
        <v>44512</v>
      </c>
      <c r="L242" s="109">
        <v>44525</v>
      </c>
      <c r="Q242" s="13" t="str">
        <f t="shared" si="21"/>
        <v>CALICRD024883AUTOSERVICIONUTRESA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14.5</v>
      </c>
      <c r="Y242" s="13">
        <v>23.5</v>
      </c>
      <c r="Z242" s="13">
        <v>9.5</v>
      </c>
      <c r="AA242" s="13">
        <v>1092</v>
      </c>
      <c r="AB242" s="13">
        <v>32760</v>
      </c>
      <c r="AC242" s="13">
        <v>2.2749999999999999E-2</v>
      </c>
      <c r="AD242" s="110">
        <f t="shared" si="25"/>
        <v>44516</v>
      </c>
      <c r="AE242" s="13" t="e">
        <f>IF(AND(AD242&lt;=$AI$4,#REF!&lt;1),1,"")</f>
        <v>#REF!</v>
      </c>
      <c r="AF242" s="110">
        <f t="shared" ca="1" si="26"/>
        <v>44553</v>
      </c>
      <c r="AH242" s="13">
        <f t="shared" ca="1" si="27"/>
        <v>41</v>
      </c>
    </row>
    <row r="243" spans="1:34" x14ac:dyDescent="0.25">
      <c r="A243" s="13" t="s">
        <v>7</v>
      </c>
      <c r="B243" s="13" t="s">
        <v>7</v>
      </c>
      <c r="C243" s="13" t="s">
        <v>433</v>
      </c>
      <c r="D243" s="13" t="s">
        <v>1175</v>
      </c>
      <c r="E243" s="13" t="s">
        <v>727</v>
      </c>
      <c r="F243" s="13">
        <v>5</v>
      </c>
      <c r="G243" s="2" t="s">
        <v>382</v>
      </c>
      <c r="H243" s="13" t="s">
        <v>0</v>
      </c>
      <c r="I243" s="13" t="s">
        <v>140</v>
      </c>
      <c r="J243" s="13" t="s">
        <v>46</v>
      </c>
      <c r="K243" s="109">
        <v>44512</v>
      </c>
      <c r="L243" s="109">
        <v>44525</v>
      </c>
      <c r="Q243" s="13" t="str">
        <f t="shared" si="21"/>
        <v>CARTCRD024883AUTOSERVICIONUTRESA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14.5</v>
      </c>
      <c r="Y243" s="13">
        <v>23.5</v>
      </c>
      <c r="Z243" s="13">
        <v>9.5</v>
      </c>
      <c r="AA243" s="13">
        <v>1092</v>
      </c>
      <c r="AB243" s="13">
        <v>5460</v>
      </c>
      <c r="AC243" s="13">
        <v>3.7919999999999998E-3</v>
      </c>
      <c r="AD243" s="110">
        <f t="shared" si="25"/>
        <v>44516</v>
      </c>
      <c r="AE243" s="13" t="e">
        <f>IF(AND(AD243&lt;=$AI$4,#REF!&lt;1),1,"")</f>
        <v>#REF!</v>
      </c>
      <c r="AF243" s="110">
        <f t="shared" ca="1" si="26"/>
        <v>44553</v>
      </c>
      <c r="AH243" s="13">
        <f t="shared" ca="1" si="27"/>
        <v>41</v>
      </c>
    </row>
    <row r="244" spans="1:34" x14ac:dyDescent="0.25">
      <c r="A244" s="13" t="s">
        <v>8</v>
      </c>
      <c r="B244" s="13" t="s">
        <v>8</v>
      </c>
      <c r="C244" s="13" t="s">
        <v>433</v>
      </c>
      <c r="D244" s="13" t="s">
        <v>1175</v>
      </c>
      <c r="E244" s="13" t="s">
        <v>727</v>
      </c>
      <c r="F244" s="13">
        <v>142</v>
      </c>
      <c r="G244" s="2" t="s">
        <v>382</v>
      </c>
      <c r="H244" s="13" t="s">
        <v>0</v>
      </c>
      <c r="I244" s="13" t="s">
        <v>140</v>
      </c>
      <c r="J244" s="13" t="s">
        <v>46</v>
      </c>
      <c r="K244" s="109">
        <v>44512</v>
      </c>
      <c r="L244" s="109">
        <v>44525</v>
      </c>
      <c r="Q244" s="13" t="str">
        <f t="shared" si="21"/>
        <v>IBA1CRD024883AUTOSERVICIONUTRESA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14.5</v>
      </c>
      <c r="Y244" s="13">
        <v>23.5</v>
      </c>
      <c r="Z244" s="13">
        <v>9.5</v>
      </c>
      <c r="AA244" s="13">
        <v>1092</v>
      </c>
      <c r="AB244" s="13">
        <v>155064</v>
      </c>
      <c r="AC244" s="13">
        <v>0.107683</v>
      </c>
      <c r="AD244" s="110">
        <f t="shared" si="25"/>
        <v>44516</v>
      </c>
      <c r="AE244" s="13" t="e">
        <f>IF(AND(AD244&lt;=$AI$4,#REF!&lt;1),1,"")</f>
        <v>#REF!</v>
      </c>
      <c r="AF244" s="110">
        <f t="shared" ca="1" si="26"/>
        <v>44553</v>
      </c>
      <c r="AH244" s="13">
        <f t="shared" ca="1" si="27"/>
        <v>41</v>
      </c>
    </row>
    <row r="245" spans="1:34" x14ac:dyDescent="0.25">
      <c r="A245" s="13" t="s">
        <v>9</v>
      </c>
      <c r="B245" s="13" t="s">
        <v>9</v>
      </c>
      <c r="C245" s="13" t="s">
        <v>433</v>
      </c>
      <c r="D245" s="13" t="s">
        <v>1175</v>
      </c>
      <c r="E245" s="13" t="s">
        <v>727</v>
      </c>
      <c r="F245" s="13">
        <v>87</v>
      </c>
      <c r="G245" s="2" t="s">
        <v>382</v>
      </c>
      <c r="H245" s="13" t="s">
        <v>0</v>
      </c>
      <c r="I245" s="13" t="s">
        <v>140</v>
      </c>
      <c r="J245" s="13" t="s">
        <v>46</v>
      </c>
      <c r="K245" s="109">
        <v>44512</v>
      </c>
      <c r="L245" s="109">
        <v>44525</v>
      </c>
      <c r="Q245" s="13" t="str">
        <f t="shared" si="21"/>
        <v>MEDECRD024883AUTOSERVICIONUTRESA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14.5</v>
      </c>
      <c r="Y245" s="13">
        <v>23.5</v>
      </c>
      <c r="Z245" s="13">
        <v>9.5</v>
      </c>
      <c r="AA245" s="13">
        <v>1092</v>
      </c>
      <c r="AB245" s="13">
        <v>95004</v>
      </c>
      <c r="AC245" s="13">
        <v>6.5975000000000006E-2</v>
      </c>
      <c r="AD245" s="110">
        <f t="shared" si="25"/>
        <v>44516</v>
      </c>
      <c r="AE245" s="13" t="e">
        <f>IF(AND(AD245&lt;=$AI$4,#REF!&lt;1),1,"")</f>
        <v>#REF!</v>
      </c>
      <c r="AF245" s="110">
        <f t="shared" ca="1" si="26"/>
        <v>44553</v>
      </c>
      <c r="AH245" s="13">
        <f t="shared" ca="1" si="27"/>
        <v>41</v>
      </c>
    </row>
    <row r="246" spans="1:34" x14ac:dyDescent="0.25">
      <c r="A246" s="13" t="s">
        <v>10</v>
      </c>
      <c r="B246" s="13" t="s">
        <v>10</v>
      </c>
      <c r="C246" s="13" t="s">
        <v>433</v>
      </c>
      <c r="D246" s="13" t="s">
        <v>1175</v>
      </c>
      <c r="E246" s="13" t="s">
        <v>727</v>
      </c>
      <c r="F246" s="13">
        <v>40</v>
      </c>
      <c r="G246" s="2" t="s">
        <v>382</v>
      </c>
      <c r="H246" s="13" t="s">
        <v>0</v>
      </c>
      <c r="I246" s="13" t="s">
        <v>140</v>
      </c>
      <c r="J246" s="13" t="s">
        <v>46</v>
      </c>
      <c r="K246" s="109">
        <v>44512</v>
      </c>
      <c r="L246" s="109">
        <v>44525</v>
      </c>
      <c r="Q246" s="13" t="str">
        <f t="shared" si="21"/>
        <v>PERECRD024883AUTOSERVICIONUTRESA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14.5</v>
      </c>
      <c r="Y246" s="13">
        <v>23.5</v>
      </c>
      <c r="Z246" s="13">
        <v>9.5</v>
      </c>
      <c r="AA246" s="13">
        <v>1092</v>
      </c>
      <c r="AB246" s="13">
        <v>43680</v>
      </c>
      <c r="AC246" s="13">
        <v>3.0332999999999999E-2</v>
      </c>
      <c r="AD246" s="110">
        <f t="shared" si="25"/>
        <v>44516</v>
      </c>
      <c r="AE246" s="13" t="e">
        <f>IF(AND(AD246&lt;=$AI$4,#REF!&lt;1),1,"")</f>
        <v>#REF!</v>
      </c>
      <c r="AF246" s="110">
        <f t="shared" ca="1" si="26"/>
        <v>44553</v>
      </c>
      <c r="AH246" s="13">
        <f t="shared" ca="1" si="27"/>
        <v>41</v>
      </c>
    </row>
    <row r="247" spans="1:34" x14ac:dyDescent="0.25">
      <c r="A247" s="13" t="s">
        <v>3</v>
      </c>
      <c r="B247" s="13" t="s">
        <v>3</v>
      </c>
      <c r="C247" s="13" t="s">
        <v>434</v>
      </c>
      <c r="D247" s="13" t="s">
        <v>435</v>
      </c>
      <c r="E247" s="13" t="s">
        <v>728</v>
      </c>
      <c r="F247" s="13">
        <v>20</v>
      </c>
      <c r="G247" s="2" t="s">
        <v>382</v>
      </c>
      <c r="H247" s="13" t="s">
        <v>0</v>
      </c>
      <c r="I247" s="13" t="s">
        <v>140</v>
      </c>
      <c r="J247" s="13" t="s">
        <v>46</v>
      </c>
      <c r="K247" s="109">
        <v>44512</v>
      </c>
      <c r="L247" s="109">
        <v>44525</v>
      </c>
      <c r="Q247" s="13" t="str">
        <f t="shared" si="21"/>
        <v>BARRCRD024884AUTOSERVICIONUTRESA</v>
      </c>
      <c r="T247" s="123">
        <f t="shared" si="22"/>
        <v>0</v>
      </c>
      <c r="U247" s="13">
        <f t="shared" si="23"/>
        <v>0</v>
      </c>
      <c r="V247" s="123">
        <f t="shared" si="24"/>
        <v>0</v>
      </c>
      <c r="X247" s="13">
        <v>0.1</v>
      </c>
      <c r="Y247" s="13">
        <v>11</v>
      </c>
      <c r="Z247" s="13">
        <v>81</v>
      </c>
      <c r="AA247" s="13">
        <v>3200</v>
      </c>
      <c r="AB247" s="13">
        <v>64000</v>
      </c>
      <c r="AC247" s="13">
        <v>4.4443999999999997E-2</v>
      </c>
      <c r="AD247" s="110">
        <f t="shared" si="25"/>
        <v>44516</v>
      </c>
      <c r="AE247" s="13" t="e">
        <f>IF(AND(AD247&lt;=$AI$4,#REF!&lt;1),1,"")</f>
        <v>#REF!</v>
      </c>
      <c r="AF247" s="110">
        <f t="shared" ca="1" si="26"/>
        <v>44553</v>
      </c>
      <c r="AH247" s="13">
        <f t="shared" ca="1" si="27"/>
        <v>41</v>
      </c>
    </row>
    <row r="248" spans="1:34" x14ac:dyDescent="0.25">
      <c r="A248" s="13" t="s">
        <v>4</v>
      </c>
      <c r="B248" s="13" t="s">
        <v>4</v>
      </c>
      <c r="C248" s="13" t="s">
        <v>434</v>
      </c>
      <c r="D248" s="13" t="s">
        <v>435</v>
      </c>
      <c r="E248" s="13" t="s">
        <v>728</v>
      </c>
      <c r="F248" s="13">
        <v>50</v>
      </c>
      <c r="G248" s="2" t="s">
        <v>382</v>
      </c>
      <c r="H248" s="13" t="s">
        <v>0</v>
      </c>
      <c r="I248" s="13" t="s">
        <v>140</v>
      </c>
      <c r="J248" s="13" t="s">
        <v>46</v>
      </c>
      <c r="K248" s="109">
        <v>44512</v>
      </c>
      <c r="L248" s="109">
        <v>44525</v>
      </c>
      <c r="Q248" s="13" t="str">
        <f t="shared" si="21"/>
        <v>BGTACRD024884AUTOSERVICIONUTRESA</v>
      </c>
      <c r="T248" s="123">
        <f t="shared" si="22"/>
        <v>0</v>
      </c>
      <c r="U248" s="13">
        <f t="shared" si="23"/>
        <v>0</v>
      </c>
      <c r="V248" s="123">
        <f t="shared" si="24"/>
        <v>0</v>
      </c>
      <c r="X248" s="13">
        <v>0.1</v>
      </c>
      <c r="Y248" s="13">
        <v>11</v>
      </c>
      <c r="Z248" s="13">
        <v>81</v>
      </c>
      <c r="AA248" s="13">
        <v>3200</v>
      </c>
      <c r="AB248" s="13">
        <v>160000</v>
      </c>
      <c r="AC248" s="13">
        <v>0.111111</v>
      </c>
      <c r="AD248" s="110">
        <f t="shared" si="25"/>
        <v>44516</v>
      </c>
      <c r="AE248" s="13" t="e">
        <f>IF(AND(AD248&lt;=$AI$4,#REF!&lt;1),1,"")</f>
        <v>#REF!</v>
      </c>
      <c r="AF248" s="110">
        <f t="shared" ca="1" si="26"/>
        <v>44553</v>
      </c>
      <c r="AH248" s="13">
        <f t="shared" ca="1" si="27"/>
        <v>41</v>
      </c>
    </row>
    <row r="249" spans="1:34" x14ac:dyDescent="0.25">
      <c r="A249" s="13" t="s">
        <v>724</v>
      </c>
      <c r="B249" s="13" t="s">
        <v>4</v>
      </c>
      <c r="C249" s="13" t="s">
        <v>434</v>
      </c>
      <c r="D249" s="13" t="s">
        <v>435</v>
      </c>
      <c r="E249" s="13" t="s">
        <v>728</v>
      </c>
      <c r="F249" s="13">
        <v>30</v>
      </c>
      <c r="G249" s="2" t="s">
        <v>382</v>
      </c>
      <c r="H249" s="13" t="s">
        <v>0</v>
      </c>
      <c r="I249" s="13" t="s">
        <v>145</v>
      </c>
      <c r="J249" s="13" t="s">
        <v>46</v>
      </c>
      <c r="K249" s="109">
        <v>44512</v>
      </c>
      <c r="L249" s="109">
        <v>44525</v>
      </c>
      <c r="Q249" s="13" t="str">
        <f t="shared" si="21"/>
        <v>BGTACRD024884AUTOSERVICIOALTILLANO</v>
      </c>
      <c r="T249" s="123">
        <f t="shared" si="22"/>
        <v>0</v>
      </c>
      <c r="U249" s="13">
        <f t="shared" si="23"/>
        <v>0</v>
      </c>
      <c r="V249" s="123">
        <f t="shared" si="24"/>
        <v>0</v>
      </c>
      <c r="X249" s="13">
        <v>0.1</v>
      </c>
      <c r="Y249" s="13">
        <v>11</v>
      </c>
      <c r="Z249" s="13">
        <v>81</v>
      </c>
      <c r="AA249" s="13">
        <v>3200</v>
      </c>
      <c r="AB249" s="13">
        <v>96000</v>
      </c>
      <c r="AC249" s="13">
        <v>6.6667000000000004E-2</v>
      </c>
      <c r="AD249" s="110">
        <f t="shared" si="25"/>
        <v>44516</v>
      </c>
      <c r="AE249" s="13" t="e">
        <f>IF(AND(AD249&lt;=$AI$4,#REF!&lt;1),1,"")</f>
        <v>#REF!</v>
      </c>
      <c r="AF249" s="110">
        <f t="shared" ca="1" si="26"/>
        <v>44553</v>
      </c>
      <c r="AH249" s="13">
        <f t="shared" ca="1" si="27"/>
        <v>41</v>
      </c>
    </row>
    <row r="250" spans="1:34" x14ac:dyDescent="0.25">
      <c r="A250" s="13" t="s">
        <v>149</v>
      </c>
      <c r="B250" s="13" t="s">
        <v>149</v>
      </c>
      <c r="C250" s="13" t="s">
        <v>434</v>
      </c>
      <c r="D250" s="13" t="s">
        <v>435</v>
      </c>
      <c r="E250" s="13" t="s">
        <v>728</v>
      </c>
      <c r="F250" s="13">
        <v>30</v>
      </c>
      <c r="G250" s="2" t="s">
        <v>382</v>
      </c>
      <c r="H250" s="13" t="s">
        <v>0</v>
      </c>
      <c r="I250" s="13" t="s">
        <v>140</v>
      </c>
      <c r="J250" s="13" t="s">
        <v>46</v>
      </c>
      <c r="K250" s="109">
        <v>44512</v>
      </c>
      <c r="L250" s="109">
        <v>44525</v>
      </c>
      <c r="Q250" s="13" t="str">
        <f t="shared" si="21"/>
        <v>DUITCRD024884AUTOSERVICIONUTRESA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0.1</v>
      </c>
      <c r="Y250" s="13">
        <v>11</v>
      </c>
      <c r="Z250" s="13">
        <v>81</v>
      </c>
      <c r="AA250" s="13">
        <v>3200</v>
      </c>
      <c r="AB250" s="13">
        <v>96000</v>
      </c>
      <c r="AC250" s="13">
        <v>6.6667000000000004E-2</v>
      </c>
      <c r="AD250" s="110">
        <f t="shared" si="25"/>
        <v>44516</v>
      </c>
      <c r="AE250" s="13" t="e">
        <f>IF(AND(AD250&lt;=$AI$4,#REF!&lt;1),1,"")</f>
        <v>#REF!</v>
      </c>
      <c r="AF250" s="110">
        <f t="shared" ca="1" si="26"/>
        <v>44553</v>
      </c>
      <c r="AH250" s="13">
        <f t="shared" ca="1" si="27"/>
        <v>41</v>
      </c>
    </row>
    <row r="251" spans="1:34" x14ac:dyDescent="0.25">
      <c r="A251" s="13" t="s">
        <v>150</v>
      </c>
      <c r="B251" s="13" t="s">
        <v>150</v>
      </c>
      <c r="C251" s="13" t="s">
        <v>434</v>
      </c>
      <c r="D251" s="13" t="s">
        <v>435</v>
      </c>
      <c r="E251" s="13" t="s">
        <v>728</v>
      </c>
      <c r="F251" s="13">
        <v>10</v>
      </c>
      <c r="G251" s="2" t="s">
        <v>382</v>
      </c>
      <c r="H251" s="13" t="s">
        <v>0</v>
      </c>
      <c r="I251" s="13" t="s">
        <v>140</v>
      </c>
      <c r="J251" s="13" t="s">
        <v>46</v>
      </c>
      <c r="K251" s="109">
        <v>44512</v>
      </c>
      <c r="L251" s="109">
        <v>44525</v>
      </c>
      <c r="Q251" s="13" t="str">
        <f t="shared" si="21"/>
        <v>VILACRD024884AUTOSERVICIONUTRESA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0.1</v>
      </c>
      <c r="Y251" s="13">
        <v>11</v>
      </c>
      <c r="Z251" s="13">
        <v>81</v>
      </c>
      <c r="AA251" s="13">
        <v>3200</v>
      </c>
      <c r="AB251" s="13">
        <v>32000</v>
      </c>
      <c r="AC251" s="13">
        <v>2.2221999999999999E-2</v>
      </c>
      <c r="AD251" s="110">
        <f t="shared" si="25"/>
        <v>44516</v>
      </c>
      <c r="AE251" s="13" t="e">
        <f>IF(AND(AD251&lt;=$AI$4,#REF!&lt;1),1,"")</f>
        <v>#REF!</v>
      </c>
      <c r="AF251" s="110">
        <f t="shared" ca="1" si="26"/>
        <v>44553</v>
      </c>
      <c r="AH251" s="13">
        <f t="shared" ca="1" si="27"/>
        <v>41</v>
      </c>
    </row>
    <row r="252" spans="1:34" x14ac:dyDescent="0.25">
      <c r="A252" s="13" t="s">
        <v>5</v>
      </c>
      <c r="B252" s="13" t="s">
        <v>5</v>
      </c>
      <c r="C252" s="13" t="s">
        <v>434</v>
      </c>
      <c r="D252" s="13" t="s">
        <v>435</v>
      </c>
      <c r="E252" s="13" t="s">
        <v>728</v>
      </c>
      <c r="F252" s="13">
        <v>60</v>
      </c>
      <c r="G252" s="2" t="s">
        <v>382</v>
      </c>
      <c r="H252" s="13" t="s">
        <v>0</v>
      </c>
      <c r="I252" s="13" t="s">
        <v>140</v>
      </c>
      <c r="J252" s="13" t="s">
        <v>46</v>
      </c>
      <c r="K252" s="109">
        <v>44512</v>
      </c>
      <c r="L252" s="109">
        <v>44525</v>
      </c>
      <c r="Q252" s="13" t="str">
        <f t="shared" si="21"/>
        <v>BUCACRD024884AUTOSERVICIONUTRESA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0.1</v>
      </c>
      <c r="Y252" s="13">
        <v>11</v>
      </c>
      <c r="Z252" s="13">
        <v>81</v>
      </c>
      <c r="AA252" s="13">
        <v>3200</v>
      </c>
      <c r="AB252" s="13">
        <v>192000</v>
      </c>
      <c r="AC252" s="13">
        <v>0.13333300000000001</v>
      </c>
      <c r="AD252" s="110">
        <f t="shared" si="25"/>
        <v>44516</v>
      </c>
      <c r="AE252" s="13" t="e">
        <f>IF(AND(AD252&lt;=$AI$4,#REF!&lt;1),1,"")</f>
        <v>#REF!</v>
      </c>
      <c r="AF252" s="110">
        <f t="shared" ca="1" si="26"/>
        <v>44553</v>
      </c>
      <c r="AH252" s="13">
        <f t="shared" ca="1" si="27"/>
        <v>41</v>
      </c>
    </row>
    <row r="253" spans="1:34" x14ac:dyDescent="0.25">
      <c r="A253" s="13" t="s">
        <v>6</v>
      </c>
      <c r="B253" s="13" t="s">
        <v>6</v>
      </c>
      <c r="C253" s="13" t="s">
        <v>434</v>
      </c>
      <c r="D253" s="13" t="s">
        <v>435</v>
      </c>
      <c r="E253" s="13" t="s">
        <v>728</v>
      </c>
      <c r="F253" s="13">
        <v>30</v>
      </c>
      <c r="G253" s="2" t="s">
        <v>382</v>
      </c>
      <c r="H253" s="13" t="s">
        <v>0</v>
      </c>
      <c r="I253" s="13" t="s">
        <v>140</v>
      </c>
      <c r="J253" s="13" t="s">
        <v>46</v>
      </c>
      <c r="K253" s="109">
        <v>44512</v>
      </c>
      <c r="L253" s="109">
        <v>44525</v>
      </c>
      <c r="Q253" s="13" t="str">
        <f t="shared" si="21"/>
        <v>CALICRD024884AUTOSERVICIONUTRESA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0.1</v>
      </c>
      <c r="Y253" s="13">
        <v>11</v>
      </c>
      <c r="Z253" s="13">
        <v>81</v>
      </c>
      <c r="AA253" s="13">
        <v>3200</v>
      </c>
      <c r="AB253" s="13">
        <v>96000</v>
      </c>
      <c r="AC253" s="13">
        <v>6.6667000000000004E-2</v>
      </c>
      <c r="AD253" s="110">
        <f t="shared" si="25"/>
        <v>44516</v>
      </c>
      <c r="AE253" s="13" t="e">
        <f>IF(AND(AD253&lt;=$AI$4,#REF!&lt;1),1,"")</f>
        <v>#REF!</v>
      </c>
      <c r="AF253" s="110">
        <f t="shared" ca="1" si="26"/>
        <v>44553</v>
      </c>
      <c r="AH253" s="13">
        <f t="shared" ca="1" si="27"/>
        <v>41</v>
      </c>
    </row>
    <row r="254" spans="1:34" x14ac:dyDescent="0.25">
      <c r="A254" s="13" t="s">
        <v>7</v>
      </c>
      <c r="B254" s="13" t="s">
        <v>7</v>
      </c>
      <c r="C254" s="13" t="s">
        <v>434</v>
      </c>
      <c r="D254" s="13" t="s">
        <v>435</v>
      </c>
      <c r="E254" s="13" t="s">
        <v>728</v>
      </c>
      <c r="F254" s="13">
        <v>20</v>
      </c>
      <c r="G254" s="2" t="s">
        <v>382</v>
      </c>
      <c r="H254" s="13" t="s">
        <v>0</v>
      </c>
      <c r="I254" s="13" t="s">
        <v>140</v>
      </c>
      <c r="J254" s="13" t="s">
        <v>46</v>
      </c>
      <c r="K254" s="109">
        <v>44512</v>
      </c>
      <c r="L254" s="109">
        <v>44525</v>
      </c>
      <c r="Q254" s="13" t="str">
        <f t="shared" si="21"/>
        <v>CARTCRD024884AUTOSERVICIONUTRESA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0.1</v>
      </c>
      <c r="Y254" s="13">
        <v>11</v>
      </c>
      <c r="Z254" s="13">
        <v>81</v>
      </c>
      <c r="AA254" s="13">
        <v>3200</v>
      </c>
      <c r="AB254" s="13">
        <v>64000</v>
      </c>
      <c r="AC254" s="13">
        <v>4.4443999999999997E-2</v>
      </c>
      <c r="AD254" s="110">
        <f t="shared" si="25"/>
        <v>44516</v>
      </c>
      <c r="AE254" s="13" t="e">
        <f>IF(AND(AD254&lt;=$AI$4,#REF!&lt;1),1,"")</f>
        <v>#REF!</v>
      </c>
      <c r="AF254" s="110">
        <f t="shared" ca="1" si="26"/>
        <v>44553</v>
      </c>
      <c r="AH254" s="13">
        <f t="shared" ca="1" si="27"/>
        <v>41</v>
      </c>
    </row>
    <row r="255" spans="1:34" x14ac:dyDescent="0.25">
      <c r="A255" s="13" t="s">
        <v>8</v>
      </c>
      <c r="B255" s="13" t="s">
        <v>8</v>
      </c>
      <c r="C255" s="13" t="s">
        <v>434</v>
      </c>
      <c r="D255" s="13" t="s">
        <v>435</v>
      </c>
      <c r="E255" s="13" t="s">
        <v>728</v>
      </c>
      <c r="F255" s="13">
        <v>167</v>
      </c>
      <c r="G255" s="2" t="s">
        <v>382</v>
      </c>
      <c r="H255" s="13" t="s">
        <v>0</v>
      </c>
      <c r="I255" s="13" t="s">
        <v>140</v>
      </c>
      <c r="J255" s="13" t="s">
        <v>46</v>
      </c>
      <c r="K255" s="109">
        <v>44512</v>
      </c>
      <c r="L255" s="109">
        <v>44525</v>
      </c>
      <c r="Q255" s="13" t="str">
        <f t="shared" si="21"/>
        <v>IBA1CRD024884AUTOSERVICIONUTRESA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0.1</v>
      </c>
      <c r="Y255" s="13">
        <v>11</v>
      </c>
      <c r="Z255" s="13">
        <v>81</v>
      </c>
      <c r="AA255" s="13">
        <v>3200</v>
      </c>
      <c r="AB255" s="13">
        <v>534400</v>
      </c>
      <c r="AC255" s="13">
        <v>0.37111100000000002</v>
      </c>
      <c r="AD255" s="110">
        <f t="shared" si="25"/>
        <v>44516</v>
      </c>
      <c r="AE255" s="13" t="e">
        <f>IF(AND(AD255&lt;=$AI$4,#REF!&lt;1),1,"")</f>
        <v>#REF!</v>
      </c>
      <c r="AF255" s="110">
        <f t="shared" ca="1" si="26"/>
        <v>44553</v>
      </c>
      <c r="AH255" s="13">
        <f t="shared" ca="1" si="27"/>
        <v>41</v>
      </c>
    </row>
    <row r="256" spans="1:34" x14ac:dyDescent="0.25">
      <c r="A256" s="13" t="s">
        <v>9</v>
      </c>
      <c r="B256" s="13" t="s">
        <v>9</v>
      </c>
      <c r="C256" s="13" t="s">
        <v>434</v>
      </c>
      <c r="D256" s="13" t="s">
        <v>435</v>
      </c>
      <c r="E256" s="13" t="s">
        <v>728</v>
      </c>
      <c r="F256" s="13">
        <v>83</v>
      </c>
      <c r="G256" s="2" t="s">
        <v>382</v>
      </c>
      <c r="H256" s="13" t="s">
        <v>0</v>
      </c>
      <c r="I256" s="13" t="s">
        <v>140</v>
      </c>
      <c r="J256" s="13" t="s">
        <v>46</v>
      </c>
      <c r="K256" s="109">
        <v>44512</v>
      </c>
      <c r="L256" s="109">
        <v>44525</v>
      </c>
      <c r="Q256" s="13" t="str">
        <f t="shared" si="21"/>
        <v>MEDECRD024884AUTOSERVICIONUTRESA</v>
      </c>
      <c r="T256" s="123">
        <f t="shared" si="22"/>
        <v>0</v>
      </c>
      <c r="U256" s="13">
        <f t="shared" si="23"/>
        <v>0</v>
      </c>
      <c r="V256" s="123">
        <f t="shared" si="24"/>
        <v>0</v>
      </c>
      <c r="X256" s="13">
        <v>0.1</v>
      </c>
      <c r="Y256" s="13">
        <v>11</v>
      </c>
      <c r="Z256" s="13">
        <v>81</v>
      </c>
      <c r="AA256" s="13">
        <v>3200</v>
      </c>
      <c r="AB256" s="13">
        <v>265600</v>
      </c>
      <c r="AC256" s="13">
        <v>0.184444</v>
      </c>
      <c r="AD256" s="110">
        <f t="shared" si="25"/>
        <v>44516</v>
      </c>
      <c r="AE256" s="13" t="e">
        <f>IF(AND(AD256&lt;=$AI$4,#REF!&lt;1),1,"")</f>
        <v>#REF!</v>
      </c>
      <c r="AF256" s="110">
        <f t="shared" ca="1" si="26"/>
        <v>44553</v>
      </c>
      <c r="AH256" s="13">
        <f t="shared" ca="1" si="27"/>
        <v>41</v>
      </c>
    </row>
    <row r="257" spans="1:34" x14ac:dyDescent="0.25">
      <c r="A257" s="13" t="s">
        <v>10</v>
      </c>
      <c r="B257" s="13" t="s">
        <v>10</v>
      </c>
      <c r="C257" s="13" t="s">
        <v>434</v>
      </c>
      <c r="D257" s="13" t="s">
        <v>435</v>
      </c>
      <c r="E257" s="13" t="s">
        <v>728</v>
      </c>
      <c r="F257" s="13">
        <v>60</v>
      </c>
      <c r="G257" s="2" t="s">
        <v>382</v>
      </c>
      <c r="H257" s="13" t="s">
        <v>0</v>
      </c>
      <c r="I257" s="13" t="s">
        <v>140</v>
      </c>
      <c r="J257" s="13" t="s">
        <v>46</v>
      </c>
      <c r="K257" s="109">
        <v>44512</v>
      </c>
      <c r="L257" s="109">
        <v>44525</v>
      </c>
      <c r="Q257" s="13" t="str">
        <f t="shared" si="21"/>
        <v>PERECRD024884AUTOSERVICIONUTRESA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0.1</v>
      </c>
      <c r="Y257" s="13">
        <v>11</v>
      </c>
      <c r="Z257" s="13">
        <v>81</v>
      </c>
      <c r="AA257" s="13">
        <v>3200</v>
      </c>
      <c r="AB257" s="13">
        <v>192000</v>
      </c>
      <c r="AC257" s="13">
        <v>0.13333300000000001</v>
      </c>
      <c r="AD257" s="110">
        <f t="shared" si="25"/>
        <v>44516</v>
      </c>
      <c r="AE257" s="13" t="e">
        <f>IF(AND(AD257&lt;=$AI$4,#REF!&lt;1),1,"")</f>
        <v>#REF!</v>
      </c>
      <c r="AF257" s="110">
        <f t="shared" ca="1" si="26"/>
        <v>44553</v>
      </c>
      <c r="AH257" s="13">
        <f t="shared" ca="1" si="27"/>
        <v>41</v>
      </c>
    </row>
    <row r="258" spans="1:34" x14ac:dyDescent="0.25">
      <c r="A258" s="13" t="s">
        <v>3</v>
      </c>
      <c r="B258" s="13" t="s">
        <v>3</v>
      </c>
      <c r="C258" s="13" t="s">
        <v>436</v>
      </c>
      <c r="D258" s="13" t="s">
        <v>437</v>
      </c>
      <c r="E258" s="13" t="s">
        <v>729</v>
      </c>
      <c r="F258" s="13">
        <v>30</v>
      </c>
      <c r="G258" s="2" t="s">
        <v>382</v>
      </c>
      <c r="H258" s="13" t="s">
        <v>0</v>
      </c>
      <c r="I258" s="13" t="s">
        <v>140</v>
      </c>
      <c r="J258" s="13" t="s">
        <v>139</v>
      </c>
      <c r="K258" s="109">
        <v>44512</v>
      </c>
      <c r="L258" s="109">
        <v>44525</v>
      </c>
      <c r="Q258" s="13" t="str">
        <f t="shared" si="21"/>
        <v>BARRCRD024885AUTOSERVICIONUTRESA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14</v>
      </c>
      <c r="Y258" s="13">
        <v>11</v>
      </c>
      <c r="Z258" s="13">
        <v>0.2</v>
      </c>
      <c r="AA258" s="13">
        <v>1.4850000000000001</v>
      </c>
      <c r="AB258" s="13">
        <v>44.55</v>
      </c>
      <c r="AC258" s="13">
        <v>3.1000000000000001E-5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44553</v>
      </c>
      <c r="AH258" s="13">
        <f t="shared" ca="1" si="27"/>
        <v>41</v>
      </c>
    </row>
    <row r="259" spans="1:34" x14ac:dyDescent="0.25">
      <c r="A259" s="13" t="s">
        <v>4</v>
      </c>
      <c r="B259" s="13" t="s">
        <v>4</v>
      </c>
      <c r="C259" s="13" t="s">
        <v>436</v>
      </c>
      <c r="D259" s="13" t="s">
        <v>437</v>
      </c>
      <c r="E259" s="13" t="s">
        <v>729</v>
      </c>
      <c r="F259" s="13">
        <v>200</v>
      </c>
      <c r="G259" s="2" t="s">
        <v>382</v>
      </c>
      <c r="H259" s="13" t="s">
        <v>0</v>
      </c>
      <c r="I259" s="13" t="s">
        <v>140</v>
      </c>
      <c r="J259" s="13" t="s">
        <v>139</v>
      </c>
      <c r="K259" s="109">
        <v>44512</v>
      </c>
      <c r="L259" s="109">
        <v>44525</v>
      </c>
      <c r="Q259" s="13" t="str">
        <f t="shared" ref="Q259:Q322" si="28">+CONCATENATE(B259,C259,H259,I259)</f>
        <v>BGTACRD024885AUTOSERVICIONUTRESA</v>
      </c>
      <c r="T259" s="123">
        <f t="shared" ref="T259:T322" si="29">IFERROR(R259/F259,0)</f>
        <v>0</v>
      </c>
      <c r="U259" s="13">
        <f t="shared" ref="U259:U322" si="30">R259-S259</f>
        <v>0</v>
      </c>
      <c r="V259" s="123">
        <f t="shared" ref="V259:V322" si="31">IFERROR(U259/R259,0)</f>
        <v>0</v>
      </c>
      <c r="X259" s="13">
        <v>14</v>
      </c>
      <c r="Y259" s="13">
        <v>11</v>
      </c>
      <c r="Z259" s="13">
        <v>0.2</v>
      </c>
      <c r="AA259" s="13">
        <v>1.4850000000000001</v>
      </c>
      <c r="AB259" s="13">
        <v>297</v>
      </c>
      <c r="AC259" s="13">
        <v>2.0599999999999999E-4</v>
      </c>
      <c r="AD259" s="110">
        <f t="shared" ref="AD259:AD322" si="32">K259+4</f>
        <v>44516</v>
      </c>
      <c r="AE259" s="13" t="e">
        <f>IF(AND(AD259&lt;=$AI$4,#REF!&lt;1),1,"")</f>
        <v>#REF!</v>
      </c>
      <c r="AF259" s="110">
        <f t="shared" ref="AF259:AF322" ca="1" si="33">TODAY()</f>
        <v>44553</v>
      </c>
      <c r="AH259" s="13">
        <f t="shared" ref="AH259:AH322" ca="1" si="34">AF259-K259</f>
        <v>41</v>
      </c>
    </row>
    <row r="260" spans="1:34" x14ac:dyDescent="0.25">
      <c r="A260" s="13" t="s">
        <v>724</v>
      </c>
      <c r="B260" s="13" t="s">
        <v>4</v>
      </c>
      <c r="C260" s="13" t="s">
        <v>436</v>
      </c>
      <c r="D260" s="13" t="s">
        <v>437</v>
      </c>
      <c r="E260" s="13" t="s">
        <v>729</v>
      </c>
      <c r="F260" s="13">
        <v>150</v>
      </c>
      <c r="G260" s="2" t="s">
        <v>382</v>
      </c>
      <c r="H260" s="13" t="s">
        <v>0</v>
      </c>
      <c r="I260" s="13" t="s">
        <v>145</v>
      </c>
      <c r="J260" s="13" t="s">
        <v>139</v>
      </c>
      <c r="K260" s="109">
        <v>44512</v>
      </c>
      <c r="L260" s="109">
        <v>44525</v>
      </c>
      <c r="Q260" s="13" t="str">
        <f t="shared" si="28"/>
        <v>BGTACRD024885AUTOSERVICIOALTILLANO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14</v>
      </c>
      <c r="Y260" s="13">
        <v>11</v>
      </c>
      <c r="Z260" s="13">
        <v>0.2</v>
      </c>
      <c r="AA260" s="13">
        <v>1.4850000000000001</v>
      </c>
      <c r="AB260" s="13">
        <v>222.75</v>
      </c>
      <c r="AC260" s="13">
        <v>1.55E-4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44553</v>
      </c>
      <c r="AH260" s="13">
        <f t="shared" ca="1" si="34"/>
        <v>41</v>
      </c>
    </row>
    <row r="261" spans="1:34" x14ac:dyDescent="0.25">
      <c r="A261" s="13" t="s">
        <v>149</v>
      </c>
      <c r="B261" s="13" t="s">
        <v>149</v>
      </c>
      <c r="C261" s="13" t="s">
        <v>436</v>
      </c>
      <c r="D261" s="13" t="s">
        <v>437</v>
      </c>
      <c r="E261" s="13" t="s">
        <v>729</v>
      </c>
      <c r="F261" s="13">
        <v>100</v>
      </c>
      <c r="G261" s="2" t="s">
        <v>382</v>
      </c>
      <c r="H261" s="13" t="s">
        <v>0</v>
      </c>
      <c r="I261" s="13" t="s">
        <v>140</v>
      </c>
      <c r="J261" s="13" t="s">
        <v>139</v>
      </c>
      <c r="K261" s="109">
        <v>44512</v>
      </c>
      <c r="L261" s="109">
        <v>44525</v>
      </c>
      <c r="Q261" s="13" t="str">
        <f t="shared" si="28"/>
        <v>DUITCRD024885AUTOSERVICIONUTRESA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14</v>
      </c>
      <c r="Y261" s="13">
        <v>11</v>
      </c>
      <c r="Z261" s="13">
        <v>0.2</v>
      </c>
      <c r="AA261" s="13">
        <v>1.4850000000000001</v>
      </c>
      <c r="AB261" s="13">
        <v>148.5</v>
      </c>
      <c r="AC261" s="13">
        <v>1.03E-4</v>
      </c>
      <c r="AD261" s="110">
        <f t="shared" si="32"/>
        <v>44516</v>
      </c>
      <c r="AE261" s="13" t="e">
        <f>IF(AND(AD261&lt;=$AI$4,#REF!&lt;1),1,"")</f>
        <v>#REF!</v>
      </c>
      <c r="AF261" s="110">
        <f t="shared" ca="1" si="33"/>
        <v>44553</v>
      </c>
      <c r="AH261" s="13">
        <f t="shared" ca="1" si="34"/>
        <v>41</v>
      </c>
    </row>
    <row r="262" spans="1:34" x14ac:dyDescent="0.25">
      <c r="A262" s="13" t="s">
        <v>150</v>
      </c>
      <c r="B262" s="13" t="s">
        <v>150</v>
      </c>
      <c r="C262" s="13" t="s">
        <v>436</v>
      </c>
      <c r="D262" s="13" t="s">
        <v>437</v>
      </c>
      <c r="E262" s="13" t="s">
        <v>729</v>
      </c>
      <c r="F262" s="13">
        <v>100</v>
      </c>
      <c r="G262" s="2" t="s">
        <v>382</v>
      </c>
      <c r="H262" s="13" t="s">
        <v>0</v>
      </c>
      <c r="I262" s="13" t="s">
        <v>140</v>
      </c>
      <c r="J262" s="13" t="s">
        <v>139</v>
      </c>
      <c r="K262" s="109">
        <v>44512</v>
      </c>
      <c r="L262" s="109">
        <v>44525</v>
      </c>
      <c r="Q262" s="13" t="str">
        <f t="shared" si="28"/>
        <v>VILACRD024885AUTOSERVICIONUTRESA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14</v>
      </c>
      <c r="Y262" s="13">
        <v>11</v>
      </c>
      <c r="Z262" s="13">
        <v>0.2</v>
      </c>
      <c r="AA262" s="13">
        <v>1.4850000000000001</v>
      </c>
      <c r="AB262" s="13">
        <v>148.5</v>
      </c>
      <c r="AC262" s="13">
        <v>1.03E-4</v>
      </c>
      <c r="AD262" s="110">
        <f t="shared" si="32"/>
        <v>44516</v>
      </c>
      <c r="AE262" s="13" t="e">
        <f>IF(AND(AD262&lt;=$AI$4,#REF!&lt;1),1,"")</f>
        <v>#REF!</v>
      </c>
      <c r="AF262" s="110">
        <f t="shared" ca="1" si="33"/>
        <v>44553</v>
      </c>
      <c r="AH262" s="13">
        <f t="shared" ca="1" si="34"/>
        <v>41</v>
      </c>
    </row>
    <row r="263" spans="1:34" x14ac:dyDescent="0.25">
      <c r="A263" s="13" t="s">
        <v>5</v>
      </c>
      <c r="B263" s="13" t="s">
        <v>5</v>
      </c>
      <c r="C263" s="13" t="s">
        <v>436</v>
      </c>
      <c r="D263" s="13" t="s">
        <v>437</v>
      </c>
      <c r="E263" s="13" t="s">
        <v>729</v>
      </c>
      <c r="F263" s="13">
        <v>240</v>
      </c>
      <c r="G263" s="2" t="s">
        <v>382</v>
      </c>
      <c r="H263" s="13" t="s">
        <v>0</v>
      </c>
      <c r="I263" s="13" t="s">
        <v>140</v>
      </c>
      <c r="J263" s="13" t="s">
        <v>139</v>
      </c>
      <c r="K263" s="109">
        <v>44512</v>
      </c>
      <c r="L263" s="109">
        <v>44525</v>
      </c>
      <c r="Q263" s="13" t="str">
        <f t="shared" si="28"/>
        <v>BUCACRD024885AUTOSERVICIONUTRESA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14</v>
      </c>
      <c r="Y263" s="13">
        <v>11</v>
      </c>
      <c r="Z263" s="13">
        <v>0.2</v>
      </c>
      <c r="AA263" s="13">
        <v>1.4850000000000001</v>
      </c>
      <c r="AB263" s="13">
        <v>356.4</v>
      </c>
      <c r="AC263" s="13">
        <v>2.4800000000000001E-4</v>
      </c>
      <c r="AD263" s="110">
        <f t="shared" si="32"/>
        <v>44516</v>
      </c>
      <c r="AE263" s="13" t="e">
        <f>IF(AND(AD263&lt;=$AI$4,#REF!&lt;1),1,"")</f>
        <v>#REF!</v>
      </c>
      <c r="AF263" s="110">
        <f t="shared" ca="1" si="33"/>
        <v>44553</v>
      </c>
      <c r="AH263" s="13">
        <f t="shared" ca="1" si="34"/>
        <v>41</v>
      </c>
    </row>
    <row r="264" spans="1:34" x14ac:dyDescent="0.25">
      <c r="A264" s="13" t="s">
        <v>6</v>
      </c>
      <c r="B264" s="13" t="s">
        <v>6</v>
      </c>
      <c r="C264" s="13" t="s">
        <v>436</v>
      </c>
      <c r="D264" s="13" t="s">
        <v>437</v>
      </c>
      <c r="E264" s="13" t="s">
        <v>729</v>
      </c>
      <c r="F264" s="13">
        <v>60</v>
      </c>
      <c r="G264" s="2" t="s">
        <v>382</v>
      </c>
      <c r="H264" s="13" t="s">
        <v>0</v>
      </c>
      <c r="I264" s="13" t="s">
        <v>140</v>
      </c>
      <c r="J264" s="13" t="s">
        <v>139</v>
      </c>
      <c r="K264" s="109">
        <v>44512</v>
      </c>
      <c r="L264" s="109">
        <v>44525</v>
      </c>
      <c r="Q264" s="13" t="str">
        <f t="shared" si="28"/>
        <v>CALICRD024885AUTOSERVICIONUTRESA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14</v>
      </c>
      <c r="Y264" s="13">
        <v>11</v>
      </c>
      <c r="Z264" s="13">
        <v>0.2</v>
      </c>
      <c r="AA264" s="13">
        <v>1.4850000000000001</v>
      </c>
      <c r="AB264" s="13">
        <v>89.1</v>
      </c>
      <c r="AC264" s="13">
        <v>6.2000000000000003E-5</v>
      </c>
      <c r="AD264" s="110">
        <f t="shared" si="32"/>
        <v>44516</v>
      </c>
      <c r="AE264" s="13" t="e">
        <f>IF(AND(AD264&lt;=$AI$4,#REF!&lt;1),1,"")</f>
        <v>#REF!</v>
      </c>
      <c r="AF264" s="110">
        <f t="shared" ca="1" si="33"/>
        <v>44553</v>
      </c>
      <c r="AH264" s="13">
        <f t="shared" ca="1" si="34"/>
        <v>41</v>
      </c>
    </row>
    <row r="265" spans="1:34" x14ac:dyDescent="0.25">
      <c r="A265" s="13" t="s">
        <v>7</v>
      </c>
      <c r="B265" s="13" t="s">
        <v>7</v>
      </c>
      <c r="C265" s="13" t="s">
        <v>436</v>
      </c>
      <c r="D265" s="13" t="s">
        <v>437</v>
      </c>
      <c r="E265" s="13" t="s">
        <v>729</v>
      </c>
      <c r="F265" s="13">
        <v>30</v>
      </c>
      <c r="G265" s="2" t="s">
        <v>382</v>
      </c>
      <c r="H265" s="13" t="s">
        <v>0</v>
      </c>
      <c r="I265" s="13" t="s">
        <v>140</v>
      </c>
      <c r="J265" s="13" t="s">
        <v>139</v>
      </c>
      <c r="K265" s="109">
        <v>44512</v>
      </c>
      <c r="L265" s="109">
        <v>44525</v>
      </c>
      <c r="Q265" s="13" t="str">
        <f t="shared" si="28"/>
        <v>CARTCRD024885AUTOSERVICIONUTRESA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14</v>
      </c>
      <c r="Y265" s="13">
        <v>11</v>
      </c>
      <c r="Z265" s="13">
        <v>0.2</v>
      </c>
      <c r="AA265" s="13">
        <v>1.4850000000000001</v>
      </c>
      <c r="AB265" s="13">
        <v>44.55</v>
      </c>
      <c r="AC265" s="13">
        <v>3.1000000000000001E-5</v>
      </c>
      <c r="AD265" s="110">
        <f t="shared" si="32"/>
        <v>44516</v>
      </c>
      <c r="AE265" s="13" t="e">
        <f>IF(AND(AD265&lt;=$AI$4,#REF!&lt;1),1,"")</f>
        <v>#REF!</v>
      </c>
      <c r="AF265" s="110">
        <f t="shared" ca="1" si="33"/>
        <v>44553</v>
      </c>
      <c r="AH265" s="13">
        <f t="shared" ca="1" si="34"/>
        <v>41</v>
      </c>
    </row>
    <row r="266" spans="1:34" x14ac:dyDescent="0.25">
      <c r="A266" s="13" t="s">
        <v>8</v>
      </c>
      <c r="B266" s="13" t="s">
        <v>8</v>
      </c>
      <c r="C266" s="13" t="s">
        <v>436</v>
      </c>
      <c r="D266" s="13" t="s">
        <v>437</v>
      </c>
      <c r="E266" s="13" t="s">
        <v>729</v>
      </c>
      <c r="F266" s="13">
        <v>300</v>
      </c>
      <c r="G266" s="2" t="s">
        <v>382</v>
      </c>
      <c r="H266" s="13" t="s">
        <v>0</v>
      </c>
      <c r="I266" s="13" t="s">
        <v>140</v>
      </c>
      <c r="J266" s="13" t="s">
        <v>139</v>
      </c>
      <c r="K266" s="109">
        <v>44512</v>
      </c>
      <c r="L266" s="109">
        <v>44525</v>
      </c>
      <c r="Q266" s="13" t="str">
        <f t="shared" si="28"/>
        <v>IBA1CRD024885AUTOSERVICIONUTRESA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14</v>
      </c>
      <c r="Y266" s="13">
        <v>11</v>
      </c>
      <c r="Z266" s="13">
        <v>0.2</v>
      </c>
      <c r="AA266" s="13">
        <v>1.4850000000000001</v>
      </c>
      <c r="AB266" s="13">
        <v>445.5</v>
      </c>
      <c r="AC266" s="13">
        <v>3.0899999999999998E-4</v>
      </c>
      <c r="AD266" s="110">
        <f t="shared" si="32"/>
        <v>44516</v>
      </c>
      <c r="AE266" s="13" t="e">
        <f>IF(AND(AD266&lt;=$AI$4,#REF!&lt;1),1,"")</f>
        <v>#REF!</v>
      </c>
      <c r="AF266" s="110">
        <f t="shared" ca="1" si="33"/>
        <v>44553</v>
      </c>
      <c r="AH266" s="13">
        <f t="shared" ca="1" si="34"/>
        <v>41</v>
      </c>
    </row>
    <row r="267" spans="1:34" x14ac:dyDescent="0.25">
      <c r="A267" s="13" t="s">
        <v>9</v>
      </c>
      <c r="B267" s="13" t="s">
        <v>9</v>
      </c>
      <c r="C267" s="13" t="s">
        <v>436</v>
      </c>
      <c r="D267" s="13" t="s">
        <v>437</v>
      </c>
      <c r="E267" s="13" t="s">
        <v>729</v>
      </c>
      <c r="F267" s="13">
        <v>129</v>
      </c>
      <c r="G267" s="2" t="s">
        <v>382</v>
      </c>
      <c r="H267" s="13" t="s">
        <v>0</v>
      </c>
      <c r="I267" s="13" t="s">
        <v>140</v>
      </c>
      <c r="J267" s="13" t="s">
        <v>139</v>
      </c>
      <c r="K267" s="109">
        <v>44512</v>
      </c>
      <c r="L267" s="109">
        <v>44525</v>
      </c>
      <c r="Q267" s="13" t="str">
        <f t="shared" si="28"/>
        <v>MEDECRD024885AUTOSERVICIONUTRESA</v>
      </c>
      <c r="T267" s="123">
        <f t="shared" si="29"/>
        <v>0</v>
      </c>
      <c r="U267" s="13">
        <f t="shared" si="30"/>
        <v>0</v>
      </c>
      <c r="V267" s="123">
        <f t="shared" si="31"/>
        <v>0</v>
      </c>
      <c r="X267" s="13">
        <v>14</v>
      </c>
      <c r="Y267" s="13">
        <v>11</v>
      </c>
      <c r="Z267" s="13">
        <v>0.2</v>
      </c>
      <c r="AA267" s="13">
        <v>1.4850000000000001</v>
      </c>
      <c r="AB267" s="13">
        <v>191.565</v>
      </c>
      <c r="AC267" s="13">
        <v>1.3300000000000001E-4</v>
      </c>
      <c r="AD267" s="110">
        <f t="shared" si="32"/>
        <v>44516</v>
      </c>
      <c r="AE267" s="13" t="e">
        <f>IF(AND(AD267&lt;=$AI$4,#REF!&lt;1),1,"")</f>
        <v>#REF!</v>
      </c>
      <c r="AF267" s="110">
        <f t="shared" ca="1" si="33"/>
        <v>44553</v>
      </c>
      <c r="AH267" s="13">
        <f t="shared" ca="1" si="34"/>
        <v>41</v>
      </c>
    </row>
    <row r="268" spans="1:34" x14ac:dyDescent="0.25">
      <c r="A268" s="13" t="s">
        <v>10</v>
      </c>
      <c r="B268" s="13" t="s">
        <v>10</v>
      </c>
      <c r="C268" s="13" t="s">
        <v>436</v>
      </c>
      <c r="D268" s="13" t="s">
        <v>437</v>
      </c>
      <c r="E268" s="13" t="s">
        <v>729</v>
      </c>
      <c r="F268" s="13">
        <v>160</v>
      </c>
      <c r="G268" s="2" t="s">
        <v>382</v>
      </c>
      <c r="H268" s="13" t="s">
        <v>0</v>
      </c>
      <c r="I268" s="13" t="s">
        <v>140</v>
      </c>
      <c r="J268" s="13" t="s">
        <v>139</v>
      </c>
      <c r="K268" s="109">
        <v>44512</v>
      </c>
      <c r="L268" s="109">
        <v>44525</v>
      </c>
      <c r="Q268" s="13" t="str">
        <f t="shared" si="28"/>
        <v>PERECRD024885AUTOSERVICIONUTRESA</v>
      </c>
      <c r="T268" s="123">
        <f t="shared" si="29"/>
        <v>0</v>
      </c>
      <c r="U268" s="13">
        <f t="shared" si="30"/>
        <v>0</v>
      </c>
      <c r="V268" s="123">
        <f t="shared" si="31"/>
        <v>0</v>
      </c>
      <c r="X268" s="13">
        <v>14</v>
      </c>
      <c r="Y268" s="13">
        <v>11</v>
      </c>
      <c r="Z268" s="13">
        <v>0.2</v>
      </c>
      <c r="AA268" s="13">
        <v>1.4850000000000001</v>
      </c>
      <c r="AB268" s="13">
        <v>237.6</v>
      </c>
      <c r="AC268" s="13">
        <v>1.65E-4</v>
      </c>
      <c r="AD268" s="110">
        <f t="shared" si="32"/>
        <v>44516</v>
      </c>
      <c r="AE268" s="13" t="e">
        <f>IF(AND(AD268&lt;=$AI$4,#REF!&lt;1),1,"")</f>
        <v>#REF!</v>
      </c>
      <c r="AF268" s="110">
        <f t="shared" ca="1" si="33"/>
        <v>44553</v>
      </c>
      <c r="AH268" s="13">
        <f t="shared" ca="1" si="34"/>
        <v>41</v>
      </c>
    </row>
    <row r="269" spans="1:34" x14ac:dyDescent="0.25">
      <c r="A269" s="13" t="s">
        <v>3</v>
      </c>
      <c r="B269" s="13" t="s">
        <v>3</v>
      </c>
      <c r="C269" s="13" t="s">
        <v>438</v>
      </c>
      <c r="D269" s="13" t="s">
        <v>439</v>
      </c>
      <c r="E269" s="13" t="s">
        <v>729</v>
      </c>
      <c r="F269" s="13">
        <v>1000</v>
      </c>
      <c r="G269" s="2" t="s">
        <v>382</v>
      </c>
      <c r="H269" s="13" t="s">
        <v>2</v>
      </c>
      <c r="I269" s="13" t="s">
        <v>140</v>
      </c>
      <c r="J269" s="13" t="s">
        <v>139</v>
      </c>
      <c r="K269" s="109">
        <v>44512</v>
      </c>
      <c r="L269" s="109">
        <v>44525</v>
      </c>
      <c r="Q269" s="13" t="str">
        <f t="shared" si="28"/>
        <v>BARRCRD024887TRADICIONALNUTRESA</v>
      </c>
      <c r="T269" s="123">
        <f t="shared" si="29"/>
        <v>0</v>
      </c>
      <c r="U269" s="13">
        <f t="shared" si="30"/>
        <v>0</v>
      </c>
      <c r="V269" s="123">
        <f t="shared" si="31"/>
        <v>0</v>
      </c>
      <c r="X269" s="13">
        <v>0.01</v>
      </c>
      <c r="Y269" s="13">
        <v>40</v>
      </c>
      <c r="Z269" s="13">
        <v>60</v>
      </c>
      <c r="AA269" s="13">
        <v>2400</v>
      </c>
      <c r="AB269" s="13">
        <v>2400000</v>
      </c>
      <c r="AC269" s="13">
        <v>1.6666669999999999</v>
      </c>
      <c r="AD269" s="110">
        <f t="shared" si="32"/>
        <v>44516</v>
      </c>
      <c r="AE269" s="13" t="e">
        <f>IF(AND(AD269&lt;=$AI$4,#REF!&lt;1),1,"")</f>
        <v>#REF!</v>
      </c>
      <c r="AF269" s="110">
        <f t="shared" ca="1" si="33"/>
        <v>44553</v>
      </c>
      <c r="AH269" s="13">
        <f t="shared" ca="1" si="34"/>
        <v>41</v>
      </c>
    </row>
    <row r="270" spans="1:34" x14ac:dyDescent="0.25">
      <c r="A270" s="13" t="s">
        <v>4</v>
      </c>
      <c r="B270" s="13" t="s">
        <v>4</v>
      </c>
      <c r="C270" s="13" t="s">
        <v>438</v>
      </c>
      <c r="D270" s="13" t="s">
        <v>439</v>
      </c>
      <c r="E270" s="13" t="s">
        <v>729</v>
      </c>
      <c r="F270" s="13">
        <v>2000</v>
      </c>
      <c r="G270" s="2" t="s">
        <v>382</v>
      </c>
      <c r="H270" s="13" t="s">
        <v>2</v>
      </c>
      <c r="I270" s="13" t="s">
        <v>140</v>
      </c>
      <c r="J270" s="13" t="s">
        <v>139</v>
      </c>
      <c r="K270" s="109">
        <v>44512</v>
      </c>
      <c r="L270" s="109">
        <v>44525</v>
      </c>
      <c r="Q270" s="13" t="str">
        <f t="shared" si="28"/>
        <v>BGTACRD024887TRADICIONALNUTRESA</v>
      </c>
      <c r="T270" s="123">
        <f t="shared" si="29"/>
        <v>0</v>
      </c>
      <c r="U270" s="13">
        <f t="shared" si="30"/>
        <v>0</v>
      </c>
      <c r="V270" s="123">
        <f t="shared" si="31"/>
        <v>0</v>
      </c>
      <c r="X270" s="13">
        <v>0.01</v>
      </c>
      <c r="Y270" s="13">
        <v>40</v>
      </c>
      <c r="Z270" s="13">
        <v>60</v>
      </c>
      <c r="AA270" s="13">
        <v>2400</v>
      </c>
      <c r="AB270" s="13">
        <v>4800000</v>
      </c>
      <c r="AC270" s="13">
        <v>3.3333330000000001</v>
      </c>
      <c r="AD270" s="110">
        <f t="shared" si="32"/>
        <v>44516</v>
      </c>
      <c r="AE270" s="13" t="e">
        <f>IF(AND(AD270&lt;=$AI$4,#REF!&lt;1),1,"")</f>
        <v>#REF!</v>
      </c>
      <c r="AF270" s="110">
        <f t="shared" ca="1" si="33"/>
        <v>44553</v>
      </c>
      <c r="AH270" s="13">
        <f t="shared" ca="1" si="34"/>
        <v>41</v>
      </c>
    </row>
    <row r="271" spans="1:34" x14ac:dyDescent="0.25">
      <c r="A271" s="13" t="s">
        <v>724</v>
      </c>
      <c r="B271" s="13" t="s">
        <v>4</v>
      </c>
      <c r="C271" s="13" t="s">
        <v>438</v>
      </c>
      <c r="D271" s="13" t="s">
        <v>439</v>
      </c>
      <c r="E271" s="13" t="s">
        <v>729</v>
      </c>
      <c r="F271" s="13">
        <v>1000</v>
      </c>
      <c r="G271" s="2" t="s">
        <v>382</v>
      </c>
      <c r="H271" s="13" t="s">
        <v>2</v>
      </c>
      <c r="I271" s="13" t="s">
        <v>145</v>
      </c>
      <c r="J271" s="13" t="s">
        <v>139</v>
      </c>
      <c r="K271" s="109">
        <v>44512</v>
      </c>
      <c r="L271" s="109">
        <v>44525</v>
      </c>
      <c r="Q271" s="13" t="str">
        <f t="shared" si="28"/>
        <v>BGTACRD024887TRADICIONALALTILLANO</v>
      </c>
      <c r="T271" s="123">
        <f t="shared" si="29"/>
        <v>0</v>
      </c>
      <c r="U271" s="13">
        <f t="shared" si="30"/>
        <v>0</v>
      </c>
      <c r="V271" s="123">
        <f t="shared" si="31"/>
        <v>0</v>
      </c>
      <c r="X271" s="13">
        <v>0.01</v>
      </c>
      <c r="Y271" s="13">
        <v>40</v>
      </c>
      <c r="Z271" s="13">
        <v>60</v>
      </c>
      <c r="AA271" s="13">
        <v>2400</v>
      </c>
      <c r="AB271" s="13">
        <v>2400000</v>
      </c>
      <c r="AC271" s="13">
        <v>1.6666669999999999</v>
      </c>
      <c r="AD271" s="110">
        <f t="shared" si="32"/>
        <v>44516</v>
      </c>
      <c r="AE271" s="13" t="e">
        <f>IF(AND(AD271&lt;=$AI$4,#REF!&lt;1),1,"")</f>
        <v>#REF!</v>
      </c>
      <c r="AF271" s="110">
        <f t="shared" ca="1" si="33"/>
        <v>44553</v>
      </c>
      <c r="AH271" s="13">
        <f t="shared" ca="1" si="34"/>
        <v>41</v>
      </c>
    </row>
    <row r="272" spans="1:34" x14ac:dyDescent="0.25">
      <c r="A272" s="13" t="s">
        <v>149</v>
      </c>
      <c r="B272" s="13" t="s">
        <v>149</v>
      </c>
      <c r="C272" s="13" t="s">
        <v>438</v>
      </c>
      <c r="D272" s="13" t="s">
        <v>439</v>
      </c>
      <c r="E272" s="13" t="s">
        <v>729</v>
      </c>
      <c r="F272" s="13">
        <v>400</v>
      </c>
      <c r="G272" s="2" t="s">
        <v>382</v>
      </c>
      <c r="H272" s="13" t="s">
        <v>2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28"/>
        <v>DUITCRD024887TRADICIONALNUTRESA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0.01</v>
      </c>
      <c r="Y272" s="13">
        <v>40</v>
      </c>
      <c r="Z272" s="13">
        <v>60</v>
      </c>
      <c r="AA272" s="13">
        <v>2400</v>
      </c>
      <c r="AB272" s="13">
        <v>960000</v>
      </c>
      <c r="AC272" s="13">
        <v>0.66666700000000001</v>
      </c>
      <c r="AD272" s="110">
        <f t="shared" si="32"/>
        <v>44516</v>
      </c>
      <c r="AE272" s="13" t="e">
        <f>IF(AND(AD272&lt;=$AI$4,#REF!&lt;1),1,"")</f>
        <v>#REF!</v>
      </c>
      <c r="AF272" s="110">
        <f t="shared" ca="1" si="33"/>
        <v>44553</v>
      </c>
      <c r="AH272" s="13">
        <f t="shared" ca="1" si="34"/>
        <v>41</v>
      </c>
    </row>
    <row r="273" spans="1:34" x14ac:dyDescent="0.25">
      <c r="A273" s="13" t="s">
        <v>150</v>
      </c>
      <c r="B273" s="13" t="s">
        <v>150</v>
      </c>
      <c r="C273" s="13" t="s">
        <v>438</v>
      </c>
      <c r="D273" s="13" t="s">
        <v>439</v>
      </c>
      <c r="E273" s="13" t="s">
        <v>729</v>
      </c>
      <c r="F273" s="13">
        <v>500</v>
      </c>
      <c r="G273" s="2" t="s">
        <v>382</v>
      </c>
      <c r="H273" s="13" t="s">
        <v>2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28"/>
        <v>VILACRD024887TRADICIONALNUTRESA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0.01</v>
      </c>
      <c r="Y273" s="13">
        <v>40</v>
      </c>
      <c r="Z273" s="13">
        <v>60</v>
      </c>
      <c r="AA273" s="13">
        <v>2400</v>
      </c>
      <c r="AB273" s="13">
        <v>1200000</v>
      </c>
      <c r="AC273" s="13">
        <v>0.83333299999999999</v>
      </c>
      <c r="AD273" s="110">
        <f t="shared" si="32"/>
        <v>44516</v>
      </c>
      <c r="AE273" s="13" t="e">
        <f>IF(AND(AD273&lt;=$AI$4,#REF!&lt;1),1,"")</f>
        <v>#REF!</v>
      </c>
      <c r="AF273" s="110">
        <f t="shared" ca="1" si="33"/>
        <v>44553</v>
      </c>
      <c r="AH273" s="13">
        <f t="shared" ca="1" si="34"/>
        <v>41</v>
      </c>
    </row>
    <row r="274" spans="1:34" x14ac:dyDescent="0.25">
      <c r="A274" s="13" t="s">
        <v>5</v>
      </c>
      <c r="B274" s="13" t="s">
        <v>5</v>
      </c>
      <c r="C274" s="13" t="s">
        <v>438</v>
      </c>
      <c r="D274" s="13" t="s">
        <v>439</v>
      </c>
      <c r="E274" s="13" t="s">
        <v>729</v>
      </c>
      <c r="F274" s="13">
        <v>750</v>
      </c>
      <c r="G274" s="2" t="s">
        <v>382</v>
      </c>
      <c r="H274" s="13" t="s">
        <v>2</v>
      </c>
      <c r="I274" s="13" t="s">
        <v>140</v>
      </c>
      <c r="J274" s="13" t="s">
        <v>139</v>
      </c>
      <c r="K274" s="109">
        <v>44512</v>
      </c>
      <c r="L274" s="109">
        <v>44525</v>
      </c>
      <c r="Q274" s="13" t="str">
        <f t="shared" si="28"/>
        <v>BUCACRD024887TRADICIONALNUTRESA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0.01</v>
      </c>
      <c r="Y274" s="13">
        <v>40</v>
      </c>
      <c r="Z274" s="13">
        <v>60</v>
      </c>
      <c r="AA274" s="13">
        <v>2400</v>
      </c>
      <c r="AB274" s="13">
        <v>1800000</v>
      </c>
      <c r="AC274" s="13">
        <v>1.25</v>
      </c>
      <c r="AD274" s="110">
        <f t="shared" si="32"/>
        <v>44516</v>
      </c>
      <c r="AE274" s="13" t="e">
        <f>IF(AND(AD274&lt;=$AI$4,#REF!&lt;1),1,"")</f>
        <v>#REF!</v>
      </c>
      <c r="AF274" s="110">
        <f t="shared" ca="1" si="33"/>
        <v>44553</v>
      </c>
      <c r="AH274" s="13">
        <f t="shared" ca="1" si="34"/>
        <v>41</v>
      </c>
    </row>
    <row r="275" spans="1:34" x14ac:dyDescent="0.25">
      <c r="A275" s="13" t="s">
        <v>6</v>
      </c>
      <c r="B275" s="13" t="s">
        <v>6</v>
      </c>
      <c r="C275" s="13" t="s">
        <v>438</v>
      </c>
      <c r="D275" s="13" t="s">
        <v>439</v>
      </c>
      <c r="E275" s="13" t="s">
        <v>729</v>
      </c>
      <c r="F275" s="13">
        <v>750</v>
      </c>
      <c r="G275" s="2" t="s">
        <v>382</v>
      </c>
      <c r="H275" s="13" t="s">
        <v>2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28"/>
        <v>CALICRD024887TRADICIONALNUTRESA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0.01</v>
      </c>
      <c r="Y275" s="13">
        <v>40</v>
      </c>
      <c r="Z275" s="13">
        <v>60</v>
      </c>
      <c r="AA275" s="13">
        <v>2400</v>
      </c>
      <c r="AB275" s="13">
        <v>1800000</v>
      </c>
      <c r="AC275" s="13">
        <v>1.25</v>
      </c>
      <c r="AD275" s="110">
        <f t="shared" si="32"/>
        <v>44516</v>
      </c>
      <c r="AE275" s="13" t="e">
        <f>IF(AND(AD275&lt;=$AI$4,#REF!&lt;1),1,"")</f>
        <v>#REF!</v>
      </c>
      <c r="AF275" s="110">
        <f t="shared" ca="1" si="33"/>
        <v>44553</v>
      </c>
      <c r="AH275" s="13">
        <f t="shared" ca="1" si="34"/>
        <v>41</v>
      </c>
    </row>
    <row r="276" spans="1:34" x14ac:dyDescent="0.25">
      <c r="A276" s="13" t="s">
        <v>7</v>
      </c>
      <c r="B276" s="13" t="s">
        <v>7</v>
      </c>
      <c r="C276" s="13" t="s">
        <v>438</v>
      </c>
      <c r="D276" s="13" t="s">
        <v>439</v>
      </c>
      <c r="E276" s="13" t="s">
        <v>729</v>
      </c>
      <c r="F276" s="13">
        <v>600</v>
      </c>
      <c r="G276" s="2" t="s">
        <v>382</v>
      </c>
      <c r="H276" s="13" t="s">
        <v>2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28"/>
        <v>CARTCRD024887TRADICIONALNUTRESA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0.01</v>
      </c>
      <c r="Y276" s="13">
        <v>40</v>
      </c>
      <c r="Z276" s="13">
        <v>60</v>
      </c>
      <c r="AA276" s="13">
        <v>2400</v>
      </c>
      <c r="AB276" s="13">
        <v>1440000</v>
      </c>
      <c r="AC276" s="13">
        <v>1</v>
      </c>
      <c r="AD276" s="110">
        <f t="shared" si="32"/>
        <v>44516</v>
      </c>
      <c r="AE276" s="13" t="e">
        <f>IF(AND(AD276&lt;=$AI$4,#REF!&lt;1),1,"")</f>
        <v>#REF!</v>
      </c>
      <c r="AF276" s="110">
        <f t="shared" ca="1" si="33"/>
        <v>44553</v>
      </c>
      <c r="AH276" s="13">
        <f t="shared" ca="1" si="34"/>
        <v>41</v>
      </c>
    </row>
    <row r="277" spans="1:34" x14ac:dyDescent="0.25">
      <c r="A277" s="13" t="s">
        <v>8</v>
      </c>
      <c r="B277" s="13" t="s">
        <v>8</v>
      </c>
      <c r="C277" s="13" t="s">
        <v>438</v>
      </c>
      <c r="D277" s="13" t="s">
        <v>439</v>
      </c>
      <c r="E277" s="13" t="s">
        <v>729</v>
      </c>
      <c r="F277" s="13">
        <v>750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28"/>
        <v>IBA1CRD024887TRADICIONALNUTRESA</v>
      </c>
      <c r="T277" s="123">
        <f t="shared" si="29"/>
        <v>0</v>
      </c>
      <c r="U277" s="13">
        <f t="shared" si="30"/>
        <v>0</v>
      </c>
      <c r="V277" s="123">
        <f t="shared" si="31"/>
        <v>0</v>
      </c>
      <c r="X277" s="13">
        <v>0.01</v>
      </c>
      <c r="Y277" s="13">
        <v>40</v>
      </c>
      <c r="Z277" s="13">
        <v>60</v>
      </c>
      <c r="AA277" s="13">
        <v>2400</v>
      </c>
      <c r="AB277" s="13">
        <v>1800000</v>
      </c>
      <c r="AC277" s="13">
        <v>1.25</v>
      </c>
      <c r="AD277" s="110">
        <f t="shared" si="32"/>
        <v>44516</v>
      </c>
      <c r="AE277" s="13" t="e">
        <f>IF(AND(AD277&lt;=$AI$4,#REF!&lt;1),1,"")</f>
        <v>#REF!</v>
      </c>
      <c r="AF277" s="110">
        <f t="shared" ca="1" si="33"/>
        <v>44553</v>
      </c>
      <c r="AH277" s="13">
        <f t="shared" ca="1" si="34"/>
        <v>41</v>
      </c>
    </row>
    <row r="278" spans="1:34" x14ac:dyDescent="0.25">
      <c r="A278" s="13" t="s">
        <v>9</v>
      </c>
      <c r="B278" s="13" t="s">
        <v>9</v>
      </c>
      <c r="C278" s="13" t="s">
        <v>438</v>
      </c>
      <c r="D278" s="13" t="s">
        <v>439</v>
      </c>
      <c r="E278" s="13" t="s">
        <v>729</v>
      </c>
      <c r="F278" s="13">
        <v>1250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28"/>
        <v>MEDECRD024887TRADICIONALNUTRESA</v>
      </c>
      <c r="T278" s="123">
        <f t="shared" si="29"/>
        <v>0</v>
      </c>
      <c r="U278" s="13">
        <f t="shared" si="30"/>
        <v>0</v>
      </c>
      <c r="V278" s="123">
        <f t="shared" si="31"/>
        <v>0</v>
      </c>
      <c r="X278" s="13">
        <v>0.01</v>
      </c>
      <c r="Y278" s="13">
        <v>40</v>
      </c>
      <c r="Z278" s="13">
        <v>60</v>
      </c>
      <c r="AA278" s="13">
        <v>2400</v>
      </c>
      <c r="AB278" s="13">
        <v>3000000</v>
      </c>
      <c r="AC278" s="13">
        <v>2.0833330000000001</v>
      </c>
      <c r="AD278" s="110">
        <f t="shared" si="32"/>
        <v>44516</v>
      </c>
      <c r="AE278" s="13" t="e">
        <f>IF(AND(AD278&lt;=$AI$4,#REF!&lt;1),1,"")</f>
        <v>#REF!</v>
      </c>
      <c r="AF278" s="110">
        <f t="shared" ca="1" si="33"/>
        <v>44553</v>
      </c>
      <c r="AH278" s="13">
        <f t="shared" ca="1" si="34"/>
        <v>41</v>
      </c>
    </row>
    <row r="279" spans="1:34" x14ac:dyDescent="0.25">
      <c r="A279" s="13" t="s">
        <v>10</v>
      </c>
      <c r="B279" s="13" t="s">
        <v>10</v>
      </c>
      <c r="C279" s="13" t="s">
        <v>438</v>
      </c>
      <c r="D279" s="13" t="s">
        <v>439</v>
      </c>
      <c r="E279" s="13" t="s">
        <v>729</v>
      </c>
      <c r="F279" s="13">
        <v>700</v>
      </c>
      <c r="G279" s="2" t="s">
        <v>382</v>
      </c>
      <c r="H279" s="13" t="s">
        <v>2</v>
      </c>
      <c r="I279" s="13" t="s">
        <v>140</v>
      </c>
      <c r="J279" s="13" t="s">
        <v>139</v>
      </c>
      <c r="K279" s="109">
        <v>44512</v>
      </c>
      <c r="L279" s="109">
        <v>44525</v>
      </c>
      <c r="Q279" s="13" t="str">
        <f t="shared" si="28"/>
        <v>PERECRD024887TRADICIONALNUTRESA</v>
      </c>
      <c r="T279" s="123">
        <f t="shared" si="29"/>
        <v>0</v>
      </c>
      <c r="U279" s="13">
        <f t="shared" si="30"/>
        <v>0</v>
      </c>
      <c r="V279" s="123">
        <f t="shared" si="31"/>
        <v>0</v>
      </c>
      <c r="X279" s="13">
        <v>0.01</v>
      </c>
      <c r="Y279" s="13">
        <v>40</v>
      </c>
      <c r="Z279" s="13">
        <v>60</v>
      </c>
      <c r="AA279" s="13">
        <v>2400</v>
      </c>
      <c r="AB279" s="13">
        <v>1680000</v>
      </c>
      <c r="AC279" s="13">
        <v>1.1666669999999999</v>
      </c>
      <c r="AD279" s="110">
        <f t="shared" si="32"/>
        <v>44516</v>
      </c>
      <c r="AE279" s="13" t="e">
        <f>IF(AND(AD279&lt;=$AI$4,#REF!&lt;1),1,"")</f>
        <v>#REF!</v>
      </c>
      <c r="AF279" s="110">
        <f t="shared" ca="1" si="33"/>
        <v>44553</v>
      </c>
      <c r="AH279" s="13">
        <f t="shared" ca="1" si="34"/>
        <v>41</v>
      </c>
    </row>
    <row r="280" spans="1:34" x14ac:dyDescent="0.25">
      <c r="A280" s="13" t="s">
        <v>3</v>
      </c>
      <c r="B280" s="13" t="s">
        <v>3</v>
      </c>
      <c r="C280" s="13" t="s">
        <v>181</v>
      </c>
      <c r="D280" s="13" t="s">
        <v>212</v>
      </c>
      <c r="E280" s="13" t="s">
        <v>756</v>
      </c>
      <c r="F280" s="13">
        <v>100</v>
      </c>
      <c r="G280" s="2" t="s">
        <v>395</v>
      </c>
      <c r="H280" s="13" t="s">
        <v>0</v>
      </c>
      <c r="I280" s="13" t="s">
        <v>140</v>
      </c>
      <c r="J280" s="13" t="s">
        <v>139</v>
      </c>
      <c r="K280" s="109">
        <v>44516</v>
      </c>
      <c r="L280" s="109" t="s">
        <v>322</v>
      </c>
      <c r="Q280" s="13" t="str">
        <f t="shared" si="28"/>
        <v>BARRCRD017899AUTOSERVICIONUTRESA</v>
      </c>
      <c r="T280" s="123">
        <f t="shared" si="29"/>
        <v>0</v>
      </c>
      <c r="U280" s="13">
        <f t="shared" si="30"/>
        <v>0</v>
      </c>
      <c r="V280" s="123">
        <f t="shared" si="31"/>
        <v>0</v>
      </c>
      <c r="X280" s="13">
        <v>12</v>
      </c>
      <c r="Y280" s="13">
        <v>31</v>
      </c>
      <c r="Z280" s="13">
        <v>0.2</v>
      </c>
      <c r="AA280" s="13">
        <v>74.400000000000006</v>
      </c>
      <c r="AB280" s="13">
        <v>7440</v>
      </c>
      <c r="AC280" s="13">
        <v>5.1669999999999997E-3</v>
      </c>
      <c r="AD280" s="110">
        <f t="shared" si="32"/>
        <v>44520</v>
      </c>
      <c r="AE280" s="13" t="e">
        <f>IF(AND(AD280&lt;=$AI$4,#REF!&lt;1),1,"")</f>
        <v>#REF!</v>
      </c>
      <c r="AF280" s="110">
        <f t="shared" ca="1" si="33"/>
        <v>44553</v>
      </c>
      <c r="AH280" s="13">
        <f t="shared" ca="1" si="34"/>
        <v>37</v>
      </c>
    </row>
    <row r="281" spans="1:34" x14ac:dyDescent="0.25">
      <c r="A281" s="13" t="s">
        <v>4</v>
      </c>
      <c r="B281" s="13" t="s">
        <v>4</v>
      </c>
      <c r="C281" s="13" t="s">
        <v>181</v>
      </c>
      <c r="D281" s="13" t="s">
        <v>212</v>
      </c>
      <c r="E281" s="13" t="s">
        <v>756</v>
      </c>
      <c r="F281" s="13">
        <v>1500</v>
      </c>
      <c r="G281" s="2" t="s">
        <v>395</v>
      </c>
      <c r="H281" s="13" t="s">
        <v>0</v>
      </c>
      <c r="I281" s="13" t="s">
        <v>140</v>
      </c>
      <c r="J281" s="13" t="s">
        <v>139</v>
      </c>
      <c r="K281" s="109">
        <v>44516</v>
      </c>
      <c r="L281" s="109" t="s">
        <v>322</v>
      </c>
      <c r="Q281" s="13" t="str">
        <f t="shared" si="28"/>
        <v>BGTACRD017899AUTOSERVICIONUTRESA</v>
      </c>
      <c r="T281" s="123">
        <f t="shared" si="29"/>
        <v>0</v>
      </c>
      <c r="U281" s="13">
        <f t="shared" si="30"/>
        <v>0</v>
      </c>
      <c r="V281" s="123">
        <f t="shared" si="31"/>
        <v>0</v>
      </c>
      <c r="X281" s="13">
        <v>12</v>
      </c>
      <c r="Y281" s="13">
        <v>31</v>
      </c>
      <c r="Z281" s="13">
        <v>0.2</v>
      </c>
      <c r="AA281" s="13">
        <v>74.400000000000006</v>
      </c>
      <c r="AB281" s="13">
        <v>111600</v>
      </c>
      <c r="AC281" s="13">
        <v>7.7499999999999999E-2</v>
      </c>
      <c r="AD281" s="110">
        <f t="shared" si="32"/>
        <v>44520</v>
      </c>
      <c r="AE281" s="13" t="e">
        <f>IF(AND(AD281&lt;=$AI$4,#REF!&lt;1),1,"")</f>
        <v>#REF!</v>
      </c>
      <c r="AF281" s="110">
        <f t="shared" ca="1" si="33"/>
        <v>44553</v>
      </c>
      <c r="AH281" s="13">
        <f t="shared" ca="1" si="34"/>
        <v>37</v>
      </c>
    </row>
    <row r="282" spans="1:34" x14ac:dyDescent="0.25">
      <c r="A282" s="13" t="s">
        <v>724</v>
      </c>
      <c r="B282" s="13" t="s">
        <v>4</v>
      </c>
      <c r="C282" s="13" t="s">
        <v>181</v>
      </c>
      <c r="D282" s="13" t="s">
        <v>212</v>
      </c>
      <c r="E282" s="13" t="s">
        <v>756</v>
      </c>
      <c r="F282" s="13">
        <v>400</v>
      </c>
      <c r="G282" s="2" t="s">
        <v>395</v>
      </c>
      <c r="H282" s="13" t="s">
        <v>0</v>
      </c>
      <c r="I282" s="13" t="s">
        <v>145</v>
      </c>
      <c r="J282" s="13" t="s">
        <v>139</v>
      </c>
      <c r="K282" s="109">
        <v>44516</v>
      </c>
      <c r="L282" s="109" t="s">
        <v>322</v>
      </c>
      <c r="Q282" s="13" t="str">
        <f t="shared" si="28"/>
        <v>BGTACRD017899AUTOSERVICIOALTILLANO</v>
      </c>
      <c r="T282" s="123">
        <f t="shared" si="29"/>
        <v>0</v>
      </c>
      <c r="U282" s="13">
        <f t="shared" si="30"/>
        <v>0</v>
      </c>
      <c r="V282" s="123">
        <f t="shared" si="31"/>
        <v>0</v>
      </c>
      <c r="X282" s="13">
        <v>12</v>
      </c>
      <c r="Y282" s="13">
        <v>31</v>
      </c>
      <c r="Z282" s="13">
        <v>0.2</v>
      </c>
      <c r="AA282" s="13">
        <v>74.400000000000006</v>
      </c>
      <c r="AB282" s="13">
        <v>29760</v>
      </c>
      <c r="AC282" s="13">
        <v>2.0667000000000001E-2</v>
      </c>
      <c r="AD282" s="110">
        <f t="shared" si="32"/>
        <v>44520</v>
      </c>
      <c r="AE282" s="13" t="e">
        <f>IF(AND(AD282&lt;=$AI$4,#REF!&lt;1),1,"")</f>
        <v>#REF!</v>
      </c>
      <c r="AF282" s="110">
        <f t="shared" ca="1" si="33"/>
        <v>44553</v>
      </c>
      <c r="AH282" s="13">
        <f t="shared" ca="1" si="34"/>
        <v>37</v>
      </c>
    </row>
    <row r="283" spans="1:34" x14ac:dyDescent="0.25">
      <c r="A283" s="13" t="s">
        <v>149</v>
      </c>
      <c r="B283" s="13" t="s">
        <v>149</v>
      </c>
      <c r="C283" s="13" t="s">
        <v>181</v>
      </c>
      <c r="D283" s="13" t="s">
        <v>212</v>
      </c>
      <c r="E283" s="13" t="s">
        <v>756</v>
      </c>
      <c r="F283" s="13">
        <v>300</v>
      </c>
      <c r="G283" s="2" t="s">
        <v>395</v>
      </c>
      <c r="H283" s="13" t="s">
        <v>0</v>
      </c>
      <c r="I283" s="13" t="s">
        <v>140</v>
      </c>
      <c r="J283" s="13" t="s">
        <v>139</v>
      </c>
      <c r="K283" s="109">
        <v>44516</v>
      </c>
      <c r="L283" s="109" t="s">
        <v>322</v>
      </c>
      <c r="Q283" s="13" t="str">
        <f t="shared" si="28"/>
        <v>DUITCRD017899AUTOSERVICIONUTRESA</v>
      </c>
      <c r="T283" s="123">
        <f t="shared" si="29"/>
        <v>0</v>
      </c>
      <c r="U283" s="13">
        <f t="shared" si="30"/>
        <v>0</v>
      </c>
      <c r="V283" s="123">
        <f t="shared" si="31"/>
        <v>0</v>
      </c>
      <c r="X283" s="13">
        <v>12</v>
      </c>
      <c r="Y283" s="13">
        <v>31</v>
      </c>
      <c r="Z283" s="13">
        <v>0.2</v>
      </c>
      <c r="AA283" s="13">
        <v>74.400000000000006</v>
      </c>
      <c r="AB283" s="13">
        <v>22320</v>
      </c>
      <c r="AC283" s="13">
        <v>1.55E-2</v>
      </c>
      <c r="AD283" s="110">
        <f t="shared" si="32"/>
        <v>44520</v>
      </c>
      <c r="AE283" s="13" t="e">
        <f>IF(AND(AD283&lt;=$AI$4,#REF!&lt;1),1,"")</f>
        <v>#REF!</v>
      </c>
      <c r="AF283" s="110">
        <f t="shared" ca="1" si="33"/>
        <v>44553</v>
      </c>
      <c r="AH283" s="13">
        <f t="shared" ca="1" si="34"/>
        <v>37</v>
      </c>
    </row>
    <row r="284" spans="1:34" x14ac:dyDescent="0.25">
      <c r="A284" s="13" t="s">
        <v>150</v>
      </c>
      <c r="B284" s="13" t="s">
        <v>150</v>
      </c>
      <c r="C284" s="13" t="s">
        <v>181</v>
      </c>
      <c r="D284" s="13" t="s">
        <v>212</v>
      </c>
      <c r="E284" s="13" t="s">
        <v>756</v>
      </c>
      <c r="F284" s="13">
        <v>300</v>
      </c>
      <c r="G284" s="2" t="s">
        <v>395</v>
      </c>
      <c r="H284" s="13" t="s">
        <v>0</v>
      </c>
      <c r="I284" s="13" t="s">
        <v>140</v>
      </c>
      <c r="J284" s="13" t="s">
        <v>139</v>
      </c>
      <c r="K284" s="109">
        <v>44516</v>
      </c>
      <c r="L284" s="109" t="s">
        <v>322</v>
      </c>
      <c r="Q284" s="13" t="str">
        <f t="shared" si="28"/>
        <v>VILACRD017899AUTOSERVICIONUTRESA</v>
      </c>
      <c r="T284" s="123">
        <f t="shared" si="29"/>
        <v>0</v>
      </c>
      <c r="U284" s="13">
        <f t="shared" si="30"/>
        <v>0</v>
      </c>
      <c r="V284" s="123">
        <f t="shared" si="31"/>
        <v>0</v>
      </c>
      <c r="X284" s="13">
        <v>12</v>
      </c>
      <c r="Y284" s="13">
        <v>31</v>
      </c>
      <c r="Z284" s="13">
        <v>0.2</v>
      </c>
      <c r="AA284" s="13">
        <v>74.400000000000006</v>
      </c>
      <c r="AB284" s="13">
        <v>22320</v>
      </c>
      <c r="AC284" s="13">
        <v>1.55E-2</v>
      </c>
      <c r="AD284" s="110">
        <f t="shared" si="32"/>
        <v>44520</v>
      </c>
      <c r="AE284" s="13" t="e">
        <f>IF(AND(AD284&lt;=$AI$4,#REF!&lt;1),1,"")</f>
        <v>#REF!</v>
      </c>
      <c r="AF284" s="110">
        <f t="shared" ca="1" si="33"/>
        <v>44553</v>
      </c>
      <c r="AH284" s="13">
        <f t="shared" ca="1" si="34"/>
        <v>37</v>
      </c>
    </row>
    <row r="285" spans="1:34" x14ac:dyDescent="0.25">
      <c r="A285" s="13" t="s">
        <v>5</v>
      </c>
      <c r="B285" s="13" t="s">
        <v>5</v>
      </c>
      <c r="C285" s="13" t="s">
        <v>181</v>
      </c>
      <c r="D285" s="13" t="s">
        <v>212</v>
      </c>
      <c r="E285" s="13" t="s">
        <v>756</v>
      </c>
      <c r="F285" s="13">
        <v>400</v>
      </c>
      <c r="G285" s="2" t="s">
        <v>395</v>
      </c>
      <c r="H285" s="13" t="s">
        <v>0</v>
      </c>
      <c r="I285" s="13" t="s">
        <v>140</v>
      </c>
      <c r="J285" s="13" t="s">
        <v>139</v>
      </c>
      <c r="K285" s="109">
        <v>44516</v>
      </c>
      <c r="L285" s="109" t="s">
        <v>322</v>
      </c>
      <c r="Q285" s="13" t="str">
        <f t="shared" si="28"/>
        <v>BUCACRD017899AUTOSERVICIONUTRESA</v>
      </c>
      <c r="T285" s="123">
        <f t="shared" si="29"/>
        <v>0</v>
      </c>
      <c r="U285" s="13">
        <f t="shared" si="30"/>
        <v>0</v>
      </c>
      <c r="V285" s="123">
        <f t="shared" si="31"/>
        <v>0</v>
      </c>
      <c r="X285" s="13">
        <v>12</v>
      </c>
      <c r="Y285" s="13">
        <v>31</v>
      </c>
      <c r="Z285" s="13">
        <v>0.2</v>
      </c>
      <c r="AA285" s="13">
        <v>74.400000000000006</v>
      </c>
      <c r="AB285" s="13">
        <v>29760</v>
      </c>
      <c r="AC285" s="13">
        <v>2.0667000000000001E-2</v>
      </c>
      <c r="AD285" s="110">
        <f t="shared" si="32"/>
        <v>44520</v>
      </c>
      <c r="AE285" s="13" t="e">
        <f>IF(AND(AD285&lt;=$AI$4,#REF!&lt;1),1,"")</f>
        <v>#REF!</v>
      </c>
      <c r="AF285" s="110">
        <f t="shared" ca="1" si="33"/>
        <v>44553</v>
      </c>
      <c r="AH285" s="13">
        <f t="shared" ca="1" si="34"/>
        <v>37</v>
      </c>
    </row>
    <row r="286" spans="1:34" x14ac:dyDescent="0.25">
      <c r="A286" s="13" t="s">
        <v>6</v>
      </c>
      <c r="B286" s="13" t="s">
        <v>6</v>
      </c>
      <c r="C286" s="13" t="s">
        <v>181</v>
      </c>
      <c r="D286" s="13" t="s">
        <v>212</v>
      </c>
      <c r="E286" s="13" t="s">
        <v>756</v>
      </c>
      <c r="F286" s="13">
        <v>6000</v>
      </c>
      <c r="G286" s="2" t="s">
        <v>395</v>
      </c>
      <c r="H286" s="13" t="s">
        <v>0</v>
      </c>
      <c r="I286" s="13" t="s">
        <v>140</v>
      </c>
      <c r="J286" s="13" t="s">
        <v>139</v>
      </c>
      <c r="K286" s="109">
        <v>44516</v>
      </c>
      <c r="L286" s="109" t="s">
        <v>322</v>
      </c>
      <c r="Q286" s="13" t="str">
        <f t="shared" si="28"/>
        <v>CALICRD017899AUTOSERVICIONUTRESA</v>
      </c>
      <c r="T286" s="123">
        <f t="shared" si="29"/>
        <v>0</v>
      </c>
      <c r="U286" s="13">
        <f t="shared" si="30"/>
        <v>0</v>
      </c>
      <c r="V286" s="123">
        <f t="shared" si="31"/>
        <v>0</v>
      </c>
      <c r="X286" s="13">
        <v>12</v>
      </c>
      <c r="Y286" s="13">
        <v>31</v>
      </c>
      <c r="Z286" s="13">
        <v>0.2</v>
      </c>
      <c r="AA286" s="13">
        <v>74.400000000000006</v>
      </c>
      <c r="AB286" s="13">
        <v>446400</v>
      </c>
      <c r="AC286" s="13">
        <v>0.31</v>
      </c>
      <c r="AD286" s="110">
        <f t="shared" si="32"/>
        <v>44520</v>
      </c>
      <c r="AE286" s="13" t="e">
        <f>IF(AND(AD286&lt;=$AI$4,#REF!&lt;1),1,"")</f>
        <v>#REF!</v>
      </c>
      <c r="AF286" s="110">
        <f t="shared" ca="1" si="33"/>
        <v>44553</v>
      </c>
      <c r="AH286" s="13">
        <f t="shared" ca="1" si="34"/>
        <v>37</v>
      </c>
    </row>
    <row r="287" spans="1:34" x14ac:dyDescent="0.25">
      <c r="A287" s="13" t="s">
        <v>7</v>
      </c>
      <c r="B287" s="13" t="s">
        <v>7</v>
      </c>
      <c r="C287" s="13" t="s">
        <v>181</v>
      </c>
      <c r="D287" s="13" t="s">
        <v>212</v>
      </c>
      <c r="E287" s="13" t="s">
        <v>756</v>
      </c>
      <c r="F287" s="13">
        <v>100</v>
      </c>
      <c r="G287" s="2" t="s">
        <v>395</v>
      </c>
      <c r="H287" s="13" t="s">
        <v>0</v>
      </c>
      <c r="I287" s="13" t="s">
        <v>140</v>
      </c>
      <c r="J287" s="13" t="s">
        <v>139</v>
      </c>
      <c r="K287" s="109">
        <v>44516</v>
      </c>
      <c r="L287" s="109" t="s">
        <v>322</v>
      </c>
      <c r="Q287" s="13" t="str">
        <f t="shared" si="28"/>
        <v>CARTCRD017899AUTOSERVICIONUTRESA</v>
      </c>
      <c r="T287" s="123">
        <f t="shared" si="29"/>
        <v>0</v>
      </c>
      <c r="U287" s="13">
        <f t="shared" si="30"/>
        <v>0</v>
      </c>
      <c r="V287" s="123">
        <f t="shared" si="31"/>
        <v>0</v>
      </c>
      <c r="X287" s="13">
        <v>12</v>
      </c>
      <c r="Y287" s="13">
        <v>31</v>
      </c>
      <c r="Z287" s="13">
        <v>0.2</v>
      </c>
      <c r="AA287" s="13">
        <v>74.400000000000006</v>
      </c>
      <c r="AB287" s="13">
        <v>7440</v>
      </c>
      <c r="AC287" s="13">
        <v>5.1669999999999997E-3</v>
      </c>
      <c r="AD287" s="110">
        <f t="shared" si="32"/>
        <v>44520</v>
      </c>
      <c r="AE287" s="13" t="e">
        <f>IF(AND(AD287&lt;=$AI$4,#REF!&lt;1),1,"")</f>
        <v>#REF!</v>
      </c>
      <c r="AF287" s="110">
        <f t="shared" ca="1" si="33"/>
        <v>44553</v>
      </c>
      <c r="AH287" s="13">
        <f t="shared" ca="1" si="34"/>
        <v>37</v>
      </c>
    </row>
    <row r="288" spans="1:34" x14ac:dyDescent="0.25">
      <c r="A288" s="13" t="s">
        <v>8</v>
      </c>
      <c r="B288" s="13" t="s">
        <v>8</v>
      </c>
      <c r="C288" s="13" t="s">
        <v>181</v>
      </c>
      <c r="D288" s="13" t="s">
        <v>212</v>
      </c>
      <c r="E288" s="13" t="s">
        <v>756</v>
      </c>
      <c r="F288" s="13">
        <v>400</v>
      </c>
      <c r="G288" s="2" t="s">
        <v>395</v>
      </c>
      <c r="H288" s="13" t="s">
        <v>0</v>
      </c>
      <c r="I288" s="13" t="s">
        <v>140</v>
      </c>
      <c r="J288" s="13" t="s">
        <v>139</v>
      </c>
      <c r="K288" s="109">
        <v>44516</v>
      </c>
      <c r="L288" s="109" t="s">
        <v>322</v>
      </c>
      <c r="Q288" s="13" t="str">
        <f t="shared" si="28"/>
        <v>IBA1CRD017899AUTOSERVICIONUTRESA</v>
      </c>
      <c r="T288" s="123">
        <f t="shared" si="29"/>
        <v>0</v>
      </c>
      <c r="U288" s="13">
        <f t="shared" si="30"/>
        <v>0</v>
      </c>
      <c r="V288" s="123">
        <f t="shared" si="31"/>
        <v>0</v>
      </c>
      <c r="X288" s="13">
        <v>12</v>
      </c>
      <c r="Y288" s="13">
        <v>31</v>
      </c>
      <c r="Z288" s="13">
        <v>0.2</v>
      </c>
      <c r="AA288" s="13">
        <v>74.400000000000006</v>
      </c>
      <c r="AB288" s="13">
        <v>29760</v>
      </c>
      <c r="AC288" s="13">
        <v>2.0667000000000001E-2</v>
      </c>
      <c r="AD288" s="110">
        <f t="shared" si="32"/>
        <v>44520</v>
      </c>
      <c r="AE288" s="13" t="e">
        <f>IF(AND(AD288&lt;=$AI$4,#REF!&lt;1),1,"")</f>
        <v>#REF!</v>
      </c>
      <c r="AF288" s="110">
        <f t="shared" ca="1" si="33"/>
        <v>44553</v>
      </c>
      <c r="AH288" s="13">
        <f t="shared" ca="1" si="34"/>
        <v>37</v>
      </c>
    </row>
    <row r="289" spans="1:34" x14ac:dyDescent="0.25">
      <c r="A289" s="13" t="s">
        <v>9</v>
      </c>
      <c r="B289" s="13" t="s">
        <v>9</v>
      </c>
      <c r="C289" s="13" t="s">
        <v>181</v>
      </c>
      <c r="D289" s="13" t="s">
        <v>212</v>
      </c>
      <c r="E289" s="13" t="s">
        <v>756</v>
      </c>
      <c r="F289" s="13">
        <v>500</v>
      </c>
      <c r="G289" s="2" t="s">
        <v>395</v>
      </c>
      <c r="H289" s="13" t="s">
        <v>0</v>
      </c>
      <c r="I289" s="13" t="s">
        <v>140</v>
      </c>
      <c r="J289" s="13" t="s">
        <v>139</v>
      </c>
      <c r="K289" s="109">
        <v>44516</v>
      </c>
      <c r="L289" s="109" t="s">
        <v>322</v>
      </c>
      <c r="Q289" s="13" t="str">
        <f t="shared" si="28"/>
        <v>MEDECRD017899AUTOSERVICIONUTRESA</v>
      </c>
      <c r="T289" s="123">
        <f t="shared" si="29"/>
        <v>0</v>
      </c>
      <c r="U289" s="13">
        <f t="shared" si="30"/>
        <v>0</v>
      </c>
      <c r="V289" s="123">
        <f t="shared" si="31"/>
        <v>0</v>
      </c>
      <c r="X289" s="13">
        <v>12</v>
      </c>
      <c r="Y289" s="13">
        <v>31</v>
      </c>
      <c r="Z289" s="13">
        <v>0.2</v>
      </c>
      <c r="AA289" s="13">
        <v>74.400000000000006</v>
      </c>
      <c r="AB289" s="13">
        <v>37200</v>
      </c>
      <c r="AC289" s="13">
        <v>2.5832999999999998E-2</v>
      </c>
      <c r="AD289" s="110">
        <f t="shared" si="32"/>
        <v>44520</v>
      </c>
      <c r="AE289" s="13" t="e">
        <f>IF(AND(AD289&lt;=$AI$4,#REF!&lt;1),1,"")</f>
        <v>#REF!</v>
      </c>
      <c r="AF289" s="110">
        <f t="shared" ca="1" si="33"/>
        <v>44553</v>
      </c>
      <c r="AH289" s="13">
        <f t="shared" ca="1" si="34"/>
        <v>37</v>
      </c>
    </row>
    <row r="290" spans="1:34" x14ac:dyDescent="0.25">
      <c r="A290" s="13" t="s">
        <v>10</v>
      </c>
      <c r="B290" s="13" t="s">
        <v>10</v>
      </c>
      <c r="C290" s="13" t="s">
        <v>181</v>
      </c>
      <c r="D290" s="13" t="s">
        <v>212</v>
      </c>
      <c r="E290" s="13" t="s">
        <v>756</v>
      </c>
      <c r="F290" s="13">
        <v>10000</v>
      </c>
      <c r="G290" s="2" t="s">
        <v>395</v>
      </c>
      <c r="H290" s="13" t="s">
        <v>0</v>
      </c>
      <c r="I290" s="13" t="s">
        <v>140</v>
      </c>
      <c r="J290" s="13" t="s">
        <v>139</v>
      </c>
      <c r="K290" s="109">
        <v>44516</v>
      </c>
      <c r="L290" s="109" t="s">
        <v>322</v>
      </c>
      <c r="Q290" s="13" t="str">
        <f t="shared" si="28"/>
        <v>PERECRD017899AUTOSERVICIONUTRESA</v>
      </c>
      <c r="T290" s="123">
        <f t="shared" si="29"/>
        <v>0</v>
      </c>
      <c r="U290" s="13">
        <f t="shared" si="30"/>
        <v>0</v>
      </c>
      <c r="V290" s="123">
        <f t="shared" si="31"/>
        <v>0</v>
      </c>
      <c r="X290" s="13">
        <v>12</v>
      </c>
      <c r="Y290" s="13">
        <v>31</v>
      </c>
      <c r="Z290" s="13">
        <v>0.2</v>
      </c>
      <c r="AA290" s="13">
        <v>74.400000000000006</v>
      </c>
      <c r="AB290" s="13">
        <v>744000</v>
      </c>
      <c r="AC290" s="13">
        <v>0.51666699999999999</v>
      </c>
      <c r="AD290" s="110">
        <f t="shared" si="32"/>
        <v>44520</v>
      </c>
      <c r="AE290" s="13" t="e">
        <f>IF(AND(AD290&lt;=$AI$4,#REF!&lt;1),1,"")</f>
        <v>#REF!</v>
      </c>
      <c r="AF290" s="110">
        <f t="shared" ca="1" si="33"/>
        <v>44553</v>
      </c>
      <c r="AH290" s="13">
        <f t="shared" ca="1" si="34"/>
        <v>37</v>
      </c>
    </row>
    <row r="291" spans="1:34" x14ac:dyDescent="0.25">
      <c r="A291" s="13" t="s">
        <v>4</v>
      </c>
      <c r="B291" s="13" t="s">
        <v>4</v>
      </c>
      <c r="C291" s="13" t="s">
        <v>248</v>
      </c>
      <c r="D291" s="13" t="s">
        <v>249</v>
      </c>
      <c r="E291" s="13" t="s">
        <v>757</v>
      </c>
      <c r="F291" s="13">
        <v>30000</v>
      </c>
      <c r="G291" s="2" t="s">
        <v>395</v>
      </c>
      <c r="H291" s="13" t="s">
        <v>0</v>
      </c>
      <c r="I291" s="13" t="s">
        <v>140</v>
      </c>
      <c r="J291" s="13" t="s">
        <v>139</v>
      </c>
      <c r="K291" s="109">
        <v>44510</v>
      </c>
      <c r="L291" s="109" t="s">
        <v>322</v>
      </c>
      <c r="P291" s="110">
        <v>44511</v>
      </c>
      <c r="Q291" s="13" t="str">
        <f t="shared" si="28"/>
        <v>BGTACRD023585AUTOSERVICIONUTRESA</v>
      </c>
      <c r="R291" s="2">
        <v>30000</v>
      </c>
      <c r="S291" s="13">
        <v>30000</v>
      </c>
      <c r="T291" s="123">
        <f t="shared" si="29"/>
        <v>1</v>
      </c>
      <c r="U291" s="13">
        <f t="shared" si="30"/>
        <v>0</v>
      </c>
      <c r="V291" s="123">
        <f t="shared" si="31"/>
        <v>0</v>
      </c>
      <c r="X291" s="13">
        <v>0.01</v>
      </c>
      <c r="Y291" s="13">
        <v>11</v>
      </c>
      <c r="Z291" s="13">
        <v>7</v>
      </c>
      <c r="AA291" s="13">
        <v>0.77</v>
      </c>
      <c r="AB291" s="13">
        <v>23100</v>
      </c>
      <c r="AC291" s="13">
        <v>1.6042000000000001E-2</v>
      </c>
      <c r="AD291" s="110">
        <f t="shared" si="32"/>
        <v>44514</v>
      </c>
      <c r="AE291" s="13" t="e">
        <f>IF(AND(AD291&lt;=$AI$4,#REF!&lt;1),1,"")</f>
        <v>#REF!</v>
      </c>
      <c r="AF291" s="110">
        <f t="shared" ca="1" si="33"/>
        <v>44553</v>
      </c>
      <c r="AH291" s="13">
        <f t="shared" ca="1" si="34"/>
        <v>43</v>
      </c>
    </row>
    <row r="292" spans="1:34" x14ac:dyDescent="0.25">
      <c r="A292" s="13" t="s">
        <v>724</v>
      </c>
      <c r="B292" s="13" t="s">
        <v>4</v>
      </c>
      <c r="C292" s="13" t="s">
        <v>248</v>
      </c>
      <c r="D292" s="13" t="s">
        <v>249</v>
      </c>
      <c r="E292" s="13" t="s">
        <v>757</v>
      </c>
      <c r="F292" s="13">
        <v>1500</v>
      </c>
      <c r="G292" s="2" t="s">
        <v>395</v>
      </c>
      <c r="H292" s="13" t="s">
        <v>0</v>
      </c>
      <c r="I292" s="13" t="s">
        <v>145</v>
      </c>
      <c r="J292" s="13" t="s">
        <v>139</v>
      </c>
      <c r="K292" s="109">
        <v>44510</v>
      </c>
      <c r="L292" s="109" t="s">
        <v>322</v>
      </c>
      <c r="P292" s="110">
        <v>44511</v>
      </c>
      <c r="Q292" s="13" t="str">
        <f t="shared" si="28"/>
        <v>BGTACRD023585AUTOSERVICIOALTILLANO</v>
      </c>
      <c r="R292" s="2">
        <v>1500</v>
      </c>
      <c r="S292" s="13">
        <v>1500</v>
      </c>
      <c r="T292" s="123">
        <f t="shared" si="29"/>
        <v>1</v>
      </c>
      <c r="U292" s="13">
        <f t="shared" si="30"/>
        <v>0</v>
      </c>
      <c r="V292" s="123">
        <f t="shared" si="31"/>
        <v>0</v>
      </c>
      <c r="X292" s="13">
        <v>0.01</v>
      </c>
      <c r="Y292" s="13">
        <v>11</v>
      </c>
      <c r="Z292" s="13">
        <v>7</v>
      </c>
      <c r="AA292" s="13">
        <v>0.77</v>
      </c>
      <c r="AB292" s="13">
        <v>1155</v>
      </c>
      <c r="AC292" s="13">
        <v>8.0199999999999998E-4</v>
      </c>
      <c r="AD292" s="110">
        <f t="shared" si="32"/>
        <v>44514</v>
      </c>
      <c r="AE292" s="13" t="e">
        <f>IF(AND(AD292&lt;=$AI$4,#REF!&lt;1),1,"")</f>
        <v>#REF!</v>
      </c>
      <c r="AF292" s="110">
        <f t="shared" ca="1" si="33"/>
        <v>44553</v>
      </c>
      <c r="AH292" s="13">
        <f t="shared" ca="1" si="34"/>
        <v>43</v>
      </c>
    </row>
    <row r="293" spans="1:34" x14ac:dyDescent="0.25">
      <c r="A293" s="13" t="s">
        <v>149</v>
      </c>
      <c r="B293" s="13" t="s">
        <v>149</v>
      </c>
      <c r="C293" s="13" t="s">
        <v>248</v>
      </c>
      <c r="D293" s="13" t="s">
        <v>249</v>
      </c>
      <c r="E293" s="13" t="s">
        <v>757</v>
      </c>
      <c r="F293" s="13">
        <v>1000</v>
      </c>
      <c r="G293" s="2" t="s">
        <v>395</v>
      </c>
      <c r="H293" s="13" t="s">
        <v>0</v>
      </c>
      <c r="I293" s="13" t="s">
        <v>140</v>
      </c>
      <c r="J293" s="13" t="s">
        <v>139</v>
      </c>
      <c r="K293" s="109">
        <v>44510</v>
      </c>
      <c r="L293" s="109" t="s">
        <v>322</v>
      </c>
      <c r="Q293" s="13" t="str">
        <f t="shared" si="28"/>
        <v>DUITCRD023585AUTOSERVICIONUTRESA</v>
      </c>
      <c r="T293" s="123">
        <f t="shared" si="29"/>
        <v>0</v>
      </c>
      <c r="U293" s="13">
        <f t="shared" si="30"/>
        <v>0</v>
      </c>
      <c r="V293" s="123">
        <f t="shared" si="31"/>
        <v>0</v>
      </c>
      <c r="X293" s="13">
        <v>0.01</v>
      </c>
      <c r="Y293" s="13">
        <v>11</v>
      </c>
      <c r="Z293" s="13">
        <v>7</v>
      </c>
      <c r="AA293" s="13">
        <v>0.77</v>
      </c>
      <c r="AB293" s="13">
        <v>770</v>
      </c>
      <c r="AC293" s="13">
        <v>5.3499999999999999E-4</v>
      </c>
      <c r="AD293" s="110">
        <f t="shared" si="32"/>
        <v>44514</v>
      </c>
      <c r="AE293" s="13" t="e">
        <f>IF(AND(AD293&lt;=$AI$4,#REF!&lt;1),1,"")</f>
        <v>#REF!</v>
      </c>
      <c r="AF293" s="110">
        <f t="shared" ca="1" si="33"/>
        <v>44553</v>
      </c>
      <c r="AH293" s="13">
        <f t="shared" ca="1" si="34"/>
        <v>43</v>
      </c>
    </row>
    <row r="294" spans="1:34" x14ac:dyDescent="0.25">
      <c r="A294" s="13" t="s">
        <v>150</v>
      </c>
      <c r="B294" s="13" t="s">
        <v>150</v>
      </c>
      <c r="C294" s="13" t="s">
        <v>248</v>
      </c>
      <c r="D294" s="13" t="s">
        <v>249</v>
      </c>
      <c r="E294" s="13" t="s">
        <v>757</v>
      </c>
      <c r="F294" s="13">
        <v>1000</v>
      </c>
      <c r="G294" s="2" t="s">
        <v>395</v>
      </c>
      <c r="H294" s="13" t="s">
        <v>0</v>
      </c>
      <c r="I294" s="13" t="s">
        <v>140</v>
      </c>
      <c r="J294" s="13" t="s">
        <v>139</v>
      </c>
      <c r="K294" s="109">
        <v>44510</v>
      </c>
      <c r="L294" s="109" t="s">
        <v>322</v>
      </c>
      <c r="Q294" s="13" t="str">
        <f t="shared" si="28"/>
        <v>VILACRD023585AUTOSERVICIONUTRESA</v>
      </c>
      <c r="T294" s="123">
        <f t="shared" si="29"/>
        <v>0</v>
      </c>
      <c r="U294" s="13">
        <f t="shared" si="30"/>
        <v>0</v>
      </c>
      <c r="V294" s="123">
        <f t="shared" si="31"/>
        <v>0</v>
      </c>
      <c r="X294" s="13">
        <v>0.01</v>
      </c>
      <c r="Y294" s="13">
        <v>11</v>
      </c>
      <c r="Z294" s="13">
        <v>7</v>
      </c>
      <c r="AA294" s="13">
        <v>0.77</v>
      </c>
      <c r="AB294" s="13">
        <v>770</v>
      </c>
      <c r="AC294" s="13">
        <v>5.3499999999999999E-4</v>
      </c>
      <c r="AD294" s="110">
        <f t="shared" si="32"/>
        <v>44514</v>
      </c>
      <c r="AE294" s="13" t="e">
        <f>IF(AND(AD294&lt;=$AI$4,#REF!&lt;1),1,"")</f>
        <v>#REF!</v>
      </c>
      <c r="AF294" s="110">
        <f t="shared" ca="1" si="33"/>
        <v>44553</v>
      </c>
      <c r="AH294" s="13">
        <f t="shared" ca="1" si="34"/>
        <v>43</v>
      </c>
    </row>
    <row r="295" spans="1:34" x14ac:dyDescent="0.25">
      <c r="A295" s="13" t="s">
        <v>5</v>
      </c>
      <c r="B295" s="13" t="s">
        <v>5</v>
      </c>
      <c r="C295" s="13" t="s">
        <v>248</v>
      </c>
      <c r="D295" s="13" t="s">
        <v>249</v>
      </c>
      <c r="E295" s="13" t="s">
        <v>757</v>
      </c>
      <c r="F295" s="13">
        <v>13000</v>
      </c>
      <c r="G295" s="2" t="s">
        <v>395</v>
      </c>
      <c r="H295" s="13" t="s">
        <v>0</v>
      </c>
      <c r="I295" s="13" t="s">
        <v>140</v>
      </c>
      <c r="J295" s="13" t="s">
        <v>139</v>
      </c>
      <c r="K295" s="109">
        <v>44510</v>
      </c>
      <c r="L295" s="109" t="s">
        <v>322</v>
      </c>
      <c r="Q295" s="13" t="str">
        <f t="shared" si="28"/>
        <v>BUCACRD023585AUTOSERVICIONUTRESA</v>
      </c>
      <c r="T295" s="123">
        <f t="shared" si="29"/>
        <v>0</v>
      </c>
      <c r="U295" s="13">
        <f t="shared" si="30"/>
        <v>0</v>
      </c>
      <c r="V295" s="123">
        <f t="shared" si="31"/>
        <v>0</v>
      </c>
      <c r="X295" s="13">
        <v>0.01</v>
      </c>
      <c r="Y295" s="13">
        <v>11</v>
      </c>
      <c r="Z295" s="13">
        <v>7</v>
      </c>
      <c r="AA295" s="13">
        <v>0.77</v>
      </c>
      <c r="AB295" s="13">
        <v>10010</v>
      </c>
      <c r="AC295" s="13">
        <v>6.9509999999999997E-3</v>
      </c>
      <c r="AD295" s="110">
        <f t="shared" si="32"/>
        <v>44514</v>
      </c>
      <c r="AE295" s="13" t="e">
        <f>IF(AND(AD295&lt;=$AI$4,#REF!&lt;1),1,"")</f>
        <v>#REF!</v>
      </c>
      <c r="AF295" s="110">
        <f t="shared" ca="1" si="33"/>
        <v>44553</v>
      </c>
      <c r="AH295" s="13">
        <f t="shared" ca="1" si="34"/>
        <v>43</v>
      </c>
    </row>
    <row r="296" spans="1:34" x14ac:dyDescent="0.25">
      <c r="A296" s="13" t="s">
        <v>6</v>
      </c>
      <c r="B296" s="13" t="s">
        <v>6</v>
      </c>
      <c r="C296" s="13" t="s">
        <v>248</v>
      </c>
      <c r="D296" s="13" t="s">
        <v>249</v>
      </c>
      <c r="E296" s="13" t="s">
        <v>757</v>
      </c>
      <c r="F296" s="13">
        <v>3000</v>
      </c>
      <c r="G296" s="2" t="s">
        <v>395</v>
      </c>
      <c r="H296" s="13" t="s">
        <v>0</v>
      </c>
      <c r="I296" s="13" t="s">
        <v>140</v>
      </c>
      <c r="J296" s="13" t="s">
        <v>139</v>
      </c>
      <c r="K296" s="109">
        <v>44510</v>
      </c>
      <c r="L296" s="109" t="s">
        <v>322</v>
      </c>
      <c r="Q296" s="13" t="str">
        <f t="shared" si="28"/>
        <v>CALICRD023585AUTOSERVICIONUTRESA</v>
      </c>
      <c r="T296" s="123">
        <f t="shared" si="29"/>
        <v>0</v>
      </c>
      <c r="U296" s="13">
        <f t="shared" si="30"/>
        <v>0</v>
      </c>
      <c r="V296" s="123">
        <f t="shared" si="31"/>
        <v>0</v>
      </c>
      <c r="X296" s="13">
        <v>0.01</v>
      </c>
      <c r="Y296" s="13">
        <v>11</v>
      </c>
      <c r="Z296" s="13">
        <v>7</v>
      </c>
      <c r="AA296" s="13">
        <v>0.77</v>
      </c>
      <c r="AB296" s="13">
        <v>2310</v>
      </c>
      <c r="AC296" s="13">
        <v>1.604E-3</v>
      </c>
      <c r="AD296" s="110">
        <f t="shared" si="32"/>
        <v>44514</v>
      </c>
      <c r="AE296" s="13" t="e">
        <f>IF(AND(AD296&lt;=$AI$4,#REF!&lt;1),1,"")</f>
        <v>#REF!</v>
      </c>
      <c r="AF296" s="110">
        <f t="shared" ca="1" si="33"/>
        <v>44553</v>
      </c>
      <c r="AH296" s="13">
        <f t="shared" ca="1" si="34"/>
        <v>43</v>
      </c>
    </row>
    <row r="297" spans="1:34" x14ac:dyDescent="0.25">
      <c r="A297" s="13" t="s">
        <v>8</v>
      </c>
      <c r="B297" s="13" t="s">
        <v>8</v>
      </c>
      <c r="C297" s="13" t="s">
        <v>248</v>
      </c>
      <c r="D297" s="13" t="s">
        <v>249</v>
      </c>
      <c r="E297" s="13" t="s">
        <v>757</v>
      </c>
      <c r="F297" s="13">
        <v>7000</v>
      </c>
      <c r="G297" s="2" t="s">
        <v>395</v>
      </c>
      <c r="H297" s="13" t="s">
        <v>0</v>
      </c>
      <c r="I297" s="13" t="s">
        <v>140</v>
      </c>
      <c r="J297" s="13" t="s">
        <v>139</v>
      </c>
      <c r="K297" s="109">
        <v>44510</v>
      </c>
      <c r="L297" s="109" t="s">
        <v>322</v>
      </c>
      <c r="Q297" s="13" t="str">
        <f t="shared" si="28"/>
        <v>IBA1CRD023585AUTOSERVICIONUTRESA</v>
      </c>
      <c r="T297" s="123">
        <f t="shared" si="29"/>
        <v>0</v>
      </c>
      <c r="U297" s="13">
        <f t="shared" si="30"/>
        <v>0</v>
      </c>
      <c r="V297" s="123">
        <f t="shared" si="31"/>
        <v>0</v>
      </c>
      <c r="X297" s="13">
        <v>0.01</v>
      </c>
      <c r="Y297" s="13">
        <v>11</v>
      </c>
      <c r="Z297" s="13">
        <v>7</v>
      </c>
      <c r="AA297" s="13">
        <v>0.77</v>
      </c>
      <c r="AB297" s="13">
        <v>5390</v>
      </c>
      <c r="AC297" s="13">
        <v>3.7429999999999998E-3</v>
      </c>
      <c r="AD297" s="110">
        <f t="shared" si="32"/>
        <v>44514</v>
      </c>
      <c r="AE297" s="13" t="e">
        <f>IF(AND(AD297&lt;=$AI$4,#REF!&lt;1),1,"")</f>
        <v>#REF!</v>
      </c>
      <c r="AF297" s="110">
        <f t="shared" ca="1" si="33"/>
        <v>44553</v>
      </c>
      <c r="AH297" s="13">
        <f t="shared" ca="1" si="34"/>
        <v>43</v>
      </c>
    </row>
    <row r="298" spans="1:34" x14ac:dyDescent="0.25">
      <c r="A298" s="13" t="s">
        <v>9</v>
      </c>
      <c r="B298" s="13" t="s">
        <v>9</v>
      </c>
      <c r="C298" s="13" t="s">
        <v>248</v>
      </c>
      <c r="D298" s="13" t="s">
        <v>249</v>
      </c>
      <c r="E298" s="13" t="s">
        <v>757</v>
      </c>
      <c r="F298" s="13">
        <v>15000</v>
      </c>
      <c r="G298" s="2" t="s">
        <v>395</v>
      </c>
      <c r="H298" s="13" t="s">
        <v>0</v>
      </c>
      <c r="I298" s="13" t="s">
        <v>140</v>
      </c>
      <c r="J298" s="13" t="s">
        <v>139</v>
      </c>
      <c r="K298" s="109">
        <v>44510</v>
      </c>
      <c r="L298" s="109" t="s">
        <v>322</v>
      </c>
      <c r="Q298" s="13" t="str">
        <f t="shared" si="28"/>
        <v>MEDECRD023585AUTOSERVICIONUTRESA</v>
      </c>
      <c r="T298" s="123">
        <f t="shared" si="29"/>
        <v>0</v>
      </c>
      <c r="U298" s="13">
        <f t="shared" si="30"/>
        <v>0</v>
      </c>
      <c r="V298" s="123">
        <f t="shared" si="31"/>
        <v>0</v>
      </c>
      <c r="X298" s="13">
        <v>0.01</v>
      </c>
      <c r="Y298" s="13">
        <v>11</v>
      </c>
      <c r="Z298" s="13">
        <v>7</v>
      </c>
      <c r="AA298" s="13">
        <v>0.77</v>
      </c>
      <c r="AB298" s="13">
        <v>11550</v>
      </c>
      <c r="AC298" s="13">
        <v>8.0210000000000004E-3</v>
      </c>
      <c r="AD298" s="110">
        <f t="shared" si="32"/>
        <v>44514</v>
      </c>
      <c r="AE298" s="13" t="e">
        <f>IF(AND(AD298&lt;=$AI$4,#REF!&lt;1),1,"")</f>
        <v>#REF!</v>
      </c>
      <c r="AF298" s="110">
        <f t="shared" ca="1" si="33"/>
        <v>44553</v>
      </c>
      <c r="AH298" s="13">
        <f t="shared" ca="1" si="34"/>
        <v>43</v>
      </c>
    </row>
    <row r="299" spans="1:34" x14ac:dyDescent="0.25">
      <c r="A299" s="13" t="s">
        <v>10</v>
      </c>
      <c r="B299" s="13" t="s">
        <v>10</v>
      </c>
      <c r="C299" s="13" t="s">
        <v>248</v>
      </c>
      <c r="D299" s="13" t="s">
        <v>249</v>
      </c>
      <c r="E299" s="13" t="s">
        <v>757</v>
      </c>
      <c r="F299" s="13">
        <v>14000</v>
      </c>
      <c r="G299" s="2" t="s">
        <v>395</v>
      </c>
      <c r="H299" s="13" t="s">
        <v>0</v>
      </c>
      <c r="I299" s="13" t="s">
        <v>140</v>
      </c>
      <c r="J299" s="13" t="s">
        <v>139</v>
      </c>
      <c r="K299" s="109">
        <v>44510</v>
      </c>
      <c r="L299" s="109" t="s">
        <v>322</v>
      </c>
      <c r="P299" s="110">
        <v>44511</v>
      </c>
      <c r="Q299" s="13" t="str">
        <f t="shared" si="28"/>
        <v>PERECRD023585AUTOSERVICIONUTRESA</v>
      </c>
      <c r="R299" s="2">
        <v>14000</v>
      </c>
      <c r="S299" s="13">
        <v>14000</v>
      </c>
      <c r="T299" s="123">
        <f t="shared" si="29"/>
        <v>1</v>
      </c>
      <c r="U299" s="13">
        <f t="shared" si="30"/>
        <v>0</v>
      </c>
      <c r="V299" s="123">
        <f t="shared" si="31"/>
        <v>0</v>
      </c>
      <c r="X299" s="13">
        <v>0.01</v>
      </c>
      <c r="Y299" s="13">
        <v>11</v>
      </c>
      <c r="Z299" s="13">
        <v>7</v>
      </c>
      <c r="AA299" s="13">
        <v>0.77</v>
      </c>
      <c r="AB299" s="13">
        <v>10780</v>
      </c>
      <c r="AC299" s="13">
        <v>7.4859999999999996E-3</v>
      </c>
      <c r="AD299" s="110">
        <f t="shared" si="32"/>
        <v>44514</v>
      </c>
      <c r="AE299" s="13" t="e">
        <f>IF(AND(AD299&lt;=$AI$4,#REF!&lt;1),1,"")</f>
        <v>#REF!</v>
      </c>
      <c r="AF299" s="110">
        <f t="shared" ca="1" si="33"/>
        <v>44553</v>
      </c>
      <c r="AH299" s="13">
        <f t="shared" ca="1" si="34"/>
        <v>43</v>
      </c>
    </row>
    <row r="300" spans="1:34" x14ac:dyDescent="0.25">
      <c r="A300" s="13" t="s">
        <v>4</v>
      </c>
      <c r="B300" s="13" t="s">
        <v>4</v>
      </c>
      <c r="C300" s="13" t="s">
        <v>246</v>
      </c>
      <c r="D300" s="13" t="s">
        <v>247</v>
      </c>
      <c r="E300" s="13" t="s">
        <v>757</v>
      </c>
      <c r="F300" s="13">
        <v>15000</v>
      </c>
      <c r="G300" s="2" t="s">
        <v>395</v>
      </c>
      <c r="H300" s="13" t="s">
        <v>0</v>
      </c>
      <c r="I300" s="13" t="s">
        <v>140</v>
      </c>
      <c r="J300" s="13" t="s">
        <v>139</v>
      </c>
      <c r="K300" s="109">
        <v>44510</v>
      </c>
      <c r="L300" s="109" t="s">
        <v>322</v>
      </c>
      <c r="P300" s="110">
        <v>44511</v>
      </c>
      <c r="Q300" s="13" t="str">
        <f t="shared" si="28"/>
        <v>BGTACRD023584AUTOSERVICIONUTRESA</v>
      </c>
      <c r="R300" s="2">
        <v>15000</v>
      </c>
      <c r="S300" s="13">
        <v>15000</v>
      </c>
      <c r="T300" s="123">
        <f t="shared" si="29"/>
        <v>1</v>
      </c>
      <c r="U300" s="13">
        <f t="shared" si="30"/>
        <v>0</v>
      </c>
      <c r="V300" s="123">
        <f t="shared" si="31"/>
        <v>0</v>
      </c>
      <c r="X300" s="13">
        <v>0.5</v>
      </c>
      <c r="Y300" s="13">
        <v>4</v>
      </c>
      <c r="Z300" s="13">
        <v>7</v>
      </c>
      <c r="AA300" s="13">
        <v>14</v>
      </c>
      <c r="AB300" s="13">
        <v>210000</v>
      </c>
      <c r="AC300" s="13">
        <v>0.14583299999999999</v>
      </c>
      <c r="AD300" s="110">
        <f t="shared" si="32"/>
        <v>44514</v>
      </c>
      <c r="AE300" s="13" t="e">
        <f>IF(AND(AD300&lt;=$AI$4,#REF!&lt;1),1,"")</f>
        <v>#REF!</v>
      </c>
      <c r="AF300" s="110">
        <f t="shared" ca="1" si="33"/>
        <v>44553</v>
      </c>
      <c r="AH300" s="13">
        <f t="shared" ca="1" si="34"/>
        <v>43</v>
      </c>
    </row>
    <row r="301" spans="1:34" x14ac:dyDescent="0.25">
      <c r="A301" s="13" t="s">
        <v>724</v>
      </c>
      <c r="B301" s="13" t="s">
        <v>4</v>
      </c>
      <c r="C301" s="13" t="s">
        <v>246</v>
      </c>
      <c r="D301" s="13" t="s">
        <v>247</v>
      </c>
      <c r="E301" s="13" t="s">
        <v>757</v>
      </c>
      <c r="F301" s="13">
        <v>15000</v>
      </c>
      <c r="G301" s="2" t="s">
        <v>395</v>
      </c>
      <c r="H301" s="13" t="s">
        <v>0</v>
      </c>
      <c r="I301" s="13" t="s">
        <v>145</v>
      </c>
      <c r="J301" s="13" t="s">
        <v>139</v>
      </c>
      <c r="K301" s="109">
        <v>44510</v>
      </c>
      <c r="L301" s="109" t="s">
        <v>322</v>
      </c>
      <c r="P301" s="110">
        <v>44511</v>
      </c>
      <c r="Q301" s="13" t="str">
        <f t="shared" si="28"/>
        <v>BGTACRD023584AUTOSERVICIOALTILLANO</v>
      </c>
      <c r="R301" s="2">
        <v>15000</v>
      </c>
      <c r="S301" s="13">
        <v>16500</v>
      </c>
      <c r="T301" s="123">
        <f t="shared" si="29"/>
        <v>1</v>
      </c>
      <c r="U301" s="13">
        <f t="shared" si="30"/>
        <v>-1500</v>
      </c>
      <c r="V301" s="123">
        <f t="shared" si="31"/>
        <v>-0.1</v>
      </c>
      <c r="X301" s="13">
        <v>0.5</v>
      </c>
      <c r="Y301" s="13">
        <v>4</v>
      </c>
      <c r="Z301" s="13">
        <v>7</v>
      </c>
      <c r="AA301" s="13">
        <v>14</v>
      </c>
      <c r="AB301" s="13">
        <v>210000</v>
      </c>
      <c r="AC301" s="13">
        <v>0.14583299999999999</v>
      </c>
      <c r="AD301" s="110">
        <f t="shared" si="32"/>
        <v>44514</v>
      </c>
      <c r="AE301" s="13" t="e">
        <f>IF(AND(AD301&lt;=$AI$4,#REF!&lt;1),1,"")</f>
        <v>#REF!</v>
      </c>
      <c r="AF301" s="110">
        <f t="shared" ca="1" si="33"/>
        <v>44553</v>
      </c>
      <c r="AH301" s="13">
        <f t="shared" ca="1" si="34"/>
        <v>43</v>
      </c>
    </row>
    <row r="302" spans="1:34" x14ac:dyDescent="0.25">
      <c r="A302" s="13" t="s">
        <v>149</v>
      </c>
      <c r="B302" s="13" t="s">
        <v>149</v>
      </c>
      <c r="C302" s="13" t="s">
        <v>246</v>
      </c>
      <c r="D302" s="13" t="s">
        <v>247</v>
      </c>
      <c r="E302" s="13" t="s">
        <v>757</v>
      </c>
      <c r="F302" s="13">
        <v>10000</v>
      </c>
      <c r="G302" s="2" t="s">
        <v>395</v>
      </c>
      <c r="H302" s="13" t="s">
        <v>0</v>
      </c>
      <c r="I302" s="13" t="s">
        <v>140</v>
      </c>
      <c r="J302" s="13" t="s">
        <v>139</v>
      </c>
      <c r="K302" s="109">
        <v>44510</v>
      </c>
      <c r="L302" s="109" t="s">
        <v>322</v>
      </c>
      <c r="Q302" s="13" t="str">
        <f t="shared" si="28"/>
        <v>DUITCRD023584AUTOSERVICIONUTRESA</v>
      </c>
      <c r="T302" s="123">
        <f t="shared" si="29"/>
        <v>0</v>
      </c>
      <c r="U302" s="13">
        <f t="shared" si="30"/>
        <v>0</v>
      </c>
      <c r="V302" s="123">
        <f t="shared" si="31"/>
        <v>0</v>
      </c>
      <c r="X302" s="13">
        <v>0.5</v>
      </c>
      <c r="Y302" s="13">
        <v>4</v>
      </c>
      <c r="Z302" s="13">
        <v>7</v>
      </c>
      <c r="AA302" s="13">
        <v>14</v>
      </c>
      <c r="AB302" s="13">
        <v>140000</v>
      </c>
      <c r="AC302" s="13">
        <v>9.7222000000000003E-2</v>
      </c>
      <c r="AD302" s="110">
        <f t="shared" si="32"/>
        <v>44514</v>
      </c>
      <c r="AE302" s="13" t="e">
        <f>IF(AND(AD302&lt;=$AI$4,#REF!&lt;1),1,"")</f>
        <v>#REF!</v>
      </c>
      <c r="AF302" s="110">
        <f t="shared" ca="1" si="33"/>
        <v>44553</v>
      </c>
      <c r="AH302" s="13">
        <f t="shared" ca="1" si="34"/>
        <v>43</v>
      </c>
    </row>
    <row r="303" spans="1:34" x14ac:dyDescent="0.25">
      <c r="A303" s="13" t="s">
        <v>150</v>
      </c>
      <c r="B303" s="13" t="s">
        <v>150</v>
      </c>
      <c r="C303" s="13" t="s">
        <v>246</v>
      </c>
      <c r="D303" s="13" t="s">
        <v>247</v>
      </c>
      <c r="E303" s="13" t="s">
        <v>757</v>
      </c>
      <c r="F303" s="13">
        <v>10000</v>
      </c>
      <c r="G303" s="2" t="s">
        <v>395</v>
      </c>
      <c r="H303" s="13" t="s">
        <v>0</v>
      </c>
      <c r="I303" s="13" t="s">
        <v>140</v>
      </c>
      <c r="J303" s="13" t="s">
        <v>139</v>
      </c>
      <c r="K303" s="109">
        <v>44510</v>
      </c>
      <c r="L303" s="109" t="s">
        <v>322</v>
      </c>
      <c r="Q303" s="13" t="str">
        <f t="shared" si="28"/>
        <v>VILACRD023584AUTOSERVICIONUTRESA</v>
      </c>
      <c r="T303" s="123">
        <f t="shared" si="29"/>
        <v>0</v>
      </c>
      <c r="U303" s="13">
        <f t="shared" si="30"/>
        <v>0</v>
      </c>
      <c r="V303" s="123">
        <f t="shared" si="31"/>
        <v>0</v>
      </c>
      <c r="X303" s="13">
        <v>0.5</v>
      </c>
      <c r="Y303" s="13">
        <v>4</v>
      </c>
      <c r="Z303" s="13">
        <v>7</v>
      </c>
      <c r="AA303" s="13">
        <v>14</v>
      </c>
      <c r="AB303" s="13">
        <v>140000</v>
      </c>
      <c r="AC303" s="13">
        <v>9.7222000000000003E-2</v>
      </c>
      <c r="AD303" s="110">
        <f t="shared" si="32"/>
        <v>44514</v>
      </c>
      <c r="AE303" s="13" t="e">
        <f>IF(AND(AD303&lt;=$AI$4,#REF!&lt;1),1,"")</f>
        <v>#REF!</v>
      </c>
      <c r="AF303" s="110">
        <f t="shared" ca="1" si="33"/>
        <v>44553</v>
      </c>
      <c r="AH303" s="13">
        <f t="shared" ca="1" si="34"/>
        <v>43</v>
      </c>
    </row>
    <row r="304" spans="1:34" x14ac:dyDescent="0.25">
      <c r="A304" s="13" t="s">
        <v>5</v>
      </c>
      <c r="B304" s="13" t="s">
        <v>5</v>
      </c>
      <c r="C304" s="13" t="s">
        <v>246</v>
      </c>
      <c r="D304" s="13" t="s">
        <v>247</v>
      </c>
      <c r="E304" s="13" t="s">
        <v>757</v>
      </c>
      <c r="F304" s="13">
        <v>28000</v>
      </c>
      <c r="G304" s="2" t="s">
        <v>395</v>
      </c>
      <c r="H304" s="13" t="s">
        <v>0</v>
      </c>
      <c r="I304" s="13" t="s">
        <v>140</v>
      </c>
      <c r="J304" s="13" t="s">
        <v>139</v>
      </c>
      <c r="K304" s="109">
        <v>44510</v>
      </c>
      <c r="L304" s="109" t="s">
        <v>322</v>
      </c>
      <c r="Q304" s="13" t="str">
        <f t="shared" si="28"/>
        <v>BUCACRD023584AUTOSERVICIONUTRESA</v>
      </c>
      <c r="T304" s="123">
        <f t="shared" si="29"/>
        <v>0</v>
      </c>
      <c r="U304" s="13">
        <f t="shared" si="30"/>
        <v>0</v>
      </c>
      <c r="V304" s="123">
        <f t="shared" si="31"/>
        <v>0</v>
      </c>
      <c r="X304" s="13">
        <v>0.5</v>
      </c>
      <c r="Y304" s="13">
        <v>4</v>
      </c>
      <c r="Z304" s="13">
        <v>7</v>
      </c>
      <c r="AA304" s="13">
        <v>14</v>
      </c>
      <c r="AB304" s="13">
        <v>392000</v>
      </c>
      <c r="AC304" s="13">
        <v>0.27222200000000002</v>
      </c>
      <c r="AD304" s="110">
        <f t="shared" si="32"/>
        <v>44514</v>
      </c>
      <c r="AE304" s="13" t="e">
        <f>IF(AND(AD304&lt;=$AI$4,#REF!&lt;1),1,"")</f>
        <v>#REF!</v>
      </c>
      <c r="AF304" s="110">
        <f t="shared" ca="1" si="33"/>
        <v>44553</v>
      </c>
      <c r="AH304" s="13">
        <f t="shared" ca="1" si="34"/>
        <v>43</v>
      </c>
    </row>
    <row r="305" spans="1:34" x14ac:dyDescent="0.25">
      <c r="A305" s="13" t="s">
        <v>6</v>
      </c>
      <c r="B305" s="13" t="s">
        <v>6</v>
      </c>
      <c r="C305" s="13" t="s">
        <v>246</v>
      </c>
      <c r="D305" s="13" t="s">
        <v>247</v>
      </c>
      <c r="E305" s="13" t="s">
        <v>757</v>
      </c>
      <c r="F305" s="13">
        <v>10000</v>
      </c>
      <c r="G305" s="2" t="s">
        <v>395</v>
      </c>
      <c r="H305" s="13" t="s">
        <v>0</v>
      </c>
      <c r="I305" s="13" t="s">
        <v>140</v>
      </c>
      <c r="J305" s="13" t="s">
        <v>139</v>
      </c>
      <c r="K305" s="109">
        <v>44510</v>
      </c>
      <c r="L305" s="109" t="s">
        <v>322</v>
      </c>
      <c r="Q305" s="13" t="str">
        <f t="shared" si="28"/>
        <v>CALICRD023584AUTOSERVICIONUTRESA</v>
      </c>
      <c r="T305" s="123">
        <f t="shared" si="29"/>
        <v>0</v>
      </c>
      <c r="U305" s="13">
        <f t="shared" si="30"/>
        <v>0</v>
      </c>
      <c r="V305" s="123">
        <f t="shared" si="31"/>
        <v>0</v>
      </c>
      <c r="X305" s="13">
        <v>0.5</v>
      </c>
      <c r="Y305" s="13">
        <v>4</v>
      </c>
      <c r="Z305" s="13">
        <v>7</v>
      </c>
      <c r="AA305" s="13">
        <v>14</v>
      </c>
      <c r="AB305" s="13">
        <v>140000</v>
      </c>
      <c r="AC305" s="13">
        <v>9.7222000000000003E-2</v>
      </c>
      <c r="AD305" s="110">
        <f t="shared" si="32"/>
        <v>44514</v>
      </c>
      <c r="AE305" s="13" t="e">
        <f>IF(AND(AD305&lt;=$AI$4,#REF!&lt;1),1,"")</f>
        <v>#REF!</v>
      </c>
      <c r="AF305" s="110">
        <f t="shared" ca="1" si="33"/>
        <v>44553</v>
      </c>
      <c r="AH305" s="13">
        <f t="shared" ca="1" si="34"/>
        <v>43</v>
      </c>
    </row>
    <row r="306" spans="1:34" x14ac:dyDescent="0.25">
      <c r="A306" s="13" t="s">
        <v>8</v>
      </c>
      <c r="B306" s="13" t="s">
        <v>8</v>
      </c>
      <c r="C306" s="13" t="s">
        <v>246</v>
      </c>
      <c r="D306" s="13" t="s">
        <v>247</v>
      </c>
      <c r="E306" s="13" t="s">
        <v>757</v>
      </c>
      <c r="F306" s="13">
        <v>7000</v>
      </c>
      <c r="G306" s="2" t="s">
        <v>395</v>
      </c>
      <c r="H306" s="13" t="s">
        <v>0</v>
      </c>
      <c r="I306" s="13" t="s">
        <v>140</v>
      </c>
      <c r="J306" s="13" t="s">
        <v>139</v>
      </c>
      <c r="K306" s="109">
        <v>44510</v>
      </c>
      <c r="L306" s="109" t="s">
        <v>322</v>
      </c>
      <c r="Q306" s="13" t="str">
        <f t="shared" si="28"/>
        <v>IBA1CRD023584AUTOSERVICIONUTRESA</v>
      </c>
      <c r="T306" s="123">
        <f t="shared" si="29"/>
        <v>0</v>
      </c>
      <c r="U306" s="13">
        <f t="shared" si="30"/>
        <v>0</v>
      </c>
      <c r="V306" s="123">
        <f t="shared" si="31"/>
        <v>0</v>
      </c>
      <c r="X306" s="13">
        <v>0.5</v>
      </c>
      <c r="Y306" s="13">
        <v>4</v>
      </c>
      <c r="Z306" s="13">
        <v>7</v>
      </c>
      <c r="AA306" s="13">
        <v>14</v>
      </c>
      <c r="AB306" s="13">
        <v>98000</v>
      </c>
      <c r="AC306" s="13">
        <v>6.8056000000000005E-2</v>
      </c>
      <c r="AD306" s="110">
        <f t="shared" si="32"/>
        <v>44514</v>
      </c>
      <c r="AE306" s="13" t="e">
        <f>IF(AND(AD306&lt;=$AI$4,#REF!&lt;1),1,"")</f>
        <v>#REF!</v>
      </c>
      <c r="AF306" s="110">
        <f t="shared" ca="1" si="33"/>
        <v>44553</v>
      </c>
      <c r="AH306" s="13">
        <f t="shared" ca="1" si="34"/>
        <v>43</v>
      </c>
    </row>
    <row r="307" spans="1:34" x14ac:dyDescent="0.25">
      <c r="A307" s="13" t="s">
        <v>9</v>
      </c>
      <c r="B307" s="13" t="s">
        <v>9</v>
      </c>
      <c r="C307" s="13" t="s">
        <v>246</v>
      </c>
      <c r="D307" s="13" t="s">
        <v>247</v>
      </c>
      <c r="E307" s="13" t="s">
        <v>757</v>
      </c>
      <c r="F307" s="13">
        <v>15000</v>
      </c>
      <c r="G307" s="2" t="s">
        <v>395</v>
      </c>
      <c r="H307" s="13" t="s">
        <v>0</v>
      </c>
      <c r="I307" s="13" t="s">
        <v>140</v>
      </c>
      <c r="J307" s="13" t="s">
        <v>139</v>
      </c>
      <c r="K307" s="109">
        <v>44510</v>
      </c>
      <c r="L307" s="109" t="s">
        <v>322</v>
      </c>
      <c r="Q307" s="13" t="str">
        <f t="shared" si="28"/>
        <v>MEDECRD023584AUTOSERVICIONUTRESA</v>
      </c>
      <c r="T307" s="123">
        <f t="shared" si="29"/>
        <v>0</v>
      </c>
      <c r="U307" s="13">
        <f t="shared" si="30"/>
        <v>0</v>
      </c>
      <c r="V307" s="123">
        <f t="shared" si="31"/>
        <v>0</v>
      </c>
      <c r="X307" s="13">
        <v>0.5</v>
      </c>
      <c r="Y307" s="13">
        <v>4</v>
      </c>
      <c r="Z307" s="13">
        <v>7</v>
      </c>
      <c r="AA307" s="13">
        <v>14</v>
      </c>
      <c r="AB307" s="13">
        <v>210000</v>
      </c>
      <c r="AC307" s="13">
        <v>0.14583299999999999</v>
      </c>
      <c r="AD307" s="110">
        <f t="shared" si="32"/>
        <v>44514</v>
      </c>
      <c r="AE307" s="13" t="e">
        <f>IF(AND(AD307&lt;=$AI$4,#REF!&lt;1),1,"")</f>
        <v>#REF!</v>
      </c>
      <c r="AF307" s="110">
        <f t="shared" ca="1" si="33"/>
        <v>44553</v>
      </c>
      <c r="AH307" s="13">
        <f t="shared" ca="1" si="34"/>
        <v>43</v>
      </c>
    </row>
    <row r="308" spans="1:34" x14ac:dyDescent="0.25">
      <c r="A308" s="13" t="s">
        <v>10</v>
      </c>
      <c r="B308" s="13" t="s">
        <v>10</v>
      </c>
      <c r="C308" s="13" t="s">
        <v>246</v>
      </c>
      <c r="D308" s="13" t="s">
        <v>247</v>
      </c>
      <c r="E308" s="13" t="s">
        <v>757</v>
      </c>
      <c r="F308" s="13">
        <v>15000</v>
      </c>
      <c r="G308" s="2" t="s">
        <v>395</v>
      </c>
      <c r="H308" s="13" t="s">
        <v>0</v>
      </c>
      <c r="I308" s="13" t="s">
        <v>140</v>
      </c>
      <c r="J308" s="13" t="s">
        <v>139</v>
      </c>
      <c r="K308" s="109">
        <v>44510</v>
      </c>
      <c r="L308" s="109" t="s">
        <v>322</v>
      </c>
      <c r="P308" s="110">
        <v>44511</v>
      </c>
      <c r="Q308" s="13" t="str">
        <f t="shared" si="28"/>
        <v>PERECRD023584AUTOSERVICIONUTRESA</v>
      </c>
      <c r="R308" s="2">
        <v>15000</v>
      </c>
      <c r="S308" s="13">
        <v>15000</v>
      </c>
      <c r="T308" s="123">
        <f t="shared" si="29"/>
        <v>1</v>
      </c>
      <c r="U308" s="13">
        <f t="shared" si="30"/>
        <v>0</v>
      </c>
      <c r="V308" s="123">
        <f t="shared" si="31"/>
        <v>0</v>
      </c>
      <c r="X308" s="13">
        <v>0.5</v>
      </c>
      <c r="Y308" s="13">
        <v>4</v>
      </c>
      <c r="Z308" s="13">
        <v>7</v>
      </c>
      <c r="AA308" s="13">
        <v>14</v>
      </c>
      <c r="AB308" s="13">
        <v>210000</v>
      </c>
      <c r="AC308" s="13">
        <v>0.14583299999999999</v>
      </c>
      <c r="AD308" s="110">
        <f t="shared" si="32"/>
        <v>44514</v>
      </c>
      <c r="AE308" s="13" t="e">
        <f>IF(AND(AD308&lt;=$AI$4,#REF!&lt;1),1,"")</f>
        <v>#REF!</v>
      </c>
      <c r="AF308" s="110">
        <f t="shared" ca="1" si="33"/>
        <v>44553</v>
      </c>
      <c r="AH308" s="13">
        <f t="shared" ca="1" si="34"/>
        <v>43</v>
      </c>
    </row>
    <row r="309" spans="1:34" x14ac:dyDescent="0.25">
      <c r="A309" s="13" t="s">
        <v>4</v>
      </c>
      <c r="B309" s="13" t="s">
        <v>4</v>
      </c>
      <c r="C309" s="13" t="s">
        <v>263</v>
      </c>
      <c r="D309" s="13" t="s">
        <v>264</v>
      </c>
      <c r="E309" s="13" t="s">
        <v>1179</v>
      </c>
      <c r="F309" s="13">
        <v>2</v>
      </c>
      <c r="G309" s="2" t="s">
        <v>264</v>
      </c>
      <c r="H309" s="13" t="s">
        <v>1</v>
      </c>
      <c r="I309" s="13" t="s">
        <v>140</v>
      </c>
      <c r="J309" s="13" t="s">
        <v>46</v>
      </c>
      <c r="K309" s="109">
        <v>44518</v>
      </c>
      <c r="L309" s="109">
        <v>44515</v>
      </c>
      <c r="Q309" s="13" t="str">
        <f t="shared" si="28"/>
        <v>BGTAACT000334CADENASNUTRESA</v>
      </c>
      <c r="T309" s="123">
        <f t="shared" si="29"/>
        <v>0</v>
      </c>
      <c r="U309" s="13">
        <f t="shared" si="30"/>
        <v>0</v>
      </c>
      <c r="V309" s="123">
        <f t="shared" si="31"/>
        <v>0</v>
      </c>
      <c r="X309" s="13">
        <v>30</v>
      </c>
      <c r="Y309" s="13">
        <v>40</v>
      </c>
      <c r="Z309" s="13">
        <v>150</v>
      </c>
      <c r="AA309" s="13">
        <v>180000</v>
      </c>
      <c r="AB309" s="13">
        <v>360000</v>
      </c>
      <c r="AC309" s="13">
        <v>0.25</v>
      </c>
      <c r="AD309" s="110">
        <f t="shared" si="32"/>
        <v>44522</v>
      </c>
      <c r="AE309" s="13" t="e">
        <f>IF(AND(AD309&lt;=$AI$4,#REF!&lt;1),1,"")</f>
        <v>#REF!</v>
      </c>
      <c r="AF309" s="110">
        <f t="shared" ca="1" si="33"/>
        <v>44553</v>
      </c>
      <c r="AH309" s="13">
        <f t="shared" ca="1" si="34"/>
        <v>35</v>
      </c>
    </row>
    <row r="310" spans="1:34" x14ac:dyDescent="0.25">
      <c r="A310" s="13" t="s">
        <v>4</v>
      </c>
      <c r="B310" s="13" t="s">
        <v>4</v>
      </c>
      <c r="C310" s="13" t="s">
        <v>406</v>
      </c>
      <c r="D310" s="13" t="s">
        <v>407</v>
      </c>
      <c r="E310" s="13" t="s">
        <v>725</v>
      </c>
      <c r="F310" s="13">
        <v>5</v>
      </c>
      <c r="G310" s="2" t="s">
        <v>408</v>
      </c>
      <c r="H310" s="13" t="s">
        <v>1</v>
      </c>
      <c r="I310" s="13" t="s">
        <v>140</v>
      </c>
      <c r="J310" s="13" t="s">
        <v>139</v>
      </c>
      <c r="K310" s="109">
        <v>44512</v>
      </c>
      <c r="L310" s="109">
        <v>44516</v>
      </c>
      <c r="Q310" s="13" t="str">
        <f t="shared" si="28"/>
        <v>BGTACRD024951CADENASNUTRESA</v>
      </c>
      <c r="T310" s="123">
        <f t="shared" si="29"/>
        <v>0</v>
      </c>
      <c r="U310" s="13">
        <f t="shared" si="30"/>
        <v>0</v>
      </c>
      <c r="V310" s="123">
        <f t="shared" si="31"/>
        <v>0</v>
      </c>
      <c r="X310" s="13">
        <v>1</v>
      </c>
      <c r="Y310" s="13">
        <v>40</v>
      </c>
      <c r="Z310" s="13">
        <v>170</v>
      </c>
      <c r="AA310" s="13">
        <v>6800</v>
      </c>
      <c r="AB310" s="13">
        <v>34000</v>
      </c>
      <c r="AC310" s="13">
        <v>2.3611E-2</v>
      </c>
      <c r="AD310" s="110">
        <f t="shared" si="32"/>
        <v>44516</v>
      </c>
      <c r="AE310" s="13" t="e">
        <f>IF(AND(AD310&lt;=$AI$4,#REF!&lt;1),1,"")</f>
        <v>#REF!</v>
      </c>
      <c r="AF310" s="110">
        <f t="shared" ca="1" si="33"/>
        <v>44553</v>
      </c>
      <c r="AH310" s="13">
        <f t="shared" ca="1" si="34"/>
        <v>41</v>
      </c>
    </row>
    <row r="311" spans="1:34" x14ac:dyDescent="0.25">
      <c r="A311" s="13" t="s">
        <v>5</v>
      </c>
      <c r="B311" s="13" t="s">
        <v>5</v>
      </c>
      <c r="C311" s="13" t="s">
        <v>406</v>
      </c>
      <c r="D311" s="13" t="s">
        <v>407</v>
      </c>
      <c r="E311" s="13" t="s">
        <v>725</v>
      </c>
      <c r="F311" s="13">
        <v>2</v>
      </c>
      <c r="G311" s="2" t="s">
        <v>408</v>
      </c>
      <c r="H311" s="13" t="s">
        <v>1</v>
      </c>
      <c r="I311" s="13" t="s">
        <v>140</v>
      </c>
      <c r="J311" s="13" t="s">
        <v>139</v>
      </c>
      <c r="K311" s="109">
        <v>44512</v>
      </c>
      <c r="L311" s="109">
        <v>44516</v>
      </c>
      <c r="Q311" s="13" t="str">
        <f t="shared" si="28"/>
        <v>BUCACRD024951CADENASNUTRESA</v>
      </c>
      <c r="T311" s="123">
        <f t="shared" si="29"/>
        <v>0</v>
      </c>
      <c r="U311" s="13">
        <f t="shared" si="30"/>
        <v>0</v>
      </c>
      <c r="V311" s="123">
        <f t="shared" si="31"/>
        <v>0</v>
      </c>
      <c r="X311" s="13">
        <v>1</v>
      </c>
      <c r="Y311" s="13">
        <v>40</v>
      </c>
      <c r="Z311" s="13">
        <v>170</v>
      </c>
      <c r="AA311" s="13">
        <v>6800</v>
      </c>
      <c r="AB311" s="13">
        <v>13600</v>
      </c>
      <c r="AC311" s="13">
        <v>9.4439999999999993E-3</v>
      </c>
      <c r="AD311" s="110">
        <f t="shared" si="32"/>
        <v>44516</v>
      </c>
      <c r="AE311" s="13" t="e">
        <f>IF(AND(AD311&lt;=$AI$4,#REF!&lt;1),1,"")</f>
        <v>#REF!</v>
      </c>
      <c r="AF311" s="110">
        <f t="shared" ca="1" si="33"/>
        <v>44553</v>
      </c>
      <c r="AH311" s="13">
        <f t="shared" ca="1" si="34"/>
        <v>41</v>
      </c>
    </row>
    <row r="312" spans="1:34" x14ac:dyDescent="0.25">
      <c r="A312" s="13" t="s">
        <v>9</v>
      </c>
      <c r="B312" s="13" t="s">
        <v>9</v>
      </c>
      <c r="C312" s="13" t="s">
        <v>406</v>
      </c>
      <c r="D312" s="13" t="s">
        <v>407</v>
      </c>
      <c r="E312" s="13" t="s">
        <v>725</v>
      </c>
      <c r="F312" s="13">
        <v>1</v>
      </c>
      <c r="G312" s="2" t="s">
        <v>408</v>
      </c>
      <c r="H312" s="13" t="s">
        <v>1</v>
      </c>
      <c r="I312" s="13" t="s">
        <v>140</v>
      </c>
      <c r="J312" s="13" t="s">
        <v>139</v>
      </c>
      <c r="K312" s="109">
        <v>44512</v>
      </c>
      <c r="L312" s="109">
        <v>44516</v>
      </c>
      <c r="Q312" s="13" t="str">
        <f t="shared" si="28"/>
        <v>MEDECRD024951CADENASNUTRESA</v>
      </c>
      <c r="T312" s="123">
        <f t="shared" si="29"/>
        <v>0</v>
      </c>
      <c r="U312" s="13">
        <f t="shared" si="30"/>
        <v>0</v>
      </c>
      <c r="V312" s="123">
        <f t="shared" si="31"/>
        <v>0</v>
      </c>
      <c r="X312" s="13">
        <v>1</v>
      </c>
      <c r="Y312" s="13">
        <v>40</v>
      </c>
      <c r="Z312" s="13">
        <v>170</v>
      </c>
      <c r="AA312" s="13">
        <v>6800</v>
      </c>
      <c r="AB312" s="13">
        <v>6800</v>
      </c>
      <c r="AC312" s="13">
        <v>4.7219999999999996E-3</v>
      </c>
      <c r="AD312" s="110">
        <f t="shared" si="32"/>
        <v>44516</v>
      </c>
      <c r="AE312" s="13" t="e">
        <f>IF(AND(AD312&lt;=$AI$4,#REF!&lt;1),1,"")</f>
        <v>#REF!</v>
      </c>
      <c r="AF312" s="110">
        <f t="shared" ca="1" si="33"/>
        <v>44553</v>
      </c>
      <c r="AH312" s="13">
        <f t="shared" ca="1" si="34"/>
        <v>41</v>
      </c>
    </row>
    <row r="313" spans="1:34" x14ac:dyDescent="0.25">
      <c r="A313" s="13" t="s">
        <v>3</v>
      </c>
      <c r="B313" s="13" t="s">
        <v>3</v>
      </c>
      <c r="C313" s="13" t="s">
        <v>411</v>
      </c>
      <c r="D313" s="13" t="s">
        <v>412</v>
      </c>
      <c r="E313" s="13" t="s">
        <v>728</v>
      </c>
      <c r="F313" s="13">
        <v>64</v>
      </c>
      <c r="G313" s="2" t="s">
        <v>413</v>
      </c>
      <c r="H313" s="13" t="s">
        <v>1</v>
      </c>
      <c r="I313" s="13" t="s">
        <v>140</v>
      </c>
      <c r="J313" s="13" t="s">
        <v>46</v>
      </c>
      <c r="K313" s="109">
        <v>44526</v>
      </c>
      <c r="L313" s="109">
        <v>44517</v>
      </c>
      <c r="Q313" s="13" t="str">
        <f t="shared" si="28"/>
        <v>BARRCRD024954CADENASNUTRESA</v>
      </c>
      <c r="T313" s="123">
        <f t="shared" si="29"/>
        <v>0</v>
      </c>
      <c r="U313" s="13">
        <f t="shared" si="30"/>
        <v>0</v>
      </c>
      <c r="V313" s="123">
        <f t="shared" si="31"/>
        <v>0</v>
      </c>
      <c r="X313" s="13">
        <v>90</v>
      </c>
      <c r="Y313" s="13">
        <v>16</v>
      </c>
      <c r="Z313" s="13">
        <v>0.5</v>
      </c>
      <c r="AA313" s="13">
        <v>3200</v>
      </c>
      <c r="AB313" s="13">
        <v>204800</v>
      </c>
      <c r="AC313" s="13">
        <v>0.14222199999999999</v>
      </c>
      <c r="AD313" s="110">
        <f t="shared" si="32"/>
        <v>44530</v>
      </c>
      <c r="AE313" s="13" t="e">
        <f>IF(AND(AD313&lt;=$AI$4,#REF!&lt;1),1,"")</f>
        <v>#REF!</v>
      </c>
      <c r="AF313" s="110">
        <f t="shared" ca="1" si="33"/>
        <v>44553</v>
      </c>
      <c r="AH313" s="13">
        <f t="shared" ca="1" si="34"/>
        <v>27</v>
      </c>
    </row>
    <row r="314" spans="1:34" x14ac:dyDescent="0.25">
      <c r="A314" s="13" t="s">
        <v>4</v>
      </c>
      <c r="B314" s="13" t="s">
        <v>4</v>
      </c>
      <c r="C314" s="13" t="s">
        <v>411</v>
      </c>
      <c r="D314" s="13" t="s">
        <v>412</v>
      </c>
      <c r="E314" s="13" t="s">
        <v>728</v>
      </c>
      <c r="F314" s="13">
        <v>30</v>
      </c>
      <c r="G314" s="2" t="s">
        <v>413</v>
      </c>
      <c r="H314" s="13" t="s">
        <v>1</v>
      </c>
      <c r="I314" s="13" t="s">
        <v>140</v>
      </c>
      <c r="J314" s="13" t="s">
        <v>46</v>
      </c>
      <c r="K314" s="109">
        <v>44526</v>
      </c>
      <c r="L314" s="109">
        <v>44517</v>
      </c>
      <c r="Q314" s="13" t="str">
        <f t="shared" si="28"/>
        <v>BGTACRD024954CADENASNUTRESA</v>
      </c>
      <c r="T314" s="123">
        <f t="shared" si="29"/>
        <v>0</v>
      </c>
      <c r="U314" s="13">
        <f t="shared" si="30"/>
        <v>0</v>
      </c>
      <c r="V314" s="123">
        <f t="shared" si="31"/>
        <v>0</v>
      </c>
      <c r="X314" s="13">
        <v>90</v>
      </c>
      <c r="Y314" s="13">
        <v>16</v>
      </c>
      <c r="Z314" s="13">
        <v>0.5</v>
      </c>
      <c r="AA314" s="13">
        <v>3200</v>
      </c>
      <c r="AB314" s="13">
        <v>96000</v>
      </c>
      <c r="AC314" s="13">
        <v>6.6667000000000004E-2</v>
      </c>
      <c r="AD314" s="110">
        <f t="shared" si="32"/>
        <v>44530</v>
      </c>
      <c r="AE314" s="13" t="e">
        <f>IF(AND(AD314&lt;=$AI$4,#REF!&lt;1),1,"")</f>
        <v>#REF!</v>
      </c>
      <c r="AF314" s="110">
        <f t="shared" ca="1" si="33"/>
        <v>44553</v>
      </c>
      <c r="AH314" s="13">
        <f t="shared" ca="1" si="34"/>
        <v>27</v>
      </c>
    </row>
    <row r="315" spans="1:34" x14ac:dyDescent="0.25">
      <c r="A315" s="13" t="s">
        <v>5</v>
      </c>
      <c r="B315" s="13" t="s">
        <v>5</v>
      </c>
      <c r="C315" s="13" t="s">
        <v>411</v>
      </c>
      <c r="D315" s="13" t="s">
        <v>412</v>
      </c>
      <c r="E315" s="13" t="s">
        <v>728</v>
      </c>
      <c r="F315" s="13">
        <v>10</v>
      </c>
      <c r="G315" s="2" t="s">
        <v>413</v>
      </c>
      <c r="H315" s="13" t="s">
        <v>1</v>
      </c>
      <c r="I315" s="13" t="s">
        <v>140</v>
      </c>
      <c r="J315" s="13" t="s">
        <v>46</v>
      </c>
      <c r="K315" s="109">
        <v>44526</v>
      </c>
      <c r="L315" s="109">
        <v>44517</v>
      </c>
      <c r="Q315" s="13" t="str">
        <f t="shared" si="28"/>
        <v>BUCACRD024954CADENASNUTRESA</v>
      </c>
      <c r="T315" s="123">
        <f t="shared" si="29"/>
        <v>0</v>
      </c>
      <c r="U315" s="13">
        <f t="shared" si="30"/>
        <v>0</v>
      </c>
      <c r="V315" s="123">
        <f t="shared" si="31"/>
        <v>0</v>
      </c>
      <c r="X315" s="13">
        <v>90</v>
      </c>
      <c r="Y315" s="13">
        <v>16</v>
      </c>
      <c r="Z315" s="13">
        <v>0.5</v>
      </c>
      <c r="AA315" s="13">
        <v>3200</v>
      </c>
      <c r="AB315" s="13">
        <v>32000</v>
      </c>
      <c r="AC315" s="13">
        <v>2.2221999999999999E-2</v>
      </c>
      <c r="AD315" s="110">
        <f t="shared" si="32"/>
        <v>44530</v>
      </c>
      <c r="AE315" s="13" t="e">
        <f>IF(AND(AD315&lt;=$AI$4,#REF!&lt;1),1,"")</f>
        <v>#REF!</v>
      </c>
      <c r="AF315" s="110">
        <f t="shared" ca="1" si="33"/>
        <v>44553</v>
      </c>
      <c r="AH315" s="13">
        <f t="shared" ca="1" si="34"/>
        <v>27</v>
      </c>
    </row>
    <row r="316" spans="1:34" x14ac:dyDescent="0.25">
      <c r="A316" s="13" t="s">
        <v>6</v>
      </c>
      <c r="B316" s="13" t="s">
        <v>6</v>
      </c>
      <c r="C316" s="13" t="s">
        <v>411</v>
      </c>
      <c r="D316" s="13" t="s">
        <v>412</v>
      </c>
      <c r="E316" s="13" t="s">
        <v>728</v>
      </c>
      <c r="F316" s="13">
        <v>6</v>
      </c>
      <c r="G316" s="2" t="s">
        <v>413</v>
      </c>
      <c r="H316" s="13" t="s">
        <v>1</v>
      </c>
      <c r="I316" s="13" t="s">
        <v>140</v>
      </c>
      <c r="J316" s="13" t="s">
        <v>46</v>
      </c>
      <c r="K316" s="109">
        <v>44526</v>
      </c>
      <c r="L316" s="109">
        <v>44517</v>
      </c>
      <c r="Q316" s="13" t="str">
        <f t="shared" si="28"/>
        <v>CALICRD024954CADENASNUTRESA</v>
      </c>
      <c r="T316" s="123">
        <f t="shared" si="29"/>
        <v>0</v>
      </c>
      <c r="U316" s="13">
        <f t="shared" si="30"/>
        <v>0</v>
      </c>
      <c r="V316" s="123">
        <f t="shared" si="31"/>
        <v>0</v>
      </c>
      <c r="X316" s="13">
        <v>90</v>
      </c>
      <c r="Y316" s="13">
        <v>16</v>
      </c>
      <c r="Z316" s="13">
        <v>0.5</v>
      </c>
      <c r="AA316" s="13">
        <v>3200</v>
      </c>
      <c r="AB316" s="13">
        <v>19200</v>
      </c>
      <c r="AC316" s="13">
        <v>1.3332999999999999E-2</v>
      </c>
      <c r="AD316" s="110">
        <f t="shared" si="32"/>
        <v>44530</v>
      </c>
      <c r="AE316" s="13" t="e">
        <f>IF(AND(AD316&lt;=$AI$4,#REF!&lt;1),1,"")</f>
        <v>#REF!</v>
      </c>
      <c r="AF316" s="110">
        <f t="shared" ca="1" si="33"/>
        <v>44553</v>
      </c>
      <c r="AH316" s="13">
        <f t="shared" ca="1" si="34"/>
        <v>27</v>
      </c>
    </row>
    <row r="317" spans="1:34" x14ac:dyDescent="0.25">
      <c r="A317" s="13" t="s">
        <v>8</v>
      </c>
      <c r="B317" s="13" t="s">
        <v>8</v>
      </c>
      <c r="C317" s="13" t="s">
        <v>411</v>
      </c>
      <c r="D317" s="13" t="s">
        <v>412</v>
      </c>
      <c r="E317" s="13" t="s">
        <v>728</v>
      </c>
      <c r="F317" s="13">
        <v>8</v>
      </c>
      <c r="G317" s="2" t="s">
        <v>413</v>
      </c>
      <c r="H317" s="13" t="s">
        <v>1</v>
      </c>
      <c r="I317" s="13" t="s">
        <v>140</v>
      </c>
      <c r="J317" s="13" t="s">
        <v>46</v>
      </c>
      <c r="K317" s="109">
        <v>44526</v>
      </c>
      <c r="L317" s="109">
        <v>44517</v>
      </c>
      <c r="Q317" s="13" t="str">
        <f t="shared" si="28"/>
        <v>IBA1CRD024954CADENASNUTRESA</v>
      </c>
      <c r="T317" s="123">
        <f t="shared" si="29"/>
        <v>0</v>
      </c>
      <c r="U317" s="13">
        <f t="shared" si="30"/>
        <v>0</v>
      </c>
      <c r="V317" s="123">
        <f t="shared" si="31"/>
        <v>0</v>
      </c>
      <c r="X317" s="13">
        <v>90</v>
      </c>
      <c r="Y317" s="13">
        <v>16</v>
      </c>
      <c r="Z317" s="13">
        <v>0.5</v>
      </c>
      <c r="AA317" s="13">
        <v>3200</v>
      </c>
      <c r="AB317" s="13">
        <v>25600</v>
      </c>
      <c r="AC317" s="13">
        <v>1.7777999999999999E-2</v>
      </c>
      <c r="AD317" s="110">
        <f t="shared" si="32"/>
        <v>44530</v>
      </c>
      <c r="AE317" s="13" t="e">
        <f>IF(AND(AD317&lt;=$AI$4,#REF!&lt;1),1,"")</f>
        <v>#REF!</v>
      </c>
      <c r="AF317" s="110">
        <f t="shared" ca="1" si="33"/>
        <v>44553</v>
      </c>
      <c r="AH317" s="13">
        <f t="shared" ca="1" si="34"/>
        <v>27</v>
      </c>
    </row>
    <row r="318" spans="1:34" x14ac:dyDescent="0.25">
      <c r="A318" s="13" t="s">
        <v>9</v>
      </c>
      <c r="B318" s="13" t="s">
        <v>9</v>
      </c>
      <c r="C318" s="13" t="s">
        <v>411</v>
      </c>
      <c r="D318" s="13" t="s">
        <v>412</v>
      </c>
      <c r="E318" s="13" t="s">
        <v>728</v>
      </c>
      <c r="F318" s="13">
        <v>10</v>
      </c>
      <c r="G318" s="2" t="s">
        <v>413</v>
      </c>
      <c r="H318" s="13" t="s">
        <v>1</v>
      </c>
      <c r="I318" s="13" t="s">
        <v>140</v>
      </c>
      <c r="J318" s="13" t="s">
        <v>46</v>
      </c>
      <c r="K318" s="109">
        <v>44526</v>
      </c>
      <c r="L318" s="109">
        <v>44517</v>
      </c>
      <c r="Q318" s="13" t="str">
        <f t="shared" si="28"/>
        <v>MEDECRD024954CADENASNUTRESA</v>
      </c>
      <c r="T318" s="123">
        <f t="shared" si="29"/>
        <v>0</v>
      </c>
      <c r="U318" s="13">
        <f t="shared" si="30"/>
        <v>0</v>
      </c>
      <c r="V318" s="123">
        <f t="shared" si="31"/>
        <v>0</v>
      </c>
      <c r="X318" s="13">
        <v>90</v>
      </c>
      <c r="Y318" s="13">
        <v>16</v>
      </c>
      <c r="Z318" s="13">
        <v>0.5</v>
      </c>
      <c r="AA318" s="13">
        <v>3200</v>
      </c>
      <c r="AB318" s="13">
        <v>32000</v>
      </c>
      <c r="AC318" s="13">
        <v>2.2221999999999999E-2</v>
      </c>
      <c r="AD318" s="110">
        <f t="shared" si="32"/>
        <v>44530</v>
      </c>
      <c r="AE318" s="13" t="e">
        <f>IF(AND(AD318&lt;=$AI$4,#REF!&lt;1),1,"")</f>
        <v>#REF!</v>
      </c>
      <c r="AF318" s="110">
        <f t="shared" ca="1" si="33"/>
        <v>44553</v>
      </c>
      <c r="AH318" s="13">
        <f t="shared" ca="1" si="34"/>
        <v>27</v>
      </c>
    </row>
    <row r="319" spans="1:34" x14ac:dyDescent="0.25">
      <c r="A319" s="13" t="s">
        <v>4</v>
      </c>
      <c r="B319" s="13" t="s">
        <v>4</v>
      </c>
      <c r="C319" s="13" t="s">
        <v>345</v>
      </c>
      <c r="D319" s="13" t="s">
        <v>346</v>
      </c>
      <c r="E319" s="13" t="s">
        <v>723</v>
      </c>
      <c r="F319" s="13">
        <v>8</v>
      </c>
      <c r="G319" s="2" t="s">
        <v>346</v>
      </c>
      <c r="H319" s="13" t="s">
        <v>1</v>
      </c>
      <c r="I319" s="13" t="s">
        <v>140</v>
      </c>
      <c r="J319" s="13" t="s">
        <v>46</v>
      </c>
      <c r="K319" s="109">
        <v>44491</v>
      </c>
      <c r="L319" s="109">
        <v>44501</v>
      </c>
      <c r="P319" s="110">
        <v>44497</v>
      </c>
      <c r="Q319" s="13" t="str">
        <f t="shared" si="28"/>
        <v>BGTACRD024590CADENASNUTRESA</v>
      </c>
      <c r="R319" s="2">
        <v>8</v>
      </c>
      <c r="S319" s="13">
        <v>8</v>
      </c>
      <c r="T319" s="123">
        <f t="shared" si="29"/>
        <v>1</v>
      </c>
      <c r="U319" s="13">
        <f t="shared" si="30"/>
        <v>0</v>
      </c>
      <c r="V319" s="123">
        <f t="shared" si="31"/>
        <v>0</v>
      </c>
      <c r="X319" s="13">
        <v>116</v>
      </c>
      <c r="Y319" s="13">
        <v>39</v>
      </c>
      <c r="Z319" s="13">
        <v>1</v>
      </c>
      <c r="AA319" s="13">
        <v>12537.75</v>
      </c>
      <c r="AB319" s="13">
        <v>100302</v>
      </c>
      <c r="AC319" s="13">
        <v>6.9653999999999994E-2</v>
      </c>
      <c r="AD319" s="110">
        <f t="shared" si="32"/>
        <v>44495</v>
      </c>
      <c r="AE319" s="13" t="e">
        <f>IF(AND(AD319&lt;=$AI$4,#REF!&lt;1),1,"")</f>
        <v>#REF!</v>
      </c>
      <c r="AF319" s="110">
        <f t="shared" ca="1" si="33"/>
        <v>44553</v>
      </c>
      <c r="AH319" s="13">
        <f t="shared" ca="1" si="34"/>
        <v>62</v>
      </c>
    </row>
    <row r="320" spans="1:34" x14ac:dyDescent="0.25">
      <c r="A320" s="13" t="s">
        <v>7</v>
      </c>
      <c r="B320" s="13" t="s">
        <v>7</v>
      </c>
      <c r="C320" s="13" t="s">
        <v>345</v>
      </c>
      <c r="D320" s="13" t="s">
        <v>346</v>
      </c>
      <c r="E320" s="13" t="s">
        <v>723</v>
      </c>
      <c r="F320" s="13">
        <v>1</v>
      </c>
      <c r="G320" s="2" t="s">
        <v>346</v>
      </c>
      <c r="H320" s="13" t="s">
        <v>1</v>
      </c>
      <c r="I320" s="13" t="s">
        <v>140</v>
      </c>
      <c r="J320" s="13" t="s">
        <v>46</v>
      </c>
      <c r="K320" s="109">
        <v>44491</v>
      </c>
      <c r="L320" s="109">
        <v>44501</v>
      </c>
      <c r="P320" s="110">
        <v>44497</v>
      </c>
      <c r="Q320" s="13" t="str">
        <f t="shared" si="28"/>
        <v>CARTCRD024590CADENASNUTRESA</v>
      </c>
      <c r="R320" s="2">
        <v>1</v>
      </c>
      <c r="S320" s="13">
        <v>1</v>
      </c>
      <c r="T320" s="123">
        <f t="shared" si="29"/>
        <v>1</v>
      </c>
      <c r="U320" s="13">
        <f t="shared" si="30"/>
        <v>0</v>
      </c>
      <c r="V320" s="123">
        <f t="shared" si="31"/>
        <v>0</v>
      </c>
      <c r="X320" s="13">
        <v>116</v>
      </c>
      <c r="Y320" s="13">
        <v>39</v>
      </c>
      <c r="Z320" s="13">
        <v>1</v>
      </c>
      <c r="AA320" s="13">
        <v>12537.75</v>
      </c>
      <c r="AB320" s="13">
        <v>12537.75</v>
      </c>
      <c r="AC320" s="13">
        <v>8.7069999999999995E-3</v>
      </c>
      <c r="AD320" s="110">
        <f t="shared" si="32"/>
        <v>44495</v>
      </c>
      <c r="AE320" s="13" t="e">
        <f>IF(AND(AD320&lt;=$AI$4,#REF!&lt;1),1,"")</f>
        <v>#REF!</v>
      </c>
      <c r="AF320" s="110">
        <f t="shared" ca="1" si="33"/>
        <v>44553</v>
      </c>
      <c r="AH320" s="13">
        <f t="shared" ca="1" si="34"/>
        <v>62</v>
      </c>
    </row>
    <row r="321" spans="1:34" x14ac:dyDescent="0.25">
      <c r="A321" s="13" t="s">
        <v>8</v>
      </c>
      <c r="B321" s="13" t="s">
        <v>8</v>
      </c>
      <c r="C321" s="13" t="s">
        <v>345</v>
      </c>
      <c r="D321" s="13" t="s">
        <v>346</v>
      </c>
      <c r="E321" s="13" t="s">
        <v>723</v>
      </c>
      <c r="F321" s="13">
        <v>1</v>
      </c>
      <c r="G321" s="2" t="s">
        <v>346</v>
      </c>
      <c r="H321" s="13" t="s">
        <v>1</v>
      </c>
      <c r="I321" s="13" t="s">
        <v>140</v>
      </c>
      <c r="J321" s="13" t="s">
        <v>46</v>
      </c>
      <c r="K321" s="109">
        <v>44491</v>
      </c>
      <c r="L321" s="109">
        <v>44501</v>
      </c>
      <c r="P321" s="110">
        <v>44497</v>
      </c>
      <c r="Q321" s="13" t="str">
        <f t="shared" si="28"/>
        <v>IBA1CRD024590CADENASNUTRESA</v>
      </c>
      <c r="R321" s="2">
        <v>1</v>
      </c>
      <c r="S321" s="13">
        <v>1</v>
      </c>
      <c r="T321" s="123">
        <f t="shared" si="29"/>
        <v>1</v>
      </c>
      <c r="U321" s="13">
        <f t="shared" si="30"/>
        <v>0</v>
      </c>
      <c r="V321" s="123">
        <f t="shared" si="31"/>
        <v>0</v>
      </c>
      <c r="X321" s="13">
        <v>116</v>
      </c>
      <c r="Y321" s="13">
        <v>39</v>
      </c>
      <c r="Z321" s="13">
        <v>1</v>
      </c>
      <c r="AA321" s="13">
        <v>12537.75</v>
      </c>
      <c r="AB321" s="13">
        <v>12537.75</v>
      </c>
      <c r="AC321" s="13">
        <v>8.7069999999999995E-3</v>
      </c>
      <c r="AD321" s="110">
        <f t="shared" si="32"/>
        <v>44495</v>
      </c>
      <c r="AE321" s="13" t="e">
        <f>IF(AND(AD321&lt;=$AI$4,#REF!&lt;1),1,"")</f>
        <v>#REF!</v>
      </c>
      <c r="AF321" s="110">
        <f t="shared" ca="1" si="33"/>
        <v>44553</v>
      </c>
      <c r="AH321" s="13">
        <f t="shared" ca="1" si="34"/>
        <v>62</v>
      </c>
    </row>
    <row r="322" spans="1:34" x14ac:dyDescent="0.25">
      <c r="A322" s="13" t="s">
        <v>9</v>
      </c>
      <c r="B322" s="13" t="s">
        <v>9</v>
      </c>
      <c r="C322" s="13" t="s">
        <v>345</v>
      </c>
      <c r="D322" s="13" t="s">
        <v>346</v>
      </c>
      <c r="E322" s="13" t="s">
        <v>723</v>
      </c>
      <c r="F322" s="13">
        <v>11</v>
      </c>
      <c r="G322" s="2" t="s">
        <v>346</v>
      </c>
      <c r="H322" s="13" t="s">
        <v>1</v>
      </c>
      <c r="I322" s="13" t="s">
        <v>140</v>
      </c>
      <c r="J322" s="13" t="s">
        <v>46</v>
      </c>
      <c r="K322" s="109">
        <v>44491</v>
      </c>
      <c r="L322" s="109">
        <v>44501</v>
      </c>
      <c r="P322" s="110">
        <v>44497</v>
      </c>
      <c r="Q322" s="13" t="str">
        <f t="shared" si="28"/>
        <v>MEDECRD024590CADENASNUTRESA</v>
      </c>
      <c r="R322" s="2">
        <v>11</v>
      </c>
      <c r="S322" s="13">
        <v>11</v>
      </c>
      <c r="T322" s="123">
        <f t="shared" si="29"/>
        <v>1</v>
      </c>
      <c r="U322" s="13">
        <f t="shared" si="30"/>
        <v>0</v>
      </c>
      <c r="V322" s="123">
        <f t="shared" si="31"/>
        <v>0</v>
      </c>
      <c r="X322" s="13">
        <v>116</v>
      </c>
      <c r="Y322" s="13">
        <v>39</v>
      </c>
      <c r="Z322" s="13">
        <v>1</v>
      </c>
      <c r="AA322" s="13">
        <v>12537.75</v>
      </c>
      <c r="AB322" s="13">
        <v>137915.25</v>
      </c>
      <c r="AC322" s="13">
        <v>9.5773999999999998E-2</v>
      </c>
      <c r="AD322" s="110">
        <f t="shared" si="32"/>
        <v>44495</v>
      </c>
      <c r="AE322" s="13" t="e">
        <f>IF(AND(AD322&lt;=$AI$4,#REF!&lt;1),1,"")</f>
        <v>#REF!</v>
      </c>
      <c r="AF322" s="110">
        <f t="shared" ca="1" si="33"/>
        <v>44553</v>
      </c>
      <c r="AH322" s="13">
        <f t="shared" ca="1" si="34"/>
        <v>62</v>
      </c>
    </row>
    <row r="323" spans="1:34" x14ac:dyDescent="0.25">
      <c r="A323" s="13" t="s">
        <v>10</v>
      </c>
      <c r="B323" s="13" t="s">
        <v>10</v>
      </c>
      <c r="C323" s="13" t="s">
        <v>345</v>
      </c>
      <c r="D323" s="13" t="s">
        <v>346</v>
      </c>
      <c r="E323" s="13" t="s">
        <v>723</v>
      </c>
      <c r="F323" s="13">
        <v>2</v>
      </c>
      <c r="G323" s="2" t="s">
        <v>346</v>
      </c>
      <c r="H323" s="13" t="s">
        <v>1</v>
      </c>
      <c r="I323" s="13" t="s">
        <v>140</v>
      </c>
      <c r="J323" s="13" t="s">
        <v>46</v>
      </c>
      <c r="K323" s="109">
        <v>44491</v>
      </c>
      <c r="L323" s="109">
        <v>44501</v>
      </c>
      <c r="P323" s="110">
        <v>44497</v>
      </c>
      <c r="Q323" s="13" t="str">
        <f t="shared" ref="Q323:Q386" si="35">+CONCATENATE(B323,C323,H323,I323)</f>
        <v>PERECRD024590CADENASNUTRESA</v>
      </c>
      <c r="R323" s="2">
        <v>2</v>
      </c>
      <c r="S323" s="13">
        <v>2</v>
      </c>
      <c r="T323" s="123">
        <f t="shared" ref="T323:T386" si="36">IFERROR(R323/F323,0)</f>
        <v>1</v>
      </c>
      <c r="U323" s="13">
        <f t="shared" ref="U323:U386" si="37">R323-S323</f>
        <v>0</v>
      </c>
      <c r="V323" s="123">
        <f t="shared" ref="V323:V386" si="38">IFERROR(U323/R323,0)</f>
        <v>0</v>
      </c>
      <c r="X323" s="13">
        <v>116</v>
      </c>
      <c r="Y323" s="13">
        <v>39</v>
      </c>
      <c r="Z323" s="13">
        <v>1</v>
      </c>
      <c r="AA323" s="13">
        <v>12537.75</v>
      </c>
      <c r="AB323" s="13">
        <v>25075.5</v>
      </c>
      <c r="AC323" s="13">
        <v>1.7413999999999999E-2</v>
      </c>
      <c r="AD323" s="110">
        <f t="shared" ref="AD323:AD386" si="39">K323+4</f>
        <v>44495</v>
      </c>
      <c r="AE323" s="13" t="e">
        <f>IF(AND(AD323&lt;=$AI$4,#REF!&lt;1),1,"")</f>
        <v>#REF!</v>
      </c>
      <c r="AF323" s="110">
        <f t="shared" ref="AF323:AF386" ca="1" si="40">TODAY()</f>
        <v>44553</v>
      </c>
      <c r="AH323" s="13">
        <f t="shared" ref="AH323:AH386" ca="1" si="41">AF323-K323</f>
        <v>62</v>
      </c>
    </row>
    <row r="324" spans="1:34" x14ac:dyDescent="0.25">
      <c r="A324" s="13" t="s">
        <v>4</v>
      </c>
      <c r="B324" s="13" t="s">
        <v>4</v>
      </c>
      <c r="C324" s="13" t="s">
        <v>345</v>
      </c>
      <c r="D324" s="13" t="s">
        <v>346</v>
      </c>
      <c r="E324" s="13" t="s">
        <v>723</v>
      </c>
      <c r="F324" s="13">
        <v>9</v>
      </c>
      <c r="G324" s="2" t="s">
        <v>346</v>
      </c>
      <c r="H324" s="13" t="s">
        <v>1</v>
      </c>
      <c r="I324" s="13" t="s">
        <v>140</v>
      </c>
      <c r="J324" s="13" t="s">
        <v>46</v>
      </c>
      <c r="K324" s="109">
        <v>44491</v>
      </c>
      <c r="L324" s="109">
        <v>44501</v>
      </c>
      <c r="Q324" s="13" t="str">
        <f t="shared" si="35"/>
        <v>BGTACRD024590CADENASNUTRESA</v>
      </c>
      <c r="T324" s="123">
        <f t="shared" si="36"/>
        <v>0</v>
      </c>
      <c r="U324" s="13">
        <f t="shared" si="37"/>
        <v>0</v>
      </c>
      <c r="V324" s="123">
        <f t="shared" si="38"/>
        <v>0</v>
      </c>
      <c r="X324" s="13">
        <v>116</v>
      </c>
      <c r="Y324" s="13">
        <v>39</v>
      </c>
      <c r="Z324" s="13">
        <v>1</v>
      </c>
      <c r="AA324" s="13">
        <v>12537.75</v>
      </c>
      <c r="AB324" s="13">
        <v>112839.75</v>
      </c>
      <c r="AC324" s="13">
        <v>7.8361E-2</v>
      </c>
      <c r="AD324" s="110">
        <f t="shared" si="39"/>
        <v>44495</v>
      </c>
      <c r="AE324" s="13" t="e">
        <f>IF(AND(AD324&lt;=$AI$4,#REF!&lt;1),1,"")</f>
        <v>#REF!</v>
      </c>
      <c r="AF324" s="110">
        <f t="shared" ca="1" si="40"/>
        <v>44553</v>
      </c>
      <c r="AH324" s="13">
        <f t="shared" ca="1" si="41"/>
        <v>62</v>
      </c>
    </row>
    <row r="325" spans="1:34" x14ac:dyDescent="0.25">
      <c r="A325" s="13" t="s">
        <v>5</v>
      </c>
      <c r="B325" s="13" t="s">
        <v>5</v>
      </c>
      <c r="C325" s="13" t="s">
        <v>345</v>
      </c>
      <c r="D325" s="13" t="s">
        <v>346</v>
      </c>
      <c r="E325" s="13" t="s">
        <v>723</v>
      </c>
      <c r="F325" s="13">
        <v>1</v>
      </c>
      <c r="G325" s="2" t="s">
        <v>346</v>
      </c>
      <c r="H325" s="13" t="s">
        <v>1</v>
      </c>
      <c r="I325" s="13" t="s">
        <v>140</v>
      </c>
      <c r="J325" s="13" t="s">
        <v>46</v>
      </c>
      <c r="K325" s="109">
        <v>44491</v>
      </c>
      <c r="L325" s="109">
        <v>44501</v>
      </c>
      <c r="Q325" s="13" t="str">
        <f t="shared" si="35"/>
        <v>BUCACRD024590CADENASNUTRESA</v>
      </c>
      <c r="T325" s="123">
        <f t="shared" si="36"/>
        <v>0</v>
      </c>
      <c r="U325" s="13">
        <f t="shared" si="37"/>
        <v>0</v>
      </c>
      <c r="V325" s="123">
        <f t="shared" si="38"/>
        <v>0</v>
      </c>
      <c r="X325" s="13">
        <v>116</v>
      </c>
      <c r="Y325" s="13">
        <v>39</v>
      </c>
      <c r="Z325" s="13">
        <v>1</v>
      </c>
      <c r="AA325" s="13">
        <v>12537.75</v>
      </c>
      <c r="AB325" s="13">
        <v>12537.75</v>
      </c>
      <c r="AC325" s="13">
        <v>8.7069999999999995E-3</v>
      </c>
      <c r="AD325" s="110">
        <f t="shared" si="39"/>
        <v>44495</v>
      </c>
      <c r="AE325" s="13" t="e">
        <f>IF(AND(AD325&lt;=$AI$4,#REF!&lt;1),1,"")</f>
        <v>#REF!</v>
      </c>
      <c r="AF325" s="110">
        <f t="shared" ca="1" si="40"/>
        <v>44553</v>
      </c>
      <c r="AH325" s="13">
        <f t="shared" ca="1" si="41"/>
        <v>62</v>
      </c>
    </row>
    <row r="326" spans="1:34" x14ac:dyDescent="0.25">
      <c r="A326" s="13" t="s">
        <v>6</v>
      </c>
      <c r="B326" s="13" t="s">
        <v>6</v>
      </c>
      <c r="C326" s="13" t="s">
        <v>345</v>
      </c>
      <c r="D326" s="13" t="s">
        <v>346</v>
      </c>
      <c r="E326" s="13" t="s">
        <v>723</v>
      </c>
      <c r="F326" s="13">
        <v>2</v>
      </c>
      <c r="G326" s="2" t="s">
        <v>346</v>
      </c>
      <c r="H326" s="13" t="s">
        <v>1</v>
      </c>
      <c r="I326" s="13" t="s">
        <v>140</v>
      </c>
      <c r="J326" s="13" t="s">
        <v>46</v>
      </c>
      <c r="K326" s="109">
        <v>44491</v>
      </c>
      <c r="L326" s="109">
        <v>44501</v>
      </c>
      <c r="Q326" s="13" t="str">
        <f t="shared" si="35"/>
        <v>CALICRD024590CADENASNUTRESA</v>
      </c>
      <c r="T326" s="123">
        <f t="shared" si="36"/>
        <v>0</v>
      </c>
      <c r="U326" s="13">
        <f t="shared" si="37"/>
        <v>0</v>
      </c>
      <c r="V326" s="123">
        <f t="shared" si="38"/>
        <v>0</v>
      </c>
      <c r="X326" s="13">
        <v>116</v>
      </c>
      <c r="Y326" s="13">
        <v>39</v>
      </c>
      <c r="Z326" s="13">
        <v>1</v>
      </c>
      <c r="AA326" s="13">
        <v>12537.75</v>
      </c>
      <c r="AB326" s="13">
        <v>25075.5</v>
      </c>
      <c r="AC326" s="13">
        <v>1.7413999999999999E-2</v>
      </c>
      <c r="AD326" s="110">
        <f t="shared" si="39"/>
        <v>44495</v>
      </c>
      <c r="AE326" s="13" t="e">
        <f>IF(AND(AD326&lt;=$AI$4,#REF!&lt;1),1,"")</f>
        <v>#REF!</v>
      </c>
      <c r="AF326" s="110">
        <f t="shared" ca="1" si="40"/>
        <v>44553</v>
      </c>
      <c r="AH326" s="13">
        <f t="shared" ca="1" si="41"/>
        <v>62</v>
      </c>
    </row>
    <row r="327" spans="1:34" x14ac:dyDescent="0.25">
      <c r="A327" s="13" t="s">
        <v>9</v>
      </c>
      <c r="B327" s="13" t="s">
        <v>9</v>
      </c>
      <c r="C327" s="13" t="s">
        <v>345</v>
      </c>
      <c r="D327" s="13" t="s">
        <v>346</v>
      </c>
      <c r="E327" s="13" t="s">
        <v>723</v>
      </c>
      <c r="F327" s="13">
        <v>3</v>
      </c>
      <c r="G327" s="2" t="s">
        <v>346</v>
      </c>
      <c r="H327" s="13" t="s">
        <v>1</v>
      </c>
      <c r="I327" s="13" t="s">
        <v>140</v>
      </c>
      <c r="J327" s="13" t="s">
        <v>46</v>
      </c>
      <c r="K327" s="109">
        <v>44491</v>
      </c>
      <c r="L327" s="109">
        <v>44501</v>
      </c>
      <c r="Q327" s="13" t="str">
        <f t="shared" si="35"/>
        <v>MEDECRD024590CADENASNUTRESA</v>
      </c>
      <c r="T327" s="123">
        <f t="shared" si="36"/>
        <v>0</v>
      </c>
      <c r="U327" s="13">
        <f t="shared" si="37"/>
        <v>0</v>
      </c>
      <c r="V327" s="123">
        <f t="shared" si="38"/>
        <v>0</v>
      </c>
      <c r="X327" s="13">
        <v>116</v>
      </c>
      <c r="Y327" s="13">
        <v>39</v>
      </c>
      <c r="Z327" s="13">
        <v>1</v>
      </c>
      <c r="AA327" s="13">
        <v>12537.75</v>
      </c>
      <c r="AB327" s="13">
        <v>37613.25</v>
      </c>
      <c r="AC327" s="13">
        <v>2.6120000000000001E-2</v>
      </c>
      <c r="AD327" s="110">
        <f t="shared" si="39"/>
        <v>44495</v>
      </c>
      <c r="AE327" s="13" t="e">
        <f>IF(AND(AD327&lt;=$AI$4,#REF!&lt;1),1,"")</f>
        <v>#REF!</v>
      </c>
      <c r="AF327" s="110">
        <f t="shared" ca="1" si="40"/>
        <v>44553</v>
      </c>
      <c r="AH327" s="13">
        <f t="shared" ca="1" si="41"/>
        <v>62</v>
      </c>
    </row>
    <row r="328" spans="1:34" x14ac:dyDescent="0.25">
      <c r="A328" s="13" t="s">
        <v>6</v>
      </c>
      <c r="B328" s="13" t="s">
        <v>6</v>
      </c>
      <c r="C328" s="13" t="s">
        <v>1177</v>
      </c>
      <c r="D328" s="13" t="s">
        <v>1178</v>
      </c>
      <c r="E328" s="13" t="s">
        <v>1179</v>
      </c>
      <c r="F328" s="13">
        <v>6</v>
      </c>
      <c r="G328" s="2" t="s">
        <v>1178</v>
      </c>
      <c r="H328" s="13" t="s">
        <v>1</v>
      </c>
      <c r="I328" s="13" t="s">
        <v>140</v>
      </c>
      <c r="J328" s="13" t="s">
        <v>139</v>
      </c>
      <c r="K328" s="109">
        <v>44516</v>
      </c>
      <c r="L328" s="109">
        <v>44501</v>
      </c>
      <c r="Q328" s="13" t="str">
        <f t="shared" si="35"/>
        <v>CALICRD024906CADENASNUTRESA</v>
      </c>
      <c r="T328" s="123">
        <f t="shared" si="36"/>
        <v>0</v>
      </c>
      <c r="U328" s="13">
        <f t="shared" si="37"/>
        <v>0</v>
      </c>
      <c r="V328" s="123">
        <f t="shared" si="38"/>
        <v>0</v>
      </c>
      <c r="X328" s="13">
        <v>0.1</v>
      </c>
      <c r="Y328" s="13">
        <v>40.5</v>
      </c>
      <c r="Z328" s="13">
        <v>115</v>
      </c>
      <c r="AA328" s="13">
        <v>37500</v>
      </c>
      <c r="AB328" s="13">
        <v>225000</v>
      </c>
      <c r="AC328" s="13">
        <v>0.15625</v>
      </c>
      <c r="AD328" s="110">
        <f t="shared" si="39"/>
        <v>44520</v>
      </c>
      <c r="AE328" s="13" t="e">
        <f>IF(AND(AD328&lt;=$AI$4,#REF!&lt;1),1,"")</f>
        <v>#REF!</v>
      </c>
      <c r="AF328" s="110">
        <f t="shared" ca="1" si="40"/>
        <v>44553</v>
      </c>
      <c r="AH328" s="13">
        <f t="shared" ca="1" si="41"/>
        <v>37</v>
      </c>
    </row>
    <row r="329" spans="1:34" s="129" customFormat="1" x14ac:dyDescent="0.25">
      <c r="A329" s="129" t="s">
        <v>3</v>
      </c>
      <c r="B329" s="129" t="s">
        <v>3</v>
      </c>
      <c r="C329" s="129" t="s">
        <v>1193</v>
      </c>
      <c r="D329" s="129" t="s">
        <v>1194</v>
      </c>
      <c r="E329" s="129" t="s">
        <v>723</v>
      </c>
      <c r="F329" s="129">
        <v>1</v>
      </c>
      <c r="G329" s="130" t="s">
        <v>1195</v>
      </c>
      <c r="H329" s="129" t="s">
        <v>1</v>
      </c>
      <c r="I329" s="129" t="s">
        <v>140</v>
      </c>
      <c r="J329" s="129" t="s">
        <v>139</v>
      </c>
      <c r="K329" s="131">
        <v>44559</v>
      </c>
      <c r="L329" s="131"/>
      <c r="M329" s="132"/>
      <c r="N329" s="133"/>
      <c r="O329" s="133"/>
      <c r="Q329" s="13" t="str">
        <f t="shared" si="35"/>
        <v>BARRCRD025035CADENASNUTRESA</v>
      </c>
      <c r="R329" s="130"/>
      <c r="T329" s="123">
        <f t="shared" si="36"/>
        <v>0</v>
      </c>
      <c r="U329" s="13">
        <f t="shared" si="37"/>
        <v>0</v>
      </c>
      <c r="V329" s="123">
        <f t="shared" si="38"/>
        <v>0</v>
      </c>
      <c r="X329" s="129">
        <v>5</v>
      </c>
      <c r="Y329" s="129">
        <v>100</v>
      </c>
      <c r="Z329" s="129">
        <v>200</v>
      </c>
      <c r="AD329" s="110">
        <f t="shared" si="39"/>
        <v>44563</v>
      </c>
      <c r="AE329" s="13" t="e">
        <f>IF(AND(AD329&lt;=$AI$4,#REF!&lt;1),1,"")</f>
        <v>#REF!</v>
      </c>
      <c r="AF329" s="110">
        <f t="shared" ca="1" si="40"/>
        <v>44553</v>
      </c>
      <c r="AH329" s="13">
        <f t="shared" ca="1" si="41"/>
        <v>-6</v>
      </c>
    </row>
    <row r="330" spans="1:34" x14ac:dyDescent="0.25">
      <c r="A330" s="13" t="s">
        <v>4</v>
      </c>
      <c r="B330" s="13" t="s">
        <v>4</v>
      </c>
      <c r="C330" s="13" t="s">
        <v>1193</v>
      </c>
      <c r="D330" s="13" t="s">
        <v>1194</v>
      </c>
      <c r="E330" s="13" t="s">
        <v>723</v>
      </c>
      <c r="F330" s="13">
        <v>12</v>
      </c>
      <c r="G330" s="2" t="s">
        <v>1195</v>
      </c>
      <c r="H330" s="13" t="s">
        <v>1</v>
      </c>
      <c r="I330" s="13" t="s">
        <v>140</v>
      </c>
      <c r="J330" s="13" t="s">
        <v>139</v>
      </c>
      <c r="K330" s="109">
        <v>44559</v>
      </c>
      <c r="Q330" s="13" t="str">
        <f t="shared" si="35"/>
        <v>BGTACRD025035CADENASNUTRESA</v>
      </c>
      <c r="T330" s="123">
        <f t="shared" si="36"/>
        <v>0</v>
      </c>
      <c r="U330" s="13">
        <f t="shared" si="37"/>
        <v>0</v>
      </c>
      <c r="V330" s="123">
        <f t="shared" si="38"/>
        <v>0</v>
      </c>
      <c r="X330" s="13">
        <v>5</v>
      </c>
      <c r="Y330" s="13">
        <v>100</v>
      </c>
      <c r="Z330" s="13">
        <v>200</v>
      </c>
      <c r="AD330" s="110">
        <f t="shared" si="39"/>
        <v>44563</v>
      </c>
      <c r="AE330" s="13" t="e">
        <f>IF(AND(AD330&lt;=$AI$4,#REF!&lt;1),1,"")</f>
        <v>#REF!</v>
      </c>
      <c r="AF330" s="110">
        <f t="shared" ca="1" si="40"/>
        <v>44553</v>
      </c>
      <c r="AH330" s="13">
        <f t="shared" ca="1" si="41"/>
        <v>-6</v>
      </c>
    </row>
    <row r="331" spans="1:34" x14ac:dyDescent="0.25">
      <c r="A331" s="13" t="s">
        <v>5</v>
      </c>
      <c r="B331" s="13" t="s">
        <v>5</v>
      </c>
      <c r="C331" s="13" t="s">
        <v>1193</v>
      </c>
      <c r="D331" s="13" t="s">
        <v>1194</v>
      </c>
      <c r="E331" s="13" t="s">
        <v>723</v>
      </c>
      <c r="F331" s="13">
        <v>2</v>
      </c>
      <c r="G331" s="2" t="s">
        <v>1195</v>
      </c>
      <c r="H331" s="13" t="s">
        <v>1</v>
      </c>
      <c r="I331" s="13" t="s">
        <v>140</v>
      </c>
      <c r="J331" s="13" t="s">
        <v>139</v>
      </c>
      <c r="K331" s="109">
        <v>44559</v>
      </c>
      <c r="Q331" s="13" t="str">
        <f t="shared" si="35"/>
        <v>BUCACRD025035CADENASNUTRESA</v>
      </c>
      <c r="T331" s="123">
        <f t="shared" si="36"/>
        <v>0</v>
      </c>
      <c r="U331" s="13">
        <f t="shared" si="37"/>
        <v>0</v>
      </c>
      <c r="V331" s="123">
        <f t="shared" si="38"/>
        <v>0</v>
      </c>
      <c r="X331" s="13">
        <v>5</v>
      </c>
      <c r="Y331" s="13">
        <v>100</v>
      </c>
      <c r="Z331" s="13">
        <v>200</v>
      </c>
      <c r="AD331" s="110">
        <f t="shared" si="39"/>
        <v>44563</v>
      </c>
      <c r="AE331" s="13" t="e">
        <f>IF(AND(AD331&lt;=$AI$4,#REF!&lt;1),1,"")</f>
        <v>#REF!</v>
      </c>
      <c r="AF331" s="110">
        <f t="shared" ca="1" si="40"/>
        <v>44553</v>
      </c>
      <c r="AH331" s="13">
        <f t="shared" ca="1" si="41"/>
        <v>-6</v>
      </c>
    </row>
    <row r="332" spans="1:34" x14ac:dyDescent="0.25">
      <c r="A332" s="13" t="s">
        <v>6</v>
      </c>
      <c r="B332" s="13" t="s">
        <v>6</v>
      </c>
      <c r="C332" s="13" t="s">
        <v>1193</v>
      </c>
      <c r="D332" s="13" t="s">
        <v>1194</v>
      </c>
      <c r="E332" s="13" t="s">
        <v>723</v>
      </c>
      <c r="F332" s="13">
        <v>3</v>
      </c>
      <c r="G332" s="2" t="s">
        <v>1195</v>
      </c>
      <c r="H332" s="13" t="s">
        <v>1</v>
      </c>
      <c r="I332" s="13" t="s">
        <v>140</v>
      </c>
      <c r="J332" s="13" t="s">
        <v>139</v>
      </c>
      <c r="K332" s="109">
        <v>44559</v>
      </c>
      <c r="Q332" s="13" t="str">
        <f t="shared" si="35"/>
        <v>CALICRD025035CADENASNUTRESA</v>
      </c>
      <c r="T332" s="123">
        <f t="shared" si="36"/>
        <v>0</v>
      </c>
      <c r="U332" s="13">
        <f t="shared" si="37"/>
        <v>0</v>
      </c>
      <c r="V332" s="123">
        <f t="shared" si="38"/>
        <v>0</v>
      </c>
      <c r="X332" s="13">
        <v>5</v>
      </c>
      <c r="Y332" s="13">
        <v>100</v>
      </c>
      <c r="Z332" s="13">
        <v>200</v>
      </c>
      <c r="AD332" s="110">
        <f t="shared" si="39"/>
        <v>44563</v>
      </c>
      <c r="AE332" s="13" t="e">
        <f>IF(AND(AD332&lt;=$AI$4,#REF!&lt;1),1,"")</f>
        <v>#REF!</v>
      </c>
      <c r="AF332" s="110">
        <f t="shared" ca="1" si="40"/>
        <v>44553</v>
      </c>
      <c r="AH332" s="13">
        <f t="shared" ca="1" si="41"/>
        <v>-6</v>
      </c>
    </row>
    <row r="333" spans="1:34" x14ac:dyDescent="0.25">
      <c r="A333" s="13" t="s">
        <v>7</v>
      </c>
      <c r="B333" s="13" t="s">
        <v>7</v>
      </c>
      <c r="C333" s="13" t="s">
        <v>1193</v>
      </c>
      <c r="D333" s="13" t="s">
        <v>1194</v>
      </c>
      <c r="E333" s="13" t="s">
        <v>723</v>
      </c>
      <c r="F333" s="13">
        <v>3</v>
      </c>
      <c r="G333" s="2" t="s">
        <v>1195</v>
      </c>
      <c r="H333" s="13" t="s">
        <v>1</v>
      </c>
      <c r="I333" s="13" t="s">
        <v>140</v>
      </c>
      <c r="J333" s="13" t="s">
        <v>139</v>
      </c>
      <c r="K333" s="109">
        <v>44559</v>
      </c>
      <c r="Q333" s="13" t="str">
        <f t="shared" si="35"/>
        <v>CARTCRD025035CADENASNUTRESA</v>
      </c>
      <c r="T333" s="123">
        <f t="shared" si="36"/>
        <v>0</v>
      </c>
      <c r="U333" s="13">
        <f t="shared" si="37"/>
        <v>0</v>
      </c>
      <c r="V333" s="123">
        <f t="shared" si="38"/>
        <v>0</v>
      </c>
      <c r="X333" s="13">
        <v>5</v>
      </c>
      <c r="Y333" s="13">
        <v>100</v>
      </c>
      <c r="Z333" s="13">
        <v>200</v>
      </c>
      <c r="AD333" s="110">
        <f t="shared" si="39"/>
        <v>44563</v>
      </c>
      <c r="AE333" s="13" t="e">
        <f>IF(AND(AD333&lt;=$AI$4,#REF!&lt;1),1,"")</f>
        <v>#REF!</v>
      </c>
      <c r="AF333" s="110">
        <f t="shared" ca="1" si="40"/>
        <v>44553</v>
      </c>
      <c r="AH333" s="13">
        <f t="shared" ca="1" si="41"/>
        <v>-6</v>
      </c>
    </row>
    <row r="334" spans="1:34" x14ac:dyDescent="0.25">
      <c r="A334" s="13" t="s">
        <v>8</v>
      </c>
      <c r="B334" s="13" t="s">
        <v>8</v>
      </c>
      <c r="C334" s="13" t="s">
        <v>1193</v>
      </c>
      <c r="D334" s="13" t="s">
        <v>1194</v>
      </c>
      <c r="E334" s="13" t="s">
        <v>723</v>
      </c>
      <c r="F334" s="13">
        <v>2</v>
      </c>
      <c r="G334" s="2" t="s">
        <v>1195</v>
      </c>
      <c r="H334" s="13" t="s">
        <v>1</v>
      </c>
      <c r="I334" s="13" t="s">
        <v>140</v>
      </c>
      <c r="J334" s="13" t="s">
        <v>139</v>
      </c>
      <c r="K334" s="109">
        <v>44559</v>
      </c>
      <c r="Q334" s="13" t="str">
        <f t="shared" si="35"/>
        <v>IBA1CRD025035CADENASNUTRESA</v>
      </c>
      <c r="T334" s="123">
        <f t="shared" si="36"/>
        <v>0</v>
      </c>
      <c r="U334" s="13">
        <f t="shared" si="37"/>
        <v>0</v>
      </c>
      <c r="V334" s="123">
        <f t="shared" si="38"/>
        <v>0</v>
      </c>
      <c r="X334" s="13">
        <v>5</v>
      </c>
      <c r="Y334" s="13">
        <v>100</v>
      </c>
      <c r="Z334" s="13">
        <v>200</v>
      </c>
      <c r="AD334" s="110">
        <f t="shared" si="39"/>
        <v>44563</v>
      </c>
      <c r="AE334" s="13" t="e">
        <f>IF(AND(AD334&lt;=$AI$4,#REF!&lt;1),1,"")</f>
        <v>#REF!</v>
      </c>
      <c r="AF334" s="110">
        <f t="shared" ca="1" si="40"/>
        <v>44553</v>
      </c>
      <c r="AH334" s="13">
        <f t="shared" ca="1" si="41"/>
        <v>-6</v>
      </c>
    </row>
    <row r="335" spans="1:34" x14ac:dyDescent="0.25">
      <c r="A335" s="13" t="s">
        <v>9</v>
      </c>
      <c r="B335" s="13" t="s">
        <v>9</v>
      </c>
      <c r="C335" s="13" t="s">
        <v>1193</v>
      </c>
      <c r="D335" s="13" t="s">
        <v>1194</v>
      </c>
      <c r="E335" s="13" t="s">
        <v>723</v>
      </c>
      <c r="F335" s="13">
        <v>4</v>
      </c>
      <c r="G335" s="2" t="s">
        <v>1195</v>
      </c>
      <c r="H335" s="13" t="s">
        <v>1</v>
      </c>
      <c r="I335" s="13" t="s">
        <v>140</v>
      </c>
      <c r="J335" s="13" t="s">
        <v>139</v>
      </c>
      <c r="K335" s="109">
        <v>44559</v>
      </c>
      <c r="Q335" s="13" t="str">
        <f t="shared" si="35"/>
        <v>MEDECRD025035CADENASNUTRESA</v>
      </c>
      <c r="T335" s="123">
        <f t="shared" si="36"/>
        <v>0</v>
      </c>
      <c r="U335" s="13">
        <f t="shared" si="37"/>
        <v>0</v>
      </c>
      <c r="V335" s="123">
        <f t="shared" si="38"/>
        <v>0</v>
      </c>
      <c r="X335" s="13">
        <v>5</v>
      </c>
      <c r="Y335" s="13">
        <v>100</v>
      </c>
      <c r="Z335" s="13">
        <v>200</v>
      </c>
      <c r="AD335" s="110">
        <f t="shared" si="39"/>
        <v>44563</v>
      </c>
      <c r="AE335" s="13" t="e">
        <f>IF(AND(AD335&lt;=$AI$4,#REF!&lt;1),1,"")</f>
        <v>#REF!</v>
      </c>
      <c r="AF335" s="110">
        <f t="shared" ca="1" si="40"/>
        <v>44553</v>
      </c>
      <c r="AH335" s="13">
        <f t="shared" ca="1" si="41"/>
        <v>-6</v>
      </c>
    </row>
    <row r="336" spans="1:34" x14ac:dyDescent="0.25">
      <c r="A336" s="13" t="s">
        <v>10</v>
      </c>
      <c r="B336" s="13" t="s">
        <v>10</v>
      </c>
      <c r="C336" s="13" t="s">
        <v>1193</v>
      </c>
      <c r="D336" s="13" t="s">
        <v>1194</v>
      </c>
      <c r="E336" s="13" t="s">
        <v>723</v>
      </c>
      <c r="F336" s="13">
        <v>4</v>
      </c>
      <c r="G336" s="2" t="s">
        <v>1195</v>
      </c>
      <c r="H336" s="13" t="s">
        <v>1</v>
      </c>
      <c r="I336" s="13" t="s">
        <v>140</v>
      </c>
      <c r="J336" s="13" t="s">
        <v>139</v>
      </c>
      <c r="K336" s="109">
        <v>44559</v>
      </c>
      <c r="Q336" s="13" t="str">
        <f t="shared" si="35"/>
        <v>PERECRD025035CADENASNUTRESA</v>
      </c>
      <c r="T336" s="123">
        <f t="shared" si="36"/>
        <v>0</v>
      </c>
      <c r="U336" s="13">
        <f t="shared" si="37"/>
        <v>0</v>
      </c>
      <c r="V336" s="123">
        <f t="shared" si="38"/>
        <v>0</v>
      </c>
      <c r="X336" s="13">
        <v>5</v>
      </c>
      <c r="Y336" s="13">
        <v>100</v>
      </c>
      <c r="Z336" s="13">
        <v>200</v>
      </c>
      <c r="AD336" s="110">
        <f t="shared" si="39"/>
        <v>44563</v>
      </c>
      <c r="AE336" s="13" t="e">
        <f>IF(AND(AD336&lt;=$AI$4,#REF!&lt;1),1,"")</f>
        <v>#REF!</v>
      </c>
      <c r="AF336" s="110">
        <f t="shared" ca="1" si="40"/>
        <v>44553</v>
      </c>
      <c r="AH336" s="13">
        <f t="shared" ca="1" si="41"/>
        <v>-6</v>
      </c>
    </row>
    <row r="337" spans="1:34" x14ac:dyDescent="0.25">
      <c r="A337" s="13" t="s">
        <v>6</v>
      </c>
      <c r="B337" s="13" t="s">
        <v>6</v>
      </c>
      <c r="C337" s="13" t="s">
        <v>1196</v>
      </c>
      <c r="D337" s="13" t="s">
        <v>1197</v>
      </c>
      <c r="E337" s="13" t="s">
        <v>723</v>
      </c>
      <c r="F337" s="13">
        <v>2</v>
      </c>
      <c r="G337" s="2" t="s">
        <v>1195</v>
      </c>
      <c r="H337" s="13" t="s">
        <v>0</v>
      </c>
      <c r="I337" s="13" t="s">
        <v>140</v>
      </c>
      <c r="J337" s="13" t="s">
        <v>46</v>
      </c>
      <c r="K337" s="109">
        <v>44564</v>
      </c>
      <c r="Q337" s="13" t="str">
        <f t="shared" si="35"/>
        <v>CALICRD025032AUTOSERVICIONUTRESA</v>
      </c>
      <c r="T337" s="123">
        <f t="shared" si="36"/>
        <v>0</v>
      </c>
      <c r="U337" s="13">
        <f t="shared" si="37"/>
        <v>0</v>
      </c>
      <c r="V337" s="123">
        <f t="shared" si="38"/>
        <v>0</v>
      </c>
      <c r="X337" s="13">
        <v>50</v>
      </c>
      <c r="Y337" s="13">
        <v>50</v>
      </c>
      <c r="Z337" s="13">
        <v>150</v>
      </c>
      <c r="AD337" s="110">
        <f t="shared" si="39"/>
        <v>44568</v>
      </c>
      <c r="AE337" s="13" t="e">
        <f>IF(AND(AD337&lt;=$AI$4,#REF!&lt;1),1,"")</f>
        <v>#REF!</v>
      </c>
      <c r="AF337" s="110">
        <f t="shared" ca="1" si="40"/>
        <v>44553</v>
      </c>
      <c r="AH337" s="13">
        <f t="shared" ca="1" si="41"/>
        <v>-11</v>
      </c>
    </row>
    <row r="338" spans="1:34" x14ac:dyDescent="0.25">
      <c r="A338" s="13" t="s">
        <v>8</v>
      </c>
      <c r="B338" s="13" t="s">
        <v>8</v>
      </c>
      <c r="C338" s="13" t="s">
        <v>1196</v>
      </c>
      <c r="D338" s="13" t="s">
        <v>1197</v>
      </c>
      <c r="E338" s="13" t="s">
        <v>723</v>
      </c>
      <c r="F338" s="13">
        <v>2</v>
      </c>
      <c r="G338" s="2" t="s">
        <v>1195</v>
      </c>
      <c r="H338" s="13" t="s">
        <v>0</v>
      </c>
      <c r="I338" s="13" t="s">
        <v>140</v>
      </c>
      <c r="J338" s="13" t="s">
        <v>46</v>
      </c>
      <c r="K338" s="109">
        <v>44564</v>
      </c>
      <c r="Q338" s="13" t="str">
        <f t="shared" si="35"/>
        <v>IBA1CRD025032AUTOSERVICIONUTRESA</v>
      </c>
      <c r="T338" s="123">
        <f t="shared" si="36"/>
        <v>0</v>
      </c>
      <c r="U338" s="13">
        <f t="shared" si="37"/>
        <v>0</v>
      </c>
      <c r="V338" s="123">
        <f t="shared" si="38"/>
        <v>0</v>
      </c>
      <c r="X338" s="13">
        <v>50</v>
      </c>
      <c r="Y338" s="13">
        <v>50</v>
      </c>
      <c r="Z338" s="13">
        <v>150</v>
      </c>
      <c r="AD338" s="110">
        <f t="shared" si="39"/>
        <v>44568</v>
      </c>
      <c r="AE338" s="13" t="e">
        <f>IF(AND(AD338&lt;=$AI$4,#REF!&lt;1),1,"")</f>
        <v>#REF!</v>
      </c>
      <c r="AF338" s="110">
        <f t="shared" ca="1" si="40"/>
        <v>44553</v>
      </c>
      <c r="AH338" s="13">
        <f t="shared" ca="1" si="41"/>
        <v>-11</v>
      </c>
    </row>
    <row r="339" spans="1:34" x14ac:dyDescent="0.25">
      <c r="A339" s="13" t="s">
        <v>10</v>
      </c>
      <c r="B339" s="13" t="s">
        <v>10</v>
      </c>
      <c r="C339" s="13" t="s">
        <v>1196</v>
      </c>
      <c r="D339" s="13" t="s">
        <v>1197</v>
      </c>
      <c r="E339" s="13" t="s">
        <v>723</v>
      </c>
      <c r="F339" s="13">
        <v>1</v>
      </c>
      <c r="G339" s="2" t="s">
        <v>1195</v>
      </c>
      <c r="H339" s="13" t="s">
        <v>0</v>
      </c>
      <c r="I339" s="13" t="s">
        <v>140</v>
      </c>
      <c r="J339" s="13" t="s">
        <v>46</v>
      </c>
      <c r="K339" s="109">
        <v>44564</v>
      </c>
      <c r="Q339" s="13" t="str">
        <f t="shared" si="35"/>
        <v>PERECRD025032AUTOSERVICIONUTRESA</v>
      </c>
      <c r="T339" s="123">
        <f t="shared" si="36"/>
        <v>0</v>
      </c>
      <c r="U339" s="13">
        <f t="shared" si="37"/>
        <v>0</v>
      </c>
      <c r="V339" s="123">
        <f t="shared" si="38"/>
        <v>0</v>
      </c>
      <c r="X339" s="13">
        <v>50</v>
      </c>
      <c r="Y339" s="13">
        <v>50</v>
      </c>
      <c r="Z339" s="13">
        <v>150</v>
      </c>
      <c r="AD339" s="110">
        <f t="shared" si="39"/>
        <v>44568</v>
      </c>
      <c r="AE339" s="13" t="e">
        <f>IF(AND(AD339&lt;=$AI$4,#REF!&lt;1),1,"")</f>
        <v>#REF!</v>
      </c>
      <c r="AF339" s="110">
        <f t="shared" ca="1" si="40"/>
        <v>44553</v>
      </c>
      <c r="AH339" s="13">
        <f t="shared" ca="1" si="41"/>
        <v>-11</v>
      </c>
    </row>
    <row r="340" spans="1:34" x14ac:dyDescent="0.25">
      <c r="A340" s="13" t="s">
        <v>724</v>
      </c>
      <c r="B340" s="13" t="s">
        <v>724</v>
      </c>
      <c r="C340" s="13" t="s">
        <v>1198</v>
      </c>
      <c r="D340" s="13" t="s">
        <v>1199</v>
      </c>
      <c r="E340" s="13" t="s">
        <v>723</v>
      </c>
      <c r="F340" s="13">
        <v>15</v>
      </c>
      <c r="G340" s="2" t="s">
        <v>1195</v>
      </c>
      <c r="H340" s="13" t="s">
        <v>0</v>
      </c>
      <c r="I340" s="13" t="s">
        <v>145</v>
      </c>
      <c r="J340" s="13" t="s">
        <v>46</v>
      </c>
      <c r="K340" s="109">
        <v>44564</v>
      </c>
      <c r="Q340" s="13" t="str">
        <f t="shared" si="35"/>
        <v>BGTA ALTCRD025033AUTOSERVICIOALTILLANO</v>
      </c>
      <c r="T340" s="123">
        <f t="shared" si="36"/>
        <v>0</v>
      </c>
      <c r="U340" s="13">
        <f t="shared" si="37"/>
        <v>0</v>
      </c>
      <c r="V340" s="123">
        <f t="shared" si="38"/>
        <v>0</v>
      </c>
      <c r="X340" s="13">
        <v>30</v>
      </c>
      <c r="Y340" s="13">
        <v>40</v>
      </c>
      <c r="Z340" s="13">
        <v>140</v>
      </c>
      <c r="AD340" s="110">
        <f t="shared" si="39"/>
        <v>44568</v>
      </c>
      <c r="AE340" s="13" t="e">
        <f>IF(AND(AD340&lt;=$AI$4,#REF!&lt;1),1,"")</f>
        <v>#REF!</v>
      </c>
      <c r="AF340" s="110">
        <f t="shared" ca="1" si="40"/>
        <v>44553</v>
      </c>
      <c r="AH340" s="13">
        <f t="shared" ca="1" si="41"/>
        <v>-11</v>
      </c>
    </row>
    <row r="341" spans="1:34" x14ac:dyDescent="0.25">
      <c r="A341" s="13" t="s">
        <v>149</v>
      </c>
      <c r="B341" s="13" t="s">
        <v>149</v>
      </c>
      <c r="C341" s="13" t="s">
        <v>1198</v>
      </c>
      <c r="D341" s="13" t="s">
        <v>1199</v>
      </c>
      <c r="E341" s="13" t="s">
        <v>723</v>
      </c>
      <c r="F341" s="13">
        <v>10</v>
      </c>
      <c r="G341" s="2" t="s">
        <v>1195</v>
      </c>
      <c r="H341" s="13" t="s">
        <v>0</v>
      </c>
      <c r="I341" s="13" t="s">
        <v>140</v>
      </c>
      <c r="J341" s="13" t="s">
        <v>46</v>
      </c>
      <c r="K341" s="109">
        <v>44564</v>
      </c>
      <c r="Q341" s="13" t="str">
        <f t="shared" si="35"/>
        <v>DUITCRD025033AUTOSERVICIONUTRESA</v>
      </c>
      <c r="T341" s="123">
        <f t="shared" si="36"/>
        <v>0</v>
      </c>
      <c r="U341" s="13">
        <f t="shared" si="37"/>
        <v>0</v>
      </c>
      <c r="V341" s="123">
        <f t="shared" si="38"/>
        <v>0</v>
      </c>
      <c r="X341" s="13">
        <v>30</v>
      </c>
      <c r="Y341" s="13">
        <v>40</v>
      </c>
      <c r="Z341" s="13">
        <v>140</v>
      </c>
      <c r="AD341" s="110">
        <f t="shared" si="39"/>
        <v>44568</v>
      </c>
      <c r="AE341" s="13" t="e">
        <f>IF(AND(AD341&lt;=$AI$4,#REF!&lt;1),1,"")</f>
        <v>#REF!</v>
      </c>
      <c r="AF341" s="110">
        <f t="shared" ca="1" si="40"/>
        <v>44553</v>
      </c>
      <c r="AH341" s="13">
        <f t="shared" ca="1" si="41"/>
        <v>-11</v>
      </c>
    </row>
    <row r="342" spans="1:34" x14ac:dyDescent="0.25">
      <c r="A342" s="13" t="s">
        <v>150</v>
      </c>
      <c r="B342" s="13" t="s">
        <v>150</v>
      </c>
      <c r="C342" s="13" t="s">
        <v>1198</v>
      </c>
      <c r="D342" s="13" t="s">
        <v>1199</v>
      </c>
      <c r="E342" s="13" t="s">
        <v>723</v>
      </c>
      <c r="F342" s="13">
        <v>10</v>
      </c>
      <c r="G342" s="2" t="s">
        <v>1195</v>
      </c>
      <c r="H342" s="13" t="s">
        <v>0</v>
      </c>
      <c r="I342" s="13" t="s">
        <v>140</v>
      </c>
      <c r="J342" s="13" t="s">
        <v>46</v>
      </c>
      <c r="K342" s="109">
        <v>44564</v>
      </c>
      <c r="Q342" s="13" t="str">
        <f t="shared" si="35"/>
        <v>VILACRD025033AUTOSERVICIONUTRESA</v>
      </c>
      <c r="T342" s="123">
        <f t="shared" si="36"/>
        <v>0</v>
      </c>
      <c r="U342" s="13">
        <f t="shared" si="37"/>
        <v>0</v>
      </c>
      <c r="V342" s="123">
        <f t="shared" si="38"/>
        <v>0</v>
      </c>
      <c r="X342" s="13">
        <v>30</v>
      </c>
      <c r="Y342" s="13">
        <v>40</v>
      </c>
      <c r="Z342" s="13">
        <v>140</v>
      </c>
      <c r="AD342" s="110">
        <f t="shared" si="39"/>
        <v>44568</v>
      </c>
      <c r="AE342" s="13" t="e">
        <f>IF(AND(AD342&lt;=$AI$4,#REF!&lt;1),1,"")</f>
        <v>#REF!</v>
      </c>
      <c r="AF342" s="110">
        <f t="shared" ca="1" si="40"/>
        <v>44553</v>
      </c>
      <c r="AH342" s="13">
        <f t="shared" ca="1" si="41"/>
        <v>-11</v>
      </c>
    </row>
    <row r="343" spans="1:34" x14ac:dyDescent="0.25">
      <c r="A343" s="13" t="s">
        <v>5</v>
      </c>
      <c r="B343" s="13" t="s">
        <v>5</v>
      </c>
      <c r="C343" s="13" t="s">
        <v>1198</v>
      </c>
      <c r="D343" s="13" t="s">
        <v>1199</v>
      </c>
      <c r="E343" s="13" t="s">
        <v>723</v>
      </c>
      <c r="F343" s="13">
        <v>4</v>
      </c>
      <c r="G343" s="2" t="s">
        <v>1195</v>
      </c>
      <c r="H343" s="13" t="s">
        <v>0</v>
      </c>
      <c r="I343" s="13" t="s">
        <v>140</v>
      </c>
      <c r="J343" s="13" t="s">
        <v>46</v>
      </c>
      <c r="K343" s="109">
        <v>44564</v>
      </c>
      <c r="Q343" s="13" t="str">
        <f t="shared" si="35"/>
        <v>BUCACRD025033AUTOSERVICIONUTRESA</v>
      </c>
      <c r="T343" s="123">
        <f t="shared" si="36"/>
        <v>0</v>
      </c>
      <c r="U343" s="13">
        <f t="shared" si="37"/>
        <v>0</v>
      </c>
      <c r="V343" s="123">
        <f t="shared" si="38"/>
        <v>0</v>
      </c>
      <c r="X343" s="13">
        <v>30</v>
      </c>
      <c r="Y343" s="13">
        <v>40</v>
      </c>
      <c r="Z343" s="13">
        <v>140</v>
      </c>
      <c r="AD343" s="110">
        <f t="shared" si="39"/>
        <v>44568</v>
      </c>
      <c r="AE343" s="13" t="e">
        <f>IF(AND(AD343&lt;=$AI$4,#REF!&lt;1),1,"")</f>
        <v>#REF!</v>
      </c>
      <c r="AF343" s="110">
        <f t="shared" ca="1" si="40"/>
        <v>44553</v>
      </c>
      <c r="AH343" s="13">
        <f t="shared" ca="1" si="41"/>
        <v>-11</v>
      </c>
    </row>
    <row r="344" spans="1:34" x14ac:dyDescent="0.25">
      <c r="A344" s="13" t="s">
        <v>6</v>
      </c>
      <c r="B344" s="13" t="s">
        <v>6</v>
      </c>
      <c r="C344" s="13" t="s">
        <v>1198</v>
      </c>
      <c r="D344" s="13" t="s">
        <v>1199</v>
      </c>
      <c r="E344" s="13" t="s">
        <v>723</v>
      </c>
      <c r="F344" s="13">
        <v>2</v>
      </c>
      <c r="G344" s="2" t="s">
        <v>1195</v>
      </c>
      <c r="H344" s="13" t="s">
        <v>0</v>
      </c>
      <c r="I344" s="13" t="s">
        <v>140</v>
      </c>
      <c r="J344" s="13" t="s">
        <v>46</v>
      </c>
      <c r="K344" s="109">
        <v>44564</v>
      </c>
      <c r="Q344" s="13" t="str">
        <f t="shared" si="35"/>
        <v>CALICRD025033AUTOSERVICIONUTRESA</v>
      </c>
      <c r="T344" s="123">
        <f t="shared" si="36"/>
        <v>0</v>
      </c>
      <c r="U344" s="13">
        <f t="shared" si="37"/>
        <v>0</v>
      </c>
      <c r="V344" s="123">
        <f t="shared" si="38"/>
        <v>0</v>
      </c>
      <c r="X344" s="13">
        <v>30</v>
      </c>
      <c r="Y344" s="13">
        <v>40</v>
      </c>
      <c r="Z344" s="13">
        <v>140</v>
      </c>
      <c r="AD344" s="110">
        <f t="shared" si="39"/>
        <v>44568</v>
      </c>
      <c r="AE344" s="13" t="e">
        <f>IF(AND(AD344&lt;=$AI$4,#REF!&lt;1),1,"")</f>
        <v>#REF!</v>
      </c>
      <c r="AF344" s="110">
        <f t="shared" ca="1" si="40"/>
        <v>44553</v>
      </c>
      <c r="AH344" s="13">
        <f t="shared" ca="1" si="41"/>
        <v>-11</v>
      </c>
    </row>
    <row r="345" spans="1:34" x14ac:dyDescent="0.25">
      <c r="A345" s="13" t="s">
        <v>8</v>
      </c>
      <c r="B345" s="13" t="s">
        <v>8</v>
      </c>
      <c r="C345" s="13" t="s">
        <v>1198</v>
      </c>
      <c r="D345" s="13" t="s">
        <v>1199</v>
      </c>
      <c r="E345" s="13" t="s">
        <v>723</v>
      </c>
      <c r="F345" s="13">
        <v>22</v>
      </c>
      <c r="G345" s="2" t="s">
        <v>1195</v>
      </c>
      <c r="H345" s="13" t="s">
        <v>0</v>
      </c>
      <c r="I345" s="13" t="s">
        <v>140</v>
      </c>
      <c r="J345" s="13" t="s">
        <v>46</v>
      </c>
      <c r="K345" s="109">
        <v>44564</v>
      </c>
      <c r="Q345" s="13" t="str">
        <f t="shared" si="35"/>
        <v>IBA1CRD025033AUTOSERVICIONUTRESA</v>
      </c>
      <c r="T345" s="123">
        <f t="shared" si="36"/>
        <v>0</v>
      </c>
      <c r="U345" s="13">
        <f t="shared" si="37"/>
        <v>0</v>
      </c>
      <c r="V345" s="123">
        <f t="shared" si="38"/>
        <v>0</v>
      </c>
      <c r="X345" s="13">
        <v>30</v>
      </c>
      <c r="Y345" s="13">
        <v>40</v>
      </c>
      <c r="Z345" s="13">
        <v>140</v>
      </c>
      <c r="AD345" s="110">
        <f t="shared" si="39"/>
        <v>44568</v>
      </c>
      <c r="AE345" s="13" t="e">
        <f>IF(AND(AD345&lt;=$AI$4,#REF!&lt;1),1,"")</f>
        <v>#REF!</v>
      </c>
      <c r="AF345" s="110">
        <f t="shared" ca="1" si="40"/>
        <v>44553</v>
      </c>
      <c r="AH345" s="13">
        <f t="shared" ca="1" si="41"/>
        <v>-11</v>
      </c>
    </row>
    <row r="346" spans="1:34" x14ac:dyDescent="0.25">
      <c r="A346" s="13" t="s">
        <v>10</v>
      </c>
      <c r="B346" s="13" t="s">
        <v>10</v>
      </c>
      <c r="C346" s="13" t="s">
        <v>1198</v>
      </c>
      <c r="D346" s="13" t="s">
        <v>1199</v>
      </c>
      <c r="E346" s="13" t="s">
        <v>723</v>
      </c>
      <c r="F346" s="13">
        <v>9</v>
      </c>
      <c r="G346" s="2" t="s">
        <v>1195</v>
      </c>
      <c r="H346" s="13" t="s">
        <v>0</v>
      </c>
      <c r="I346" s="13" t="s">
        <v>140</v>
      </c>
      <c r="J346" s="13" t="s">
        <v>46</v>
      </c>
      <c r="K346" s="109">
        <v>44564</v>
      </c>
      <c r="Q346" s="13" t="str">
        <f t="shared" si="35"/>
        <v>PERECRD025033AUTOSERVICIONUTRESA</v>
      </c>
      <c r="T346" s="123">
        <f t="shared" si="36"/>
        <v>0</v>
      </c>
      <c r="U346" s="13">
        <f t="shared" si="37"/>
        <v>0</v>
      </c>
      <c r="V346" s="123">
        <f t="shared" si="38"/>
        <v>0</v>
      </c>
      <c r="X346" s="13">
        <v>30</v>
      </c>
      <c r="Y346" s="13">
        <v>40</v>
      </c>
      <c r="Z346" s="13">
        <v>140</v>
      </c>
      <c r="AD346" s="110">
        <f t="shared" si="39"/>
        <v>44568</v>
      </c>
      <c r="AE346" s="13" t="e">
        <f>IF(AND(AD346&lt;=$AI$4,#REF!&lt;1),1,"")</f>
        <v>#REF!</v>
      </c>
      <c r="AF346" s="110">
        <f t="shared" ca="1" si="40"/>
        <v>44553</v>
      </c>
      <c r="AH346" s="13">
        <f t="shared" ca="1" si="41"/>
        <v>-11</v>
      </c>
    </row>
    <row r="347" spans="1:34" x14ac:dyDescent="0.25">
      <c r="A347" s="13" t="s">
        <v>3</v>
      </c>
      <c r="B347" s="13" t="s">
        <v>3</v>
      </c>
      <c r="C347" s="13" t="s">
        <v>1200</v>
      </c>
      <c r="D347" s="13" t="s">
        <v>1201</v>
      </c>
      <c r="E347" s="13" t="s">
        <v>723</v>
      </c>
      <c r="F347" s="13">
        <v>4</v>
      </c>
      <c r="G347" s="2" t="s">
        <v>1195</v>
      </c>
      <c r="H347" s="13" t="s">
        <v>0</v>
      </c>
      <c r="I347" s="13" t="s">
        <v>140</v>
      </c>
      <c r="J347" s="13" t="s">
        <v>46</v>
      </c>
      <c r="K347" s="109">
        <v>44564</v>
      </c>
      <c r="Q347" s="13" t="str">
        <f t="shared" si="35"/>
        <v>BARRCRD025034AUTOSERVICIONUTRESA</v>
      </c>
      <c r="T347" s="123">
        <f t="shared" si="36"/>
        <v>0</v>
      </c>
      <c r="U347" s="13">
        <f t="shared" si="37"/>
        <v>0</v>
      </c>
      <c r="V347" s="123">
        <f t="shared" si="38"/>
        <v>0</v>
      </c>
      <c r="X347" s="13">
        <v>30</v>
      </c>
      <c r="Y347" s="13">
        <v>40</v>
      </c>
      <c r="Z347" s="13">
        <v>140</v>
      </c>
      <c r="AD347" s="110">
        <f t="shared" si="39"/>
        <v>44568</v>
      </c>
      <c r="AE347" s="13" t="e">
        <f>IF(AND(AD347&lt;=$AI$4,#REF!&lt;1),1,"")</f>
        <v>#REF!</v>
      </c>
      <c r="AF347" s="110">
        <f t="shared" ca="1" si="40"/>
        <v>44553</v>
      </c>
      <c r="AH347" s="13">
        <f t="shared" ca="1" si="41"/>
        <v>-11</v>
      </c>
    </row>
    <row r="348" spans="1:34" x14ac:dyDescent="0.25">
      <c r="A348" s="13" t="s">
        <v>4</v>
      </c>
      <c r="B348" s="13" t="s">
        <v>4</v>
      </c>
      <c r="C348" s="13" t="s">
        <v>1200</v>
      </c>
      <c r="D348" s="13" t="s">
        <v>1201</v>
      </c>
      <c r="E348" s="13" t="s">
        <v>723</v>
      </c>
      <c r="F348" s="13">
        <v>17</v>
      </c>
      <c r="G348" s="2" t="s">
        <v>1195</v>
      </c>
      <c r="H348" s="13" t="s">
        <v>0</v>
      </c>
      <c r="I348" s="13" t="s">
        <v>140</v>
      </c>
      <c r="J348" s="13" t="s">
        <v>46</v>
      </c>
      <c r="K348" s="109">
        <v>44564</v>
      </c>
      <c r="Q348" s="13" t="str">
        <f t="shared" si="35"/>
        <v>BGTACRD025034AUTOSERVICIONUTRESA</v>
      </c>
      <c r="T348" s="123">
        <f t="shared" si="36"/>
        <v>0</v>
      </c>
      <c r="U348" s="13">
        <f t="shared" si="37"/>
        <v>0</v>
      </c>
      <c r="V348" s="123">
        <f t="shared" si="38"/>
        <v>0</v>
      </c>
      <c r="X348" s="13">
        <v>30</v>
      </c>
      <c r="Y348" s="13">
        <v>40</v>
      </c>
      <c r="Z348" s="13">
        <v>140</v>
      </c>
      <c r="AD348" s="110">
        <f t="shared" si="39"/>
        <v>44568</v>
      </c>
      <c r="AE348" s="13" t="e">
        <f>IF(AND(AD348&lt;=$AI$4,#REF!&lt;1),1,"")</f>
        <v>#REF!</v>
      </c>
      <c r="AF348" s="110">
        <f t="shared" ca="1" si="40"/>
        <v>44553</v>
      </c>
      <c r="AH348" s="13">
        <f t="shared" ca="1" si="41"/>
        <v>-11</v>
      </c>
    </row>
    <row r="349" spans="1:34" x14ac:dyDescent="0.25">
      <c r="A349" s="13" t="s">
        <v>724</v>
      </c>
      <c r="B349" s="13" t="s">
        <v>724</v>
      </c>
      <c r="C349" s="13" t="s">
        <v>1200</v>
      </c>
      <c r="D349" s="13" t="s">
        <v>1201</v>
      </c>
      <c r="E349" s="13" t="s">
        <v>723</v>
      </c>
      <c r="F349" s="13">
        <v>9</v>
      </c>
      <c r="G349" s="2" t="s">
        <v>1195</v>
      </c>
      <c r="H349" s="13" t="s">
        <v>0</v>
      </c>
      <c r="I349" s="13" t="s">
        <v>145</v>
      </c>
      <c r="J349" s="13" t="s">
        <v>46</v>
      </c>
      <c r="K349" s="109">
        <v>44564</v>
      </c>
      <c r="Q349" s="13" t="str">
        <f t="shared" si="35"/>
        <v>BGTA ALTCRD025034AUTOSERVICIOALTILLANO</v>
      </c>
      <c r="T349" s="123">
        <f t="shared" si="36"/>
        <v>0</v>
      </c>
      <c r="U349" s="13">
        <f t="shared" si="37"/>
        <v>0</v>
      </c>
      <c r="V349" s="123">
        <f t="shared" si="38"/>
        <v>0</v>
      </c>
      <c r="X349" s="13">
        <v>30</v>
      </c>
      <c r="Y349" s="13">
        <v>40</v>
      </c>
      <c r="Z349" s="13">
        <v>140</v>
      </c>
      <c r="AD349" s="110">
        <f t="shared" si="39"/>
        <v>44568</v>
      </c>
      <c r="AE349" s="13" t="e">
        <f>IF(AND(AD349&lt;=$AI$4,#REF!&lt;1),1,"")</f>
        <v>#REF!</v>
      </c>
      <c r="AF349" s="110">
        <f t="shared" ca="1" si="40"/>
        <v>44553</v>
      </c>
      <c r="AH349" s="13">
        <f t="shared" ca="1" si="41"/>
        <v>-11</v>
      </c>
    </row>
    <row r="350" spans="1:34" x14ac:dyDescent="0.25">
      <c r="A350" s="13" t="s">
        <v>149</v>
      </c>
      <c r="B350" s="13" t="s">
        <v>149</v>
      </c>
      <c r="C350" s="13" t="s">
        <v>1200</v>
      </c>
      <c r="D350" s="13" t="s">
        <v>1201</v>
      </c>
      <c r="E350" s="13" t="s">
        <v>723</v>
      </c>
      <c r="F350" s="13">
        <v>5</v>
      </c>
      <c r="G350" s="2" t="s">
        <v>1195</v>
      </c>
      <c r="H350" s="13" t="s">
        <v>0</v>
      </c>
      <c r="I350" s="13" t="s">
        <v>140</v>
      </c>
      <c r="J350" s="13" t="s">
        <v>46</v>
      </c>
      <c r="K350" s="109">
        <v>44564</v>
      </c>
      <c r="Q350" s="13" t="str">
        <f t="shared" si="35"/>
        <v>DUITCRD025034AUTOSERVICIONUTRESA</v>
      </c>
      <c r="T350" s="123">
        <f t="shared" si="36"/>
        <v>0</v>
      </c>
      <c r="U350" s="13">
        <f t="shared" si="37"/>
        <v>0</v>
      </c>
      <c r="V350" s="123">
        <f t="shared" si="38"/>
        <v>0</v>
      </c>
      <c r="X350" s="13">
        <v>30</v>
      </c>
      <c r="Y350" s="13">
        <v>40</v>
      </c>
      <c r="Z350" s="13">
        <v>140</v>
      </c>
      <c r="AD350" s="110">
        <f t="shared" si="39"/>
        <v>44568</v>
      </c>
      <c r="AE350" s="13" t="e">
        <f>IF(AND(AD350&lt;=$AI$4,#REF!&lt;1),1,"")</f>
        <v>#REF!</v>
      </c>
      <c r="AF350" s="110">
        <f t="shared" ca="1" si="40"/>
        <v>44553</v>
      </c>
      <c r="AH350" s="13">
        <f t="shared" ca="1" si="41"/>
        <v>-11</v>
      </c>
    </row>
    <row r="351" spans="1:34" x14ac:dyDescent="0.25">
      <c r="A351" s="13" t="s">
        <v>150</v>
      </c>
      <c r="B351" s="13" t="s">
        <v>150</v>
      </c>
      <c r="C351" s="13" t="s">
        <v>1200</v>
      </c>
      <c r="D351" s="13" t="s">
        <v>1201</v>
      </c>
      <c r="E351" s="13" t="s">
        <v>723</v>
      </c>
      <c r="F351" s="13">
        <v>5</v>
      </c>
      <c r="G351" s="2" t="s">
        <v>1195</v>
      </c>
      <c r="H351" s="13" t="s">
        <v>0</v>
      </c>
      <c r="I351" s="13" t="s">
        <v>140</v>
      </c>
      <c r="J351" s="13" t="s">
        <v>46</v>
      </c>
      <c r="K351" s="109">
        <v>44564</v>
      </c>
      <c r="Q351" s="13" t="str">
        <f t="shared" si="35"/>
        <v>VILACRD025034AUTOSERVICIONUTRESA</v>
      </c>
      <c r="T351" s="123">
        <f t="shared" si="36"/>
        <v>0</v>
      </c>
      <c r="U351" s="13">
        <f t="shared" si="37"/>
        <v>0</v>
      </c>
      <c r="V351" s="123">
        <f t="shared" si="38"/>
        <v>0</v>
      </c>
      <c r="X351" s="13">
        <v>30</v>
      </c>
      <c r="Y351" s="13">
        <v>40</v>
      </c>
      <c r="Z351" s="13">
        <v>140</v>
      </c>
      <c r="AD351" s="110">
        <f t="shared" si="39"/>
        <v>44568</v>
      </c>
      <c r="AE351" s="13" t="e">
        <f>IF(AND(AD351&lt;=$AI$4,#REF!&lt;1),1,"")</f>
        <v>#REF!</v>
      </c>
      <c r="AF351" s="110">
        <f t="shared" ca="1" si="40"/>
        <v>44553</v>
      </c>
      <c r="AH351" s="13">
        <f t="shared" ca="1" si="41"/>
        <v>-11</v>
      </c>
    </row>
    <row r="352" spans="1:34" x14ac:dyDescent="0.25">
      <c r="A352" s="13" t="s">
        <v>5</v>
      </c>
      <c r="B352" s="13" t="s">
        <v>5</v>
      </c>
      <c r="C352" s="13" t="s">
        <v>1200</v>
      </c>
      <c r="D352" s="13" t="s">
        <v>1201</v>
      </c>
      <c r="E352" s="13" t="s">
        <v>723</v>
      </c>
      <c r="F352" s="13">
        <v>6</v>
      </c>
      <c r="G352" s="2" t="s">
        <v>1195</v>
      </c>
      <c r="H352" s="13" t="s">
        <v>0</v>
      </c>
      <c r="I352" s="13" t="s">
        <v>140</v>
      </c>
      <c r="J352" s="13" t="s">
        <v>46</v>
      </c>
      <c r="K352" s="109">
        <v>44564</v>
      </c>
      <c r="Q352" s="13" t="str">
        <f t="shared" si="35"/>
        <v>BUCACRD025034AUTOSERVICIONUTRESA</v>
      </c>
      <c r="T352" s="123">
        <f t="shared" si="36"/>
        <v>0</v>
      </c>
      <c r="U352" s="13">
        <f t="shared" si="37"/>
        <v>0</v>
      </c>
      <c r="V352" s="123">
        <f t="shared" si="38"/>
        <v>0</v>
      </c>
      <c r="X352" s="13">
        <v>30</v>
      </c>
      <c r="Y352" s="13">
        <v>40</v>
      </c>
      <c r="Z352" s="13">
        <v>140</v>
      </c>
      <c r="AD352" s="110">
        <f t="shared" si="39"/>
        <v>44568</v>
      </c>
      <c r="AE352" s="13" t="e">
        <f>IF(AND(AD352&lt;=$AI$4,#REF!&lt;1),1,"")</f>
        <v>#REF!</v>
      </c>
      <c r="AF352" s="110">
        <f t="shared" ca="1" si="40"/>
        <v>44553</v>
      </c>
      <c r="AH352" s="13">
        <f t="shared" ca="1" si="41"/>
        <v>-11</v>
      </c>
    </row>
    <row r="353" spans="1:34" x14ac:dyDescent="0.25">
      <c r="A353" s="13" t="s">
        <v>6</v>
      </c>
      <c r="B353" s="13" t="s">
        <v>6</v>
      </c>
      <c r="C353" s="13" t="s">
        <v>1200</v>
      </c>
      <c r="D353" s="13" t="s">
        <v>1201</v>
      </c>
      <c r="E353" s="13" t="s">
        <v>723</v>
      </c>
      <c r="F353" s="13">
        <v>2</v>
      </c>
      <c r="G353" s="2" t="s">
        <v>1195</v>
      </c>
      <c r="H353" s="13" t="s">
        <v>0</v>
      </c>
      <c r="I353" s="13" t="s">
        <v>140</v>
      </c>
      <c r="J353" s="13" t="s">
        <v>46</v>
      </c>
      <c r="K353" s="109">
        <v>44564</v>
      </c>
      <c r="Q353" s="13" t="str">
        <f t="shared" si="35"/>
        <v>CALICRD025034AUTOSERVICIONUTRESA</v>
      </c>
      <c r="T353" s="123">
        <f t="shared" si="36"/>
        <v>0</v>
      </c>
      <c r="U353" s="13">
        <f t="shared" si="37"/>
        <v>0</v>
      </c>
      <c r="V353" s="123">
        <f t="shared" si="38"/>
        <v>0</v>
      </c>
      <c r="X353" s="13">
        <v>30</v>
      </c>
      <c r="Y353" s="13">
        <v>40</v>
      </c>
      <c r="Z353" s="13">
        <v>140</v>
      </c>
      <c r="AD353" s="110">
        <f t="shared" si="39"/>
        <v>44568</v>
      </c>
      <c r="AE353" s="13" t="e">
        <f>IF(AND(AD353&lt;=$AI$4,#REF!&lt;1),1,"")</f>
        <v>#REF!</v>
      </c>
      <c r="AF353" s="110">
        <f t="shared" ca="1" si="40"/>
        <v>44553</v>
      </c>
      <c r="AH353" s="13">
        <f t="shared" ca="1" si="41"/>
        <v>-11</v>
      </c>
    </row>
    <row r="354" spans="1:34" x14ac:dyDescent="0.25">
      <c r="A354" s="13" t="s">
        <v>7</v>
      </c>
      <c r="B354" s="13" t="s">
        <v>7</v>
      </c>
      <c r="C354" s="13" t="s">
        <v>1200</v>
      </c>
      <c r="D354" s="13" t="s">
        <v>1201</v>
      </c>
      <c r="E354" s="13" t="s">
        <v>723</v>
      </c>
      <c r="F354" s="13">
        <v>4</v>
      </c>
      <c r="G354" s="2" t="s">
        <v>1195</v>
      </c>
      <c r="H354" s="13" t="s">
        <v>0</v>
      </c>
      <c r="I354" s="13" t="s">
        <v>140</v>
      </c>
      <c r="J354" s="13" t="s">
        <v>46</v>
      </c>
      <c r="K354" s="109">
        <v>44564</v>
      </c>
      <c r="Q354" s="13" t="str">
        <f t="shared" si="35"/>
        <v>CARTCRD025034AUTOSERVICIONUTRESA</v>
      </c>
      <c r="T354" s="123">
        <f t="shared" si="36"/>
        <v>0</v>
      </c>
      <c r="U354" s="13">
        <f t="shared" si="37"/>
        <v>0</v>
      </c>
      <c r="V354" s="123">
        <f t="shared" si="38"/>
        <v>0</v>
      </c>
      <c r="X354" s="13">
        <v>30</v>
      </c>
      <c r="Y354" s="13">
        <v>40</v>
      </c>
      <c r="Z354" s="13">
        <v>140</v>
      </c>
      <c r="AD354" s="110">
        <f t="shared" si="39"/>
        <v>44568</v>
      </c>
      <c r="AE354" s="13" t="e">
        <f>IF(AND(AD354&lt;=$AI$4,#REF!&lt;1),1,"")</f>
        <v>#REF!</v>
      </c>
      <c r="AF354" s="110">
        <f t="shared" ca="1" si="40"/>
        <v>44553</v>
      </c>
      <c r="AH354" s="13">
        <f t="shared" ca="1" si="41"/>
        <v>-11</v>
      </c>
    </row>
    <row r="355" spans="1:34" x14ac:dyDescent="0.25">
      <c r="A355" s="13" t="s">
        <v>8</v>
      </c>
      <c r="B355" s="13" t="s">
        <v>8</v>
      </c>
      <c r="C355" s="13" t="s">
        <v>1200</v>
      </c>
      <c r="D355" s="13" t="s">
        <v>1201</v>
      </c>
      <c r="E355" s="13" t="s">
        <v>723</v>
      </c>
      <c r="F355" s="13">
        <v>32</v>
      </c>
      <c r="G355" s="2" t="s">
        <v>1195</v>
      </c>
      <c r="H355" s="13" t="s">
        <v>0</v>
      </c>
      <c r="I355" s="13" t="s">
        <v>140</v>
      </c>
      <c r="J355" s="13" t="s">
        <v>46</v>
      </c>
      <c r="K355" s="109">
        <v>44564</v>
      </c>
      <c r="Q355" s="13" t="str">
        <f t="shared" si="35"/>
        <v>IBA1CRD025034AUTOSERVICIONUTRESA</v>
      </c>
      <c r="T355" s="123">
        <f t="shared" si="36"/>
        <v>0</v>
      </c>
      <c r="U355" s="13">
        <f t="shared" si="37"/>
        <v>0</v>
      </c>
      <c r="V355" s="123">
        <f t="shared" si="38"/>
        <v>0</v>
      </c>
      <c r="X355" s="13">
        <v>30</v>
      </c>
      <c r="Y355" s="13">
        <v>40</v>
      </c>
      <c r="Z355" s="13">
        <v>140</v>
      </c>
      <c r="AD355" s="110">
        <f t="shared" si="39"/>
        <v>44568</v>
      </c>
      <c r="AE355" s="13" t="e">
        <f>IF(AND(AD355&lt;=$AI$4,#REF!&lt;1),1,"")</f>
        <v>#REF!</v>
      </c>
      <c r="AF355" s="110">
        <f t="shared" ca="1" si="40"/>
        <v>44553</v>
      </c>
      <c r="AH355" s="13">
        <f t="shared" ca="1" si="41"/>
        <v>-11</v>
      </c>
    </row>
    <row r="356" spans="1:34" x14ac:dyDescent="0.25">
      <c r="A356" s="13" t="s">
        <v>9</v>
      </c>
      <c r="B356" s="13" t="s">
        <v>9</v>
      </c>
      <c r="C356" s="13" t="s">
        <v>1200</v>
      </c>
      <c r="D356" s="13" t="s">
        <v>1201</v>
      </c>
      <c r="E356" s="13" t="s">
        <v>723</v>
      </c>
      <c r="F356" s="13">
        <v>5</v>
      </c>
      <c r="G356" s="2" t="s">
        <v>1195</v>
      </c>
      <c r="H356" s="13" t="s">
        <v>0</v>
      </c>
      <c r="I356" s="13" t="s">
        <v>140</v>
      </c>
      <c r="J356" s="13" t="s">
        <v>46</v>
      </c>
      <c r="K356" s="109">
        <v>44564</v>
      </c>
      <c r="Q356" s="13" t="str">
        <f t="shared" si="35"/>
        <v>MEDECRD025034AUTOSERVICIONUTRESA</v>
      </c>
      <c r="T356" s="123">
        <f t="shared" si="36"/>
        <v>0</v>
      </c>
      <c r="U356" s="13">
        <f t="shared" si="37"/>
        <v>0</v>
      </c>
      <c r="V356" s="123">
        <f t="shared" si="38"/>
        <v>0</v>
      </c>
      <c r="X356" s="13">
        <v>30</v>
      </c>
      <c r="Y356" s="13">
        <v>40</v>
      </c>
      <c r="Z356" s="13">
        <v>140</v>
      </c>
      <c r="AD356" s="110">
        <f t="shared" si="39"/>
        <v>44568</v>
      </c>
      <c r="AE356" s="13" t="e">
        <f>IF(AND(AD356&lt;=$AI$4,#REF!&lt;1),1,"")</f>
        <v>#REF!</v>
      </c>
      <c r="AF356" s="110">
        <f t="shared" ca="1" si="40"/>
        <v>44553</v>
      </c>
      <c r="AH356" s="13">
        <f t="shared" ca="1" si="41"/>
        <v>-11</v>
      </c>
    </row>
    <row r="357" spans="1:34" x14ac:dyDescent="0.25">
      <c r="A357" s="13" t="s">
        <v>10</v>
      </c>
      <c r="B357" s="13" t="s">
        <v>10</v>
      </c>
      <c r="C357" s="13" t="s">
        <v>1200</v>
      </c>
      <c r="D357" s="13" t="s">
        <v>1201</v>
      </c>
      <c r="E357" s="13" t="s">
        <v>723</v>
      </c>
      <c r="F357" s="13">
        <v>13</v>
      </c>
      <c r="G357" s="2" t="s">
        <v>1195</v>
      </c>
      <c r="H357" s="13" t="s">
        <v>0</v>
      </c>
      <c r="I357" s="13" t="s">
        <v>140</v>
      </c>
      <c r="J357" s="13" t="s">
        <v>46</v>
      </c>
      <c r="K357" s="109">
        <v>44564</v>
      </c>
      <c r="Q357" s="13" t="str">
        <f t="shared" si="35"/>
        <v>PERECRD025034AUTOSERVICIONUTRESA</v>
      </c>
      <c r="T357" s="123">
        <f t="shared" si="36"/>
        <v>0</v>
      </c>
      <c r="U357" s="13">
        <f t="shared" si="37"/>
        <v>0</v>
      </c>
      <c r="V357" s="123">
        <f t="shared" si="38"/>
        <v>0</v>
      </c>
      <c r="X357" s="13">
        <v>30</v>
      </c>
      <c r="Y357" s="13">
        <v>40</v>
      </c>
      <c r="Z357" s="13">
        <v>140</v>
      </c>
      <c r="AD357" s="110">
        <f t="shared" si="39"/>
        <v>44568</v>
      </c>
      <c r="AE357" s="13" t="e">
        <f>IF(AND(AD357&lt;=$AI$4,#REF!&lt;1),1,"")</f>
        <v>#REF!</v>
      </c>
      <c r="AF357" s="110">
        <f t="shared" ca="1" si="40"/>
        <v>44553</v>
      </c>
      <c r="AH357" s="13">
        <f t="shared" ca="1" si="41"/>
        <v>-11</v>
      </c>
    </row>
    <row r="358" spans="1:34" x14ac:dyDescent="0.25">
      <c r="A358" s="13" t="s">
        <v>4</v>
      </c>
      <c r="B358" s="13" t="s">
        <v>4</v>
      </c>
      <c r="C358" s="13" t="s">
        <v>1193</v>
      </c>
      <c r="D358" s="13" t="s">
        <v>1194</v>
      </c>
      <c r="E358" s="13" t="s">
        <v>723</v>
      </c>
      <c r="F358" s="13">
        <v>5</v>
      </c>
      <c r="G358" s="2" t="s">
        <v>1195</v>
      </c>
      <c r="H358" s="13" t="s">
        <v>0</v>
      </c>
      <c r="I358" s="13" t="s">
        <v>140</v>
      </c>
      <c r="J358" s="13" t="s">
        <v>139</v>
      </c>
      <c r="K358" s="109">
        <v>44564</v>
      </c>
      <c r="Q358" s="13" t="str">
        <f t="shared" si="35"/>
        <v>BGTACRD025035AUTOSERVICIONUTRESA</v>
      </c>
      <c r="T358" s="123">
        <f t="shared" si="36"/>
        <v>0</v>
      </c>
      <c r="U358" s="13">
        <f t="shared" si="37"/>
        <v>0</v>
      </c>
      <c r="V358" s="123">
        <f t="shared" si="38"/>
        <v>0</v>
      </c>
      <c r="X358" s="13">
        <v>5</v>
      </c>
      <c r="Y358" s="13">
        <v>100</v>
      </c>
      <c r="Z358" s="13">
        <v>200</v>
      </c>
      <c r="AD358" s="110">
        <f t="shared" si="39"/>
        <v>44568</v>
      </c>
      <c r="AE358" s="13" t="e">
        <f>IF(AND(AD358&lt;=$AI$4,#REF!&lt;1),1,"")</f>
        <v>#REF!</v>
      </c>
      <c r="AF358" s="110">
        <f t="shared" ca="1" si="40"/>
        <v>44553</v>
      </c>
      <c r="AH358" s="13">
        <f t="shared" ca="1" si="41"/>
        <v>-11</v>
      </c>
    </row>
    <row r="359" spans="1:34" x14ac:dyDescent="0.25">
      <c r="A359" s="13" t="s">
        <v>724</v>
      </c>
      <c r="B359" s="13" t="s">
        <v>724</v>
      </c>
      <c r="C359" s="13" t="s">
        <v>1193</v>
      </c>
      <c r="D359" s="13" t="s">
        <v>1194</v>
      </c>
      <c r="E359" s="13" t="s">
        <v>723</v>
      </c>
      <c r="F359" s="13">
        <v>3</v>
      </c>
      <c r="G359" s="2" t="s">
        <v>1195</v>
      </c>
      <c r="H359" s="13" t="s">
        <v>0</v>
      </c>
      <c r="I359" s="13" t="s">
        <v>145</v>
      </c>
      <c r="J359" s="13" t="s">
        <v>139</v>
      </c>
      <c r="K359" s="109">
        <v>44564</v>
      </c>
      <c r="Q359" s="13" t="str">
        <f t="shared" si="35"/>
        <v>BGTA ALTCRD025035AUTOSERVICIOALTILLANO</v>
      </c>
      <c r="T359" s="123">
        <f t="shared" si="36"/>
        <v>0</v>
      </c>
      <c r="U359" s="13">
        <f t="shared" si="37"/>
        <v>0</v>
      </c>
      <c r="V359" s="123">
        <f t="shared" si="38"/>
        <v>0</v>
      </c>
      <c r="X359" s="13">
        <v>5</v>
      </c>
      <c r="Y359" s="13">
        <v>100</v>
      </c>
      <c r="Z359" s="13">
        <v>200</v>
      </c>
      <c r="AD359" s="110">
        <f t="shared" si="39"/>
        <v>44568</v>
      </c>
      <c r="AE359" s="13" t="e">
        <f>IF(AND(AD359&lt;=$AI$4,#REF!&lt;1),1,"")</f>
        <v>#REF!</v>
      </c>
      <c r="AF359" s="110">
        <f t="shared" ca="1" si="40"/>
        <v>44553</v>
      </c>
      <c r="AH359" s="13">
        <f t="shared" ca="1" si="41"/>
        <v>-11</v>
      </c>
    </row>
    <row r="360" spans="1:34" x14ac:dyDescent="0.25">
      <c r="A360" s="13" t="s">
        <v>149</v>
      </c>
      <c r="B360" s="13" t="s">
        <v>149</v>
      </c>
      <c r="C360" s="13" t="s">
        <v>1193</v>
      </c>
      <c r="D360" s="13" t="s">
        <v>1194</v>
      </c>
      <c r="E360" s="13" t="s">
        <v>723</v>
      </c>
      <c r="F360" s="13">
        <v>3</v>
      </c>
      <c r="G360" s="2" t="s">
        <v>1195</v>
      </c>
      <c r="H360" s="13" t="s">
        <v>0</v>
      </c>
      <c r="I360" s="13" t="s">
        <v>140</v>
      </c>
      <c r="J360" s="13" t="s">
        <v>139</v>
      </c>
      <c r="K360" s="109">
        <v>44564</v>
      </c>
      <c r="Q360" s="13" t="str">
        <f t="shared" si="35"/>
        <v>DUITCRD025035AUTOSERVICIONUTRESA</v>
      </c>
      <c r="T360" s="123">
        <f t="shared" si="36"/>
        <v>0</v>
      </c>
      <c r="U360" s="13">
        <f t="shared" si="37"/>
        <v>0</v>
      </c>
      <c r="V360" s="123">
        <f t="shared" si="38"/>
        <v>0</v>
      </c>
      <c r="X360" s="13">
        <v>5</v>
      </c>
      <c r="Y360" s="13">
        <v>100</v>
      </c>
      <c r="Z360" s="13">
        <v>200</v>
      </c>
      <c r="AD360" s="110">
        <f t="shared" si="39"/>
        <v>44568</v>
      </c>
      <c r="AE360" s="13" t="e">
        <f>IF(AND(AD360&lt;=$AI$4,#REF!&lt;1),1,"")</f>
        <v>#REF!</v>
      </c>
      <c r="AF360" s="110">
        <f t="shared" ca="1" si="40"/>
        <v>44553</v>
      </c>
      <c r="AH360" s="13">
        <f t="shared" ca="1" si="41"/>
        <v>-11</v>
      </c>
    </row>
    <row r="361" spans="1:34" x14ac:dyDescent="0.25">
      <c r="A361" s="13" t="s">
        <v>6</v>
      </c>
      <c r="B361" s="13" t="s">
        <v>6</v>
      </c>
      <c r="C361" s="13" t="s">
        <v>1193</v>
      </c>
      <c r="D361" s="13" t="s">
        <v>1194</v>
      </c>
      <c r="E361" s="13" t="s">
        <v>723</v>
      </c>
      <c r="F361" s="13">
        <v>1</v>
      </c>
      <c r="G361" s="2" t="s">
        <v>1195</v>
      </c>
      <c r="H361" s="13" t="s">
        <v>0</v>
      </c>
      <c r="I361" s="13" t="s">
        <v>140</v>
      </c>
      <c r="J361" s="13" t="s">
        <v>139</v>
      </c>
      <c r="K361" s="109">
        <v>44564</v>
      </c>
      <c r="Q361" s="13" t="str">
        <f t="shared" si="35"/>
        <v>CALICRD025035AUTOSERVICIONUTRESA</v>
      </c>
      <c r="T361" s="123">
        <f t="shared" si="36"/>
        <v>0</v>
      </c>
      <c r="U361" s="13">
        <f t="shared" si="37"/>
        <v>0</v>
      </c>
      <c r="V361" s="123">
        <f t="shared" si="38"/>
        <v>0</v>
      </c>
      <c r="X361" s="13">
        <v>5</v>
      </c>
      <c r="Y361" s="13">
        <v>100</v>
      </c>
      <c r="Z361" s="13">
        <v>200</v>
      </c>
      <c r="AD361" s="110">
        <f t="shared" si="39"/>
        <v>44568</v>
      </c>
      <c r="AE361" s="13" t="e">
        <f>IF(AND(AD361&lt;=$AI$4,#REF!&lt;1),1,"")</f>
        <v>#REF!</v>
      </c>
      <c r="AF361" s="110">
        <f t="shared" ca="1" si="40"/>
        <v>44553</v>
      </c>
      <c r="AH361" s="13">
        <f t="shared" ca="1" si="41"/>
        <v>-11</v>
      </c>
    </row>
    <row r="362" spans="1:34" x14ac:dyDescent="0.25">
      <c r="A362" s="13" t="s">
        <v>8</v>
      </c>
      <c r="B362" s="13" t="s">
        <v>8</v>
      </c>
      <c r="C362" s="13" t="s">
        <v>1193</v>
      </c>
      <c r="D362" s="13" t="s">
        <v>1194</v>
      </c>
      <c r="E362" s="13" t="s">
        <v>723</v>
      </c>
      <c r="F362" s="13">
        <v>19</v>
      </c>
      <c r="G362" s="2" t="s">
        <v>1195</v>
      </c>
      <c r="H362" s="13" t="s">
        <v>0</v>
      </c>
      <c r="I362" s="13" t="s">
        <v>140</v>
      </c>
      <c r="J362" s="13" t="s">
        <v>139</v>
      </c>
      <c r="K362" s="109">
        <v>44564</v>
      </c>
      <c r="Q362" s="13" t="str">
        <f t="shared" si="35"/>
        <v>IBA1CRD025035AUTOSERVICIONUTRESA</v>
      </c>
      <c r="T362" s="123">
        <f t="shared" si="36"/>
        <v>0</v>
      </c>
      <c r="U362" s="13">
        <f t="shared" si="37"/>
        <v>0</v>
      </c>
      <c r="V362" s="123">
        <f t="shared" si="38"/>
        <v>0</v>
      </c>
      <c r="X362" s="13">
        <v>5</v>
      </c>
      <c r="Y362" s="13">
        <v>100</v>
      </c>
      <c r="Z362" s="13">
        <v>200</v>
      </c>
      <c r="AD362" s="110">
        <f t="shared" si="39"/>
        <v>44568</v>
      </c>
      <c r="AE362" s="13" t="e">
        <f>IF(AND(AD362&lt;=$AI$4,#REF!&lt;1),1,"")</f>
        <v>#REF!</v>
      </c>
      <c r="AF362" s="110">
        <f t="shared" ca="1" si="40"/>
        <v>44553</v>
      </c>
      <c r="AH362" s="13">
        <f t="shared" ca="1" si="41"/>
        <v>-11</v>
      </c>
    </row>
    <row r="363" spans="1:34" x14ac:dyDescent="0.25">
      <c r="A363" s="13" t="s">
        <v>10</v>
      </c>
      <c r="B363" s="13" t="s">
        <v>10</v>
      </c>
      <c r="C363" s="13" t="s">
        <v>1193</v>
      </c>
      <c r="D363" s="13" t="s">
        <v>1194</v>
      </c>
      <c r="E363" s="13" t="s">
        <v>723</v>
      </c>
      <c r="F363" s="13">
        <v>5</v>
      </c>
      <c r="G363" s="2" t="s">
        <v>1195</v>
      </c>
      <c r="H363" s="13" t="s">
        <v>0</v>
      </c>
      <c r="I363" s="13" t="s">
        <v>140</v>
      </c>
      <c r="J363" s="13" t="s">
        <v>139</v>
      </c>
      <c r="K363" s="109">
        <v>44564</v>
      </c>
      <c r="Q363" s="13" t="str">
        <f t="shared" si="35"/>
        <v>PERECRD025035AUTOSERVICIONUTRESA</v>
      </c>
      <c r="T363" s="123">
        <f t="shared" si="36"/>
        <v>0</v>
      </c>
      <c r="U363" s="13">
        <f t="shared" si="37"/>
        <v>0</v>
      </c>
      <c r="V363" s="123">
        <f t="shared" si="38"/>
        <v>0</v>
      </c>
      <c r="X363" s="13">
        <v>5</v>
      </c>
      <c r="Y363" s="13">
        <v>100</v>
      </c>
      <c r="Z363" s="13">
        <v>200</v>
      </c>
      <c r="AD363" s="110">
        <f t="shared" si="39"/>
        <v>44568</v>
      </c>
      <c r="AE363" s="13" t="e">
        <f>IF(AND(AD363&lt;=$AI$4,#REF!&lt;1),1,"")</f>
        <v>#REF!</v>
      </c>
      <c r="AF363" s="110">
        <f t="shared" ca="1" si="40"/>
        <v>44553</v>
      </c>
      <c r="AH363" s="13">
        <f t="shared" ca="1" si="41"/>
        <v>-11</v>
      </c>
    </row>
    <row r="364" spans="1:34" x14ac:dyDescent="0.25">
      <c r="A364" s="13" t="s">
        <v>4</v>
      </c>
      <c r="B364" s="13" t="s">
        <v>4</v>
      </c>
      <c r="C364" s="13" t="s">
        <v>1202</v>
      </c>
      <c r="D364" s="13" t="s">
        <v>1203</v>
      </c>
      <c r="E364" s="13" t="s">
        <v>723</v>
      </c>
      <c r="F364" s="13">
        <v>1</v>
      </c>
      <c r="G364" s="2" t="s">
        <v>1195</v>
      </c>
      <c r="H364" s="13" t="s">
        <v>0</v>
      </c>
      <c r="I364" s="13" t="s">
        <v>140</v>
      </c>
      <c r="J364" s="13" t="s">
        <v>139</v>
      </c>
      <c r="K364" s="109">
        <v>44564</v>
      </c>
      <c r="Q364" s="13" t="str">
        <f t="shared" si="35"/>
        <v>BGTACRD025036AUTOSERVICIONUTRESA</v>
      </c>
      <c r="T364" s="123">
        <f t="shared" si="36"/>
        <v>0</v>
      </c>
      <c r="U364" s="13">
        <f t="shared" si="37"/>
        <v>0</v>
      </c>
      <c r="V364" s="123">
        <f t="shared" si="38"/>
        <v>0</v>
      </c>
      <c r="X364" s="13">
        <v>1</v>
      </c>
      <c r="Y364" s="13">
        <v>40</v>
      </c>
      <c r="Z364" s="13">
        <v>30</v>
      </c>
      <c r="AD364" s="110">
        <f t="shared" si="39"/>
        <v>44568</v>
      </c>
      <c r="AE364" s="13" t="e">
        <f>IF(AND(AD364&lt;=$AI$4,#REF!&lt;1),1,"")</f>
        <v>#REF!</v>
      </c>
      <c r="AF364" s="110">
        <f t="shared" ca="1" si="40"/>
        <v>44553</v>
      </c>
      <c r="AH364" s="13">
        <f t="shared" ca="1" si="41"/>
        <v>-11</v>
      </c>
    </row>
    <row r="365" spans="1:34" x14ac:dyDescent="0.25">
      <c r="A365" s="13" t="s">
        <v>6</v>
      </c>
      <c r="B365" s="13" t="s">
        <v>6</v>
      </c>
      <c r="C365" s="13" t="s">
        <v>1202</v>
      </c>
      <c r="D365" s="13" t="s">
        <v>1203</v>
      </c>
      <c r="E365" s="13" t="s">
        <v>723</v>
      </c>
      <c r="F365" s="13">
        <v>2</v>
      </c>
      <c r="G365" s="2" t="s">
        <v>1195</v>
      </c>
      <c r="H365" s="13" t="s">
        <v>0</v>
      </c>
      <c r="I365" s="13" t="s">
        <v>140</v>
      </c>
      <c r="J365" s="13" t="s">
        <v>139</v>
      </c>
      <c r="K365" s="109">
        <v>44564</v>
      </c>
      <c r="Q365" s="13" t="str">
        <f t="shared" si="35"/>
        <v>CALICRD025036AUTOSERVICIONUTRESA</v>
      </c>
      <c r="T365" s="123">
        <f t="shared" si="36"/>
        <v>0</v>
      </c>
      <c r="U365" s="13">
        <f t="shared" si="37"/>
        <v>0</v>
      </c>
      <c r="V365" s="123">
        <f t="shared" si="38"/>
        <v>0</v>
      </c>
      <c r="X365" s="13">
        <v>1</v>
      </c>
      <c r="Y365" s="13">
        <v>40</v>
      </c>
      <c r="Z365" s="13">
        <v>30</v>
      </c>
      <c r="AD365" s="110">
        <f t="shared" si="39"/>
        <v>44568</v>
      </c>
      <c r="AE365" s="13" t="e">
        <f>IF(AND(AD365&lt;=$AI$4,#REF!&lt;1),1,"")</f>
        <v>#REF!</v>
      </c>
      <c r="AF365" s="110">
        <f t="shared" ca="1" si="40"/>
        <v>44553</v>
      </c>
      <c r="AH365" s="13">
        <f t="shared" ca="1" si="41"/>
        <v>-11</v>
      </c>
    </row>
    <row r="366" spans="1:34" x14ac:dyDescent="0.25">
      <c r="A366" s="13" t="s">
        <v>9</v>
      </c>
      <c r="B366" s="13" t="s">
        <v>9</v>
      </c>
      <c r="C366" s="13" t="s">
        <v>1202</v>
      </c>
      <c r="D366" s="13" t="s">
        <v>1203</v>
      </c>
      <c r="E366" s="13" t="s">
        <v>723</v>
      </c>
      <c r="F366" s="13">
        <v>2</v>
      </c>
      <c r="G366" s="2" t="s">
        <v>1195</v>
      </c>
      <c r="H366" s="13" t="s">
        <v>0</v>
      </c>
      <c r="I366" s="13" t="s">
        <v>140</v>
      </c>
      <c r="J366" s="13" t="s">
        <v>139</v>
      </c>
      <c r="K366" s="109">
        <v>44564</v>
      </c>
      <c r="Q366" s="13" t="str">
        <f t="shared" si="35"/>
        <v>MEDECRD025036AUTOSERVICIONUTRESA</v>
      </c>
      <c r="T366" s="123">
        <f t="shared" si="36"/>
        <v>0</v>
      </c>
      <c r="U366" s="13">
        <f t="shared" si="37"/>
        <v>0</v>
      </c>
      <c r="V366" s="123">
        <f t="shared" si="38"/>
        <v>0</v>
      </c>
      <c r="X366" s="13">
        <v>1</v>
      </c>
      <c r="Y366" s="13">
        <v>40</v>
      </c>
      <c r="Z366" s="13">
        <v>30</v>
      </c>
      <c r="AD366" s="110">
        <f t="shared" si="39"/>
        <v>44568</v>
      </c>
      <c r="AE366" s="13" t="e">
        <f>IF(AND(AD366&lt;=$AI$4,#REF!&lt;1),1,"")</f>
        <v>#REF!</v>
      </c>
      <c r="AF366" s="110">
        <f t="shared" ca="1" si="40"/>
        <v>44553</v>
      </c>
      <c r="AH366" s="13">
        <f t="shared" ca="1" si="41"/>
        <v>-11</v>
      </c>
    </row>
    <row r="367" spans="1:34" x14ac:dyDescent="0.25">
      <c r="A367" s="13" t="s">
        <v>3</v>
      </c>
      <c r="B367" s="13" t="s">
        <v>3</v>
      </c>
      <c r="C367" s="13" t="s">
        <v>1204</v>
      </c>
      <c r="D367" s="13" t="s">
        <v>1205</v>
      </c>
      <c r="E367" s="13" t="s">
        <v>723</v>
      </c>
      <c r="F367" s="13">
        <v>10</v>
      </c>
      <c r="G367" s="2" t="s">
        <v>1195</v>
      </c>
      <c r="H367" s="13" t="s">
        <v>0</v>
      </c>
      <c r="I367" s="13" t="s">
        <v>140</v>
      </c>
      <c r="J367" s="13" t="s">
        <v>139</v>
      </c>
      <c r="K367" s="109">
        <v>44564</v>
      </c>
      <c r="Q367" s="13" t="str">
        <f t="shared" si="35"/>
        <v>BARRCRD025037AUTOSERVICIONUTRESA</v>
      </c>
      <c r="T367" s="123">
        <f t="shared" si="36"/>
        <v>0</v>
      </c>
      <c r="U367" s="13">
        <f t="shared" si="37"/>
        <v>0</v>
      </c>
      <c r="V367" s="123">
        <f t="shared" si="38"/>
        <v>0</v>
      </c>
      <c r="X367" s="13">
        <v>5</v>
      </c>
      <c r="Y367" s="13">
        <v>30</v>
      </c>
      <c r="Z367" s="13">
        <v>35</v>
      </c>
      <c r="AD367" s="110">
        <f t="shared" si="39"/>
        <v>44568</v>
      </c>
      <c r="AE367" s="13" t="e">
        <f>IF(AND(AD367&lt;=$AI$4,#REF!&lt;1),1,"")</f>
        <v>#REF!</v>
      </c>
      <c r="AF367" s="110">
        <f t="shared" ca="1" si="40"/>
        <v>44553</v>
      </c>
      <c r="AH367" s="13">
        <f t="shared" ca="1" si="41"/>
        <v>-11</v>
      </c>
    </row>
    <row r="368" spans="1:34" x14ac:dyDescent="0.25">
      <c r="A368" s="13" t="s">
        <v>4</v>
      </c>
      <c r="B368" s="13" t="s">
        <v>4</v>
      </c>
      <c r="C368" s="13" t="s">
        <v>1204</v>
      </c>
      <c r="D368" s="13" t="s">
        <v>1205</v>
      </c>
      <c r="E368" s="13" t="s">
        <v>723</v>
      </c>
      <c r="F368" s="13">
        <v>90</v>
      </c>
      <c r="G368" s="2" t="s">
        <v>1195</v>
      </c>
      <c r="H368" s="13" t="s">
        <v>0</v>
      </c>
      <c r="I368" s="13" t="s">
        <v>140</v>
      </c>
      <c r="J368" s="13" t="s">
        <v>139</v>
      </c>
      <c r="K368" s="109">
        <v>44564</v>
      </c>
      <c r="Q368" s="13" t="str">
        <f t="shared" si="35"/>
        <v>BGTACRD025037AUTOSERVICIONUTRESA</v>
      </c>
      <c r="T368" s="123">
        <f t="shared" si="36"/>
        <v>0</v>
      </c>
      <c r="U368" s="13">
        <f t="shared" si="37"/>
        <v>0</v>
      </c>
      <c r="V368" s="123">
        <f t="shared" si="38"/>
        <v>0</v>
      </c>
      <c r="X368" s="13">
        <v>5</v>
      </c>
      <c r="Y368" s="13">
        <v>30</v>
      </c>
      <c r="Z368" s="13">
        <v>35</v>
      </c>
      <c r="AD368" s="110">
        <f t="shared" si="39"/>
        <v>44568</v>
      </c>
      <c r="AE368" s="13" t="e">
        <f>IF(AND(AD368&lt;=$AI$4,#REF!&lt;1),1,"")</f>
        <v>#REF!</v>
      </c>
      <c r="AF368" s="110">
        <f t="shared" ca="1" si="40"/>
        <v>44553</v>
      </c>
      <c r="AH368" s="13">
        <f t="shared" ca="1" si="41"/>
        <v>-11</v>
      </c>
    </row>
    <row r="369" spans="1:34" x14ac:dyDescent="0.25">
      <c r="A369" s="13" t="s">
        <v>724</v>
      </c>
      <c r="B369" s="13" t="s">
        <v>724</v>
      </c>
      <c r="C369" s="13" t="s">
        <v>1204</v>
      </c>
      <c r="D369" s="13" t="s">
        <v>1205</v>
      </c>
      <c r="E369" s="13" t="s">
        <v>723</v>
      </c>
      <c r="F369" s="13">
        <v>30</v>
      </c>
      <c r="G369" s="2" t="s">
        <v>1195</v>
      </c>
      <c r="H369" s="13" t="s">
        <v>0</v>
      </c>
      <c r="I369" s="13" t="s">
        <v>145</v>
      </c>
      <c r="J369" s="13" t="s">
        <v>139</v>
      </c>
      <c r="K369" s="109">
        <v>44564</v>
      </c>
      <c r="Q369" s="13" t="str">
        <f t="shared" si="35"/>
        <v>BGTA ALTCRD025037AUTOSERVICIOALTILLANO</v>
      </c>
      <c r="T369" s="123">
        <f t="shared" si="36"/>
        <v>0</v>
      </c>
      <c r="U369" s="13">
        <f t="shared" si="37"/>
        <v>0</v>
      </c>
      <c r="V369" s="123">
        <f t="shared" si="38"/>
        <v>0</v>
      </c>
      <c r="X369" s="13">
        <v>5</v>
      </c>
      <c r="Y369" s="13">
        <v>30</v>
      </c>
      <c r="Z369" s="13">
        <v>35</v>
      </c>
      <c r="AD369" s="110">
        <f t="shared" si="39"/>
        <v>44568</v>
      </c>
      <c r="AE369" s="13" t="e">
        <f>IF(AND(AD369&lt;=$AI$4,#REF!&lt;1),1,"")</f>
        <v>#REF!</v>
      </c>
      <c r="AF369" s="110">
        <f t="shared" ca="1" si="40"/>
        <v>44553</v>
      </c>
      <c r="AH369" s="13">
        <f t="shared" ca="1" si="41"/>
        <v>-11</v>
      </c>
    </row>
    <row r="370" spans="1:34" x14ac:dyDescent="0.25">
      <c r="A370" s="13" t="s">
        <v>149</v>
      </c>
      <c r="B370" s="13" t="s">
        <v>149</v>
      </c>
      <c r="C370" s="13" t="s">
        <v>1204</v>
      </c>
      <c r="D370" s="13" t="s">
        <v>1205</v>
      </c>
      <c r="E370" s="13" t="s">
        <v>723</v>
      </c>
      <c r="F370" s="13">
        <v>20</v>
      </c>
      <c r="G370" s="2" t="s">
        <v>1195</v>
      </c>
      <c r="H370" s="13" t="s">
        <v>0</v>
      </c>
      <c r="I370" s="13" t="s">
        <v>140</v>
      </c>
      <c r="J370" s="13" t="s">
        <v>139</v>
      </c>
      <c r="K370" s="109">
        <v>44564</v>
      </c>
      <c r="Q370" s="13" t="str">
        <f t="shared" si="35"/>
        <v>DUITCRD025037AUTOSERVICIONUTRESA</v>
      </c>
      <c r="T370" s="123">
        <f t="shared" si="36"/>
        <v>0</v>
      </c>
      <c r="U370" s="13">
        <f t="shared" si="37"/>
        <v>0</v>
      </c>
      <c r="V370" s="123">
        <f t="shared" si="38"/>
        <v>0</v>
      </c>
      <c r="X370" s="13">
        <v>5</v>
      </c>
      <c r="Y370" s="13">
        <v>30</v>
      </c>
      <c r="Z370" s="13">
        <v>35</v>
      </c>
      <c r="AD370" s="110">
        <f t="shared" si="39"/>
        <v>44568</v>
      </c>
      <c r="AE370" s="13" t="e">
        <f>IF(AND(AD370&lt;=$AI$4,#REF!&lt;1),1,"")</f>
        <v>#REF!</v>
      </c>
      <c r="AF370" s="110">
        <f t="shared" ca="1" si="40"/>
        <v>44553</v>
      </c>
      <c r="AH370" s="13">
        <f t="shared" ca="1" si="41"/>
        <v>-11</v>
      </c>
    </row>
    <row r="371" spans="1:34" x14ac:dyDescent="0.25">
      <c r="A371" s="13" t="s">
        <v>150</v>
      </c>
      <c r="B371" s="13" t="s">
        <v>150</v>
      </c>
      <c r="C371" s="13" t="s">
        <v>1204</v>
      </c>
      <c r="D371" s="13" t="s">
        <v>1205</v>
      </c>
      <c r="E371" s="13" t="s">
        <v>723</v>
      </c>
      <c r="F371" s="13">
        <v>20</v>
      </c>
      <c r="G371" s="2" t="s">
        <v>1195</v>
      </c>
      <c r="H371" s="13" t="s">
        <v>0</v>
      </c>
      <c r="I371" s="13" t="s">
        <v>140</v>
      </c>
      <c r="J371" s="13" t="s">
        <v>139</v>
      </c>
      <c r="K371" s="109">
        <v>44564</v>
      </c>
      <c r="Q371" s="13" t="str">
        <f t="shared" si="35"/>
        <v>VILACRD025037AUTOSERVICIONUTRESA</v>
      </c>
      <c r="T371" s="123">
        <f t="shared" si="36"/>
        <v>0</v>
      </c>
      <c r="U371" s="13">
        <f t="shared" si="37"/>
        <v>0</v>
      </c>
      <c r="V371" s="123">
        <f t="shared" si="38"/>
        <v>0</v>
      </c>
      <c r="X371" s="13">
        <v>5</v>
      </c>
      <c r="Y371" s="13">
        <v>30</v>
      </c>
      <c r="Z371" s="13">
        <v>35</v>
      </c>
      <c r="AD371" s="110">
        <f t="shared" si="39"/>
        <v>44568</v>
      </c>
      <c r="AE371" s="13" t="e">
        <f>IF(AND(AD371&lt;=$AI$4,#REF!&lt;1),1,"")</f>
        <v>#REF!</v>
      </c>
      <c r="AF371" s="110">
        <f t="shared" ca="1" si="40"/>
        <v>44553</v>
      </c>
      <c r="AH371" s="13">
        <f t="shared" ca="1" si="41"/>
        <v>-11</v>
      </c>
    </row>
    <row r="372" spans="1:34" x14ac:dyDescent="0.25">
      <c r="A372" s="13" t="s">
        <v>5</v>
      </c>
      <c r="B372" s="13" t="s">
        <v>5</v>
      </c>
      <c r="C372" s="13" t="s">
        <v>1204</v>
      </c>
      <c r="D372" s="13" t="s">
        <v>1205</v>
      </c>
      <c r="E372" s="13" t="s">
        <v>723</v>
      </c>
      <c r="F372" s="13">
        <v>80</v>
      </c>
      <c r="G372" s="2" t="s">
        <v>1195</v>
      </c>
      <c r="H372" s="13" t="s">
        <v>0</v>
      </c>
      <c r="I372" s="13" t="s">
        <v>140</v>
      </c>
      <c r="J372" s="13" t="s">
        <v>139</v>
      </c>
      <c r="K372" s="109">
        <v>44564</v>
      </c>
      <c r="Q372" s="13" t="str">
        <f t="shared" si="35"/>
        <v>BUCACRD025037AUTOSERVICIONUTRESA</v>
      </c>
      <c r="T372" s="123">
        <f t="shared" si="36"/>
        <v>0</v>
      </c>
      <c r="U372" s="13">
        <f t="shared" si="37"/>
        <v>0</v>
      </c>
      <c r="V372" s="123">
        <f t="shared" si="38"/>
        <v>0</v>
      </c>
      <c r="X372" s="13">
        <v>5</v>
      </c>
      <c r="Y372" s="13">
        <v>30</v>
      </c>
      <c r="Z372" s="13">
        <v>35</v>
      </c>
      <c r="AD372" s="110">
        <f t="shared" si="39"/>
        <v>44568</v>
      </c>
      <c r="AE372" s="13" t="e">
        <f>IF(AND(AD372&lt;=$AI$4,#REF!&lt;1),1,"")</f>
        <v>#REF!</v>
      </c>
      <c r="AF372" s="110">
        <f t="shared" ca="1" si="40"/>
        <v>44553</v>
      </c>
      <c r="AH372" s="13">
        <f t="shared" ca="1" si="41"/>
        <v>-11</v>
      </c>
    </row>
    <row r="373" spans="1:34" x14ac:dyDescent="0.25">
      <c r="A373" s="13" t="s">
        <v>6</v>
      </c>
      <c r="B373" s="13" t="s">
        <v>6</v>
      </c>
      <c r="C373" s="13" t="s">
        <v>1204</v>
      </c>
      <c r="D373" s="13" t="s">
        <v>1205</v>
      </c>
      <c r="E373" s="13" t="s">
        <v>723</v>
      </c>
      <c r="F373" s="13">
        <v>60</v>
      </c>
      <c r="G373" s="2" t="s">
        <v>1195</v>
      </c>
      <c r="H373" s="13" t="s">
        <v>0</v>
      </c>
      <c r="I373" s="13" t="s">
        <v>140</v>
      </c>
      <c r="J373" s="13" t="s">
        <v>139</v>
      </c>
      <c r="K373" s="109">
        <v>44564</v>
      </c>
      <c r="Q373" s="13" t="str">
        <f t="shared" si="35"/>
        <v>CALICRD025037AUTOSERVICIONUTRESA</v>
      </c>
      <c r="T373" s="123">
        <f t="shared" si="36"/>
        <v>0</v>
      </c>
      <c r="U373" s="13">
        <f t="shared" si="37"/>
        <v>0</v>
      </c>
      <c r="V373" s="123">
        <f t="shared" si="38"/>
        <v>0</v>
      </c>
      <c r="X373" s="13">
        <v>5</v>
      </c>
      <c r="Y373" s="13">
        <v>30</v>
      </c>
      <c r="Z373" s="13">
        <v>35</v>
      </c>
      <c r="AD373" s="110">
        <f t="shared" si="39"/>
        <v>44568</v>
      </c>
      <c r="AE373" s="13" t="e">
        <f>IF(AND(AD373&lt;=$AI$4,#REF!&lt;1),1,"")</f>
        <v>#REF!</v>
      </c>
      <c r="AF373" s="110">
        <f t="shared" ca="1" si="40"/>
        <v>44553</v>
      </c>
      <c r="AH373" s="13">
        <f t="shared" ca="1" si="41"/>
        <v>-11</v>
      </c>
    </row>
    <row r="374" spans="1:34" x14ac:dyDescent="0.25">
      <c r="A374" s="13" t="s">
        <v>7</v>
      </c>
      <c r="B374" s="13" t="s">
        <v>7</v>
      </c>
      <c r="C374" s="13" t="s">
        <v>1204</v>
      </c>
      <c r="D374" s="13" t="s">
        <v>1205</v>
      </c>
      <c r="E374" s="13" t="s">
        <v>723</v>
      </c>
      <c r="F374" s="13">
        <v>10</v>
      </c>
      <c r="G374" s="2" t="s">
        <v>1195</v>
      </c>
      <c r="H374" s="13" t="s">
        <v>0</v>
      </c>
      <c r="I374" s="13" t="s">
        <v>140</v>
      </c>
      <c r="J374" s="13" t="s">
        <v>139</v>
      </c>
      <c r="K374" s="109">
        <v>44564</v>
      </c>
      <c r="Q374" s="13" t="str">
        <f t="shared" si="35"/>
        <v>CARTCRD025037AUTOSERVICIONUTRESA</v>
      </c>
      <c r="T374" s="123">
        <f t="shared" si="36"/>
        <v>0</v>
      </c>
      <c r="U374" s="13">
        <f t="shared" si="37"/>
        <v>0</v>
      </c>
      <c r="V374" s="123">
        <f t="shared" si="38"/>
        <v>0</v>
      </c>
      <c r="X374" s="13">
        <v>5</v>
      </c>
      <c r="Y374" s="13">
        <v>30</v>
      </c>
      <c r="Z374" s="13">
        <v>35</v>
      </c>
      <c r="AD374" s="110">
        <f t="shared" si="39"/>
        <v>44568</v>
      </c>
      <c r="AE374" s="13" t="e">
        <f>IF(AND(AD374&lt;=$AI$4,#REF!&lt;1),1,"")</f>
        <v>#REF!</v>
      </c>
      <c r="AF374" s="110">
        <f t="shared" ca="1" si="40"/>
        <v>44553</v>
      </c>
      <c r="AH374" s="13">
        <f t="shared" ca="1" si="41"/>
        <v>-11</v>
      </c>
    </row>
    <row r="375" spans="1:34" x14ac:dyDescent="0.25">
      <c r="A375" s="13" t="s">
        <v>8</v>
      </c>
      <c r="B375" s="13" t="s">
        <v>8</v>
      </c>
      <c r="C375" s="13" t="s">
        <v>1204</v>
      </c>
      <c r="D375" s="13" t="s">
        <v>1205</v>
      </c>
      <c r="E375" s="13" t="s">
        <v>723</v>
      </c>
      <c r="F375" s="13">
        <v>140</v>
      </c>
      <c r="G375" s="2" t="s">
        <v>1195</v>
      </c>
      <c r="H375" s="13" t="s">
        <v>0</v>
      </c>
      <c r="I375" s="13" t="s">
        <v>140</v>
      </c>
      <c r="J375" s="13" t="s">
        <v>139</v>
      </c>
      <c r="K375" s="109">
        <v>44564</v>
      </c>
      <c r="Q375" s="13" t="str">
        <f t="shared" si="35"/>
        <v>IBA1CRD025037AUTOSERVICIONUTRESA</v>
      </c>
      <c r="T375" s="123">
        <f t="shared" si="36"/>
        <v>0</v>
      </c>
      <c r="U375" s="13">
        <f t="shared" si="37"/>
        <v>0</v>
      </c>
      <c r="V375" s="123">
        <f t="shared" si="38"/>
        <v>0</v>
      </c>
      <c r="X375" s="13">
        <v>5</v>
      </c>
      <c r="Y375" s="13">
        <v>30</v>
      </c>
      <c r="Z375" s="13">
        <v>35</v>
      </c>
      <c r="AD375" s="110">
        <f t="shared" si="39"/>
        <v>44568</v>
      </c>
      <c r="AE375" s="13" t="e">
        <f>IF(AND(AD375&lt;=$AI$4,#REF!&lt;1),1,"")</f>
        <v>#REF!</v>
      </c>
      <c r="AF375" s="110">
        <f t="shared" ca="1" si="40"/>
        <v>44553</v>
      </c>
      <c r="AH375" s="13">
        <f t="shared" ca="1" si="41"/>
        <v>-11</v>
      </c>
    </row>
    <row r="376" spans="1:34" x14ac:dyDescent="0.25">
      <c r="A376" s="13" t="s">
        <v>9</v>
      </c>
      <c r="B376" s="13" t="s">
        <v>9</v>
      </c>
      <c r="C376" s="13" t="s">
        <v>1204</v>
      </c>
      <c r="D376" s="13" t="s">
        <v>1205</v>
      </c>
      <c r="E376" s="13" t="s">
        <v>723</v>
      </c>
      <c r="F376" s="13">
        <v>50</v>
      </c>
      <c r="G376" s="2" t="s">
        <v>1195</v>
      </c>
      <c r="H376" s="13" t="s">
        <v>0</v>
      </c>
      <c r="I376" s="13" t="s">
        <v>140</v>
      </c>
      <c r="J376" s="13" t="s">
        <v>139</v>
      </c>
      <c r="K376" s="109">
        <v>44564</v>
      </c>
      <c r="Q376" s="13" t="str">
        <f t="shared" si="35"/>
        <v>MEDECRD025037AUTOSERVICIONUTRESA</v>
      </c>
      <c r="T376" s="123">
        <f t="shared" si="36"/>
        <v>0</v>
      </c>
      <c r="U376" s="13">
        <f t="shared" si="37"/>
        <v>0</v>
      </c>
      <c r="V376" s="123">
        <f t="shared" si="38"/>
        <v>0</v>
      </c>
      <c r="X376" s="13">
        <v>5</v>
      </c>
      <c r="Y376" s="13">
        <v>30</v>
      </c>
      <c r="Z376" s="13">
        <v>35</v>
      </c>
      <c r="AD376" s="110">
        <f t="shared" si="39"/>
        <v>44568</v>
      </c>
      <c r="AE376" s="13" t="e">
        <f>IF(AND(AD376&lt;=$AI$4,#REF!&lt;1),1,"")</f>
        <v>#REF!</v>
      </c>
      <c r="AF376" s="110">
        <f t="shared" ca="1" si="40"/>
        <v>44553</v>
      </c>
      <c r="AH376" s="13">
        <f t="shared" ca="1" si="41"/>
        <v>-11</v>
      </c>
    </row>
    <row r="377" spans="1:34" x14ac:dyDescent="0.25">
      <c r="A377" s="13" t="s">
        <v>10</v>
      </c>
      <c r="B377" s="13" t="s">
        <v>10</v>
      </c>
      <c r="C377" s="13" t="s">
        <v>1204</v>
      </c>
      <c r="D377" s="13" t="s">
        <v>1205</v>
      </c>
      <c r="E377" s="13" t="s">
        <v>723</v>
      </c>
      <c r="F377" s="13">
        <v>50</v>
      </c>
      <c r="G377" s="2" t="s">
        <v>1195</v>
      </c>
      <c r="H377" s="13" t="s">
        <v>0</v>
      </c>
      <c r="I377" s="13" t="s">
        <v>140</v>
      </c>
      <c r="J377" s="13" t="s">
        <v>139</v>
      </c>
      <c r="K377" s="109">
        <v>44564</v>
      </c>
      <c r="Q377" s="13" t="str">
        <f t="shared" si="35"/>
        <v>PERECRD025037AUTOSERVICIONUTRESA</v>
      </c>
      <c r="T377" s="123">
        <f t="shared" si="36"/>
        <v>0</v>
      </c>
      <c r="U377" s="13">
        <f t="shared" si="37"/>
        <v>0</v>
      </c>
      <c r="V377" s="123">
        <f t="shared" si="38"/>
        <v>0</v>
      </c>
      <c r="X377" s="13">
        <v>5</v>
      </c>
      <c r="Y377" s="13">
        <v>30</v>
      </c>
      <c r="Z377" s="13">
        <v>35</v>
      </c>
      <c r="AD377" s="110">
        <f t="shared" si="39"/>
        <v>44568</v>
      </c>
      <c r="AE377" s="13" t="e">
        <f>IF(AND(AD377&lt;=$AI$4,#REF!&lt;1),1,"")</f>
        <v>#REF!</v>
      </c>
      <c r="AF377" s="110">
        <f t="shared" ca="1" si="40"/>
        <v>44553</v>
      </c>
      <c r="AH377" s="13">
        <f t="shared" ca="1" si="41"/>
        <v>-11</v>
      </c>
    </row>
    <row r="378" spans="1:34" x14ac:dyDescent="0.25">
      <c r="A378" s="13" t="s">
        <v>3</v>
      </c>
      <c r="B378" s="13" t="s">
        <v>3</v>
      </c>
      <c r="C378" s="13" t="s">
        <v>1206</v>
      </c>
      <c r="D378" s="13" t="s">
        <v>1207</v>
      </c>
      <c r="E378" s="13" t="s">
        <v>725</v>
      </c>
      <c r="F378" s="13">
        <v>3</v>
      </c>
      <c r="G378" s="2" t="s">
        <v>1207</v>
      </c>
      <c r="H378" s="13" t="s">
        <v>2</v>
      </c>
      <c r="I378" s="13" t="s">
        <v>140</v>
      </c>
      <c r="J378" s="13" t="s">
        <v>46</v>
      </c>
      <c r="K378" s="109">
        <v>44576</v>
      </c>
      <c r="Q378" s="13" t="str">
        <f t="shared" si="35"/>
        <v>BARRACT000554TRADICIONALNUTRESA</v>
      </c>
      <c r="T378" s="123">
        <f t="shared" si="36"/>
        <v>0</v>
      </c>
      <c r="U378" s="13">
        <f t="shared" si="37"/>
        <v>0</v>
      </c>
      <c r="V378" s="123">
        <f t="shared" si="38"/>
        <v>0</v>
      </c>
      <c r="X378" s="13">
        <v>50</v>
      </c>
      <c r="Y378" s="13">
        <v>50</v>
      </c>
      <c r="Z378" s="13">
        <v>150</v>
      </c>
      <c r="AD378" s="110">
        <f t="shared" si="39"/>
        <v>44580</v>
      </c>
      <c r="AE378" s="13" t="e">
        <f>IF(AND(AD378&lt;=$AI$4,#REF!&lt;1),1,"")</f>
        <v>#REF!</v>
      </c>
      <c r="AF378" s="110">
        <f t="shared" ca="1" si="40"/>
        <v>44553</v>
      </c>
      <c r="AH378" s="13">
        <f t="shared" ca="1" si="41"/>
        <v>-23</v>
      </c>
    </row>
    <row r="379" spans="1:34" x14ac:dyDescent="0.25">
      <c r="A379" s="13" t="s">
        <v>4</v>
      </c>
      <c r="B379" s="13" t="s">
        <v>4</v>
      </c>
      <c r="C379" s="13" t="s">
        <v>1206</v>
      </c>
      <c r="D379" s="13" t="s">
        <v>1207</v>
      </c>
      <c r="E379" s="13" t="s">
        <v>725</v>
      </c>
      <c r="F379" s="13">
        <v>5</v>
      </c>
      <c r="G379" s="2" t="s">
        <v>1207</v>
      </c>
      <c r="H379" s="13" t="s">
        <v>2</v>
      </c>
      <c r="I379" s="13" t="s">
        <v>140</v>
      </c>
      <c r="J379" s="13" t="s">
        <v>46</v>
      </c>
      <c r="K379" s="109">
        <v>44576</v>
      </c>
      <c r="Q379" s="13" t="str">
        <f t="shared" si="35"/>
        <v>BGTAACT000554TRADICIONALNUTRESA</v>
      </c>
      <c r="T379" s="123">
        <f t="shared" si="36"/>
        <v>0</v>
      </c>
      <c r="U379" s="13">
        <f t="shared" si="37"/>
        <v>0</v>
      </c>
      <c r="V379" s="123">
        <f t="shared" si="38"/>
        <v>0</v>
      </c>
      <c r="X379" s="13">
        <v>50</v>
      </c>
      <c r="Y379" s="13">
        <v>50</v>
      </c>
      <c r="Z379" s="13">
        <v>150</v>
      </c>
      <c r="AD379" s="110">
        <f t="shared" si="39"/>
        <v>44580</v>
      </c>
      <c r="AE379" s="13" t="e">
        <f>IF(AND(AD379&lt;=$AI$4,#REF!&lt;1),1,"")</f>
        <v>#REF!</v>
      </c>
      <c r="AF379" s="110">
        <f t="shared" ca="1" si="40"/>
        <v>44553</v>
      </c>
      <c r="AH379" s="13">
        <f t="shared" ca="1" si="41"/>
        <v>-23</v>
      </c>
    </row>
    <row r="380" spans="1:34" x14ac:dyDescent="0.25">
      <c r="A380" s="13" t="s">
        <v>724</v>
      </c>
      <c r="B380" s="13" t="s">
        <v>724</v>
      </c>
      <c r="C380" s="13" t="s">
        <v>1206</v>
      </c>
      <c r="D380" s="13" t="s">
        <v>1207</v>
      </c>
      <c r="E380" s="13" t="s">
        <v>725</v>
      </c>
      <c r="F380" s="13">
        <v>3</v>
      </c>
      <c r="G380" s="2" t="s">
        <v>1207</v>
      </c>
      <c r="H380" s="13" t="s">
        <v>2</v>
      </c>
      <c r="I380" s="13" t="s">
        <v>145</v>
      </c>
      <c r="J380" s="13" t="s">
        <v>46</v>
      </c>
      <c r="K380" s="109">
        <v>44576</v>
      </c>
      <c r="Q380" s="13" t="str">
        <f t="shared" si="35"/>
        <v>BGTA ALTACT000554TRADICIONALALTILLANO</v>
      </c>
      <c r="T380" s="123">
        <f t="shared" si="36"/>
        <v>0</v>
      </c>
      <c r="U380" s="13">
        <f t="shared" si="37"/>
        <v>0</v>
      </c>
      <c r="V380" s="123">
        <f t="shared" si="38"/>
        <v>0</v>
      </c>
      <c r="X380" s="13">
        <v>50</v>
      </c>
      <c r="Y380" s="13">
        <v>50</v>
      </c>
      <c r="Z380" s="13">
        <v>150</v>
      </c>
      <c r="AD380" s="110">
        <f t="shared" si="39"/>
        <v>44580</v>
      </c>
      <c r="AE380" s="13" t="e">
        <f>IF(AND(AD380&lt;=$AI$4,#REF!&lt;1),1,"")</f>
        <v>#REF!</v>
      </c>
      <c r="AF380" s="110">
        <f t="shared" ca="1" si="40"/>
        <v>44553</v>
      </c>
      <c r="AH380" s="13">
        <f t="shared" ca="1" si="41"/>
        <v>-23</v>
      </c>
    </row>
    <row r="381" spans="1:34" x14ac:dyDescent="0.25">
      <c r="A381" s="13" t="s">
        <v>149</v>
      </c>
      <c r="B381" s="13" t="s">
        <v>149</v>
      </c>
      <c r="C381" s="13" t="s">
        <v>1206</v>
      </c>
      <c r="D381" s="13" t="s">
        <v>1207</v>
      </c>
      <c r="E381" s="13" t="s">
        <v>725</v>
      </c>
      <c r="F381" s="13">
        <v>2</v>
      </c>
      <c r="G381" s="2" t="s">
        <v>1207</v>
      </c>
      <c r="H381" s="13" t="s">
        <v>2</v>
      </c>
      <c r="I381" s="13" t="s">
        <v>140</v>
      </c>
      <c r="J381" s="13" t="s">
        <v>46</v>
      </c>
      <c r="K381" s="109">
        <v>44576</v>
      </c>
      <c r="Q381" s="13" t="str">
        <f t="shared" si="35"/>
        <v>DUITACT000554TRADICIONALNUTRESA</v>
      </c>
      <c r="T381" s="123">
        <f t="shared" si="36"/>
        <v>0</v>
      </c>
      <c r="U381" s="13">
        <f t="shared" si="37"/>
        <v>0</v>
      </c>
      <c r="V381" s="123">
        <f t="shared" si="38"/>
        <v>0</v>
      </c>
      <c r="X381" s="13">
        <v>50</v>
      </c>
      <c r="Y381" s="13">
        <v>50</v>
      </c>
      <c r="Z381" s="13">
        <v>150</v>
      </c>
      <c r="AD381" s="110">
        <f t="shared" si="39"/>
        <v>44580</v>
      </c>
      <c r="AE381" s="13" t="e">
        <f>IF(AND(AD381&lt;=$AI$4,#REF!&lt;1),1,"")</f>
        <v>#REF!</v>
      </c>
      <c r="AF381" s="110">
        <f t="shared" ca="1" si="40"/>
        <v>44553</v>
      </c>
      <c r="AH381" s="13">
        <f t="shared" ca="1" si="41"/>
        <v>-23</v>
      </c>
    </row>
    <row r="382" spans="1:34" x14ac:dyDescent="0.25">
      <c r="A382" s="13" t="s">
        <v>150</v>
      </c>
      <c r="B382" s="13" t="s">
        <v>150</v>
      </c>
      <c r="C382" s="13" t="s">
        <v>1206</v>
      </c>
      <c r="D382" s="13" t="s">
        <v>1207</v>
      </c>
      <c r="E382" s="13" t="s">
        <v>725</v>
      </c>
      <c r="F382" s="13">
        <v>5</v>
      </c>
      <c r="G382" s="2" t="s">
        <v>1207</v>
      </c>
      <c r="H382" s="13" t="s">
        <v>2</v>
      </c>
      <c r="I382" s="13" t="s">
        <v>140</v>
      </c>
      <c r="J382" s="13" t="s">
        <v>46</v>
      </c>
      <c r="K382" s="109">
        <v>44576</v>
      </c>
      <c r="Q382" s="13" t="str">
        <f t="shared" si="35"/>
        <v>VILAACT000554TRADICIONALNUTRESA</v>
      </c>
      <c r="T382" s="123">
        <f t="shared" si="36"/>
        <v>0</v>
      </c>
      <c r="U382" s="13">
        <f t="shared" si="37"/>
        <v>0</v>
      </c>
      <c r="V382" s="123">
        <f t="shared" si="38"/>
        <v>0</v>
      </c>
      <c r="X382" s="13">
        <v>50</v>
      </c>
      <c r="Y382" s="13">
        <v>50</v>
      </c>
      <c r="Z382" s="13">
        <v>150</v>
      </c>
      <c r="AD382" s="110">
        <f t="shared" si="39"/>
        <v>44580</v>
      </c>
      <c r="AE382" s="13" t="e">
        <f>IF(AND(AD382&lt;=$AI$4,#REF!&lt;1),1,"")</f>
        <v>#REF!</v>
      </c>
      <c r="AF382" s="110">
        <f t="shared" ca="1" si="40"/>
        <v>44553</v>
      </c>
      <c r="AH382" s="13">
        <f t="shared" ca="1" si="41"/>
        <v>-23</v>
      </c>
    </row>
    <row r="383" spans="1:34" x14ac:dyDescent="0.25">
      <c r="A383" s="13" t="s">
        <v>5</v>
      </c>
      <c r="B383" s="13" t="s">
        <v>5</v>
      </c>
      <c r="C383" s="13" t="s">
        <v>1206</v>
      </c>
      <c r="D383" s="13" t="s">
        <v>1207</v>
      </c>
      <c r="E383" s="13" t="s">
        <v>725</v>
      </c>
      <c r="F383" s="13">
        <v>8</v>
      </c>
      <c r="G383" s="2" t="s">
        <v>1207</v>
      </c>
      <c r="H383" s="13" t="s">
        <v>2</v>
      </c>
      <c r="I383" s="13" t="s">
        <v>140</v>
      </c>
      <c r="J383" s="13" t="s">
        <v>46</v>
      </c>
      <c r="K383" s="109">
        <v>44576</v>
      </c>
      <c r="Q383" s="13" t="str">
        <f t="shared" si="35"/>
        <v>BUCAACT000554TRADICIONALNUTRESA</v>
      </c>
      <c r="T383" s="123">
        <f t="shared" si="36"/>
        <v>0</v>
      </c>
      <c r="U383" s="13">
        <f t="shared" si="37"/>
        <v>0</v>
      </c>
      <c r="V383" s="123">
        <f t="shared" si="38"/>
        <v>0</v>
      </c>
      <c r="X383" s="13">
        <v>50</v>
      </c>
      <c r="Y383" s="13">
        <v>50</v>
      </c>
      <c r="Z383" s="13">
        <v>150</v>
      </c>
      <c r="AD383" s="110">
        <f t="shared" si="39"/>
        <v>44580</v>
      </c>
      <c r="AE383" s="13" t="e">
        <f>IF(AND(AD383&lt;=$AI$4,#REF!&lt;1),1,"")</f>
        <v>#REF!</v>
      </c>
      <c r="AF383" s="110">
        <f t="shared" ca="1" si="40"/>
        <v>44553</v>
      </c>
      <c r="AH383" s="13">
        <f t="shared" ca="1" si="41"/>
        <v>-23</v>
      </c>
    </row>
    <row r="384" spans="1:34" x14ac:dyDescent="0.25">
      <c r="A384" s="13" t="s">
        <v>6</v>
      </c>
      <c r="B384" s="13" t="s">
        <v>6</v>
      </c>
      <c r="C384" s="13" t="s">
        <v>1206</v>
      </c>
      <c r="D384" s="13" t="s">
        <v>1207</v>
      </c>
      <c r="E384" s="13" t="s">
        <v>725</v>
      </c>
      <c r="F384" s="13">
        <v>8</v>
      </c>
      <c r="G384" s="2" t="s">
        <v>1207</v>
      </c>
      <c r="H384" s="13" t="s">
        <v>2</v>
      </c>
      <c r="I384" s="13" t="s">
        <v>140</v>
      </c>
      <c r="J384" s="13" t="s">
        <v>46</v>
      </c>
      <c r="K384" s="109">
        <v>44576</v>
      </c>
      <c r="Q384" s="13" t="str">
        <f t="shared" si="35"/>
        <v>CALIACT000554TRADICIONALNUTRESA</v>
      </c>
      <c r="T384" s="123">
        <f t="shared" si="36"/>
        <v>0</v>
      </c>
      <c r="U384" s="13">
        <f t="shared" si="37"/>
        <v>0</v>
      </c>
      <c r="V384" s="123">
        <f t="shared" si="38"/>
        <v>0</v>
      </c>
      <c r="X384" s="13">
        <v>50</v>
      </c>
      <c r="Y384" s="13">
        <v>50</v>
      </c>
      <c r="Z384" s="13">
        <v>150</v>
      </c>
      <c r="AD384" s="110">
        <f t="shared" si="39"/>
        <v>44580</v>
      </c>
      <c r="AE384" s="13" t="e">
        <f>IF(AND(AD384&lt;=$AI$4,#REF!&lt;1),1,"")</f>
        <v>#REF!</v>
      </c>
      <c r="AF384" s="110">
        <f t="shared" ca="1" si="40"/>
        <v>44553</v>
      </c>
      <c r="AH384" s="13">
        <f t="shared" ca="1" si="41"/>
        <v>-23</v>
      </c>
    </row>
    <row r="385" spans="1:34" x14ac:dyDescent="0.25">
      <c r="A385" s="13" t="s">
        <v>7</v>
      </c>
      <c r="B385" s="13" t="s">
        <v>7</v>
      </c>
      <c r="C385" s="13" t="s">
        <v>1206</v>
      </c>
      <c r="D385" s="13" t="s">
        <v>1207</v>
      </c>
      <c r="E385" s="13" t="s">
        <v>725</v>
      </c>
      <c r="F385" s="13">
        <v>11</v>
      </c>
      <c r="G385" s="2" t="s">
        <v>1207</v>
      </c>
      <c r="H385" s="13" t="s">
        <v>2</v>
      </c>
      <c r="I385" s="13" t="s">
        <v>140</v>
      </c>
      <c r="J385" s="13" t="s">
        <v>46</v>
      </c>
      <c r="K385" s="109">
        <v>44576</v>
      </c>
      <c r="Q385" s="13" t="str">
        <f t="shared" si="35"/>
        <v>CARTACT000554TRADICIONALNUTRESA</v>
      </c>
      <c r="T385" s="123">
        <f t="shared" si="36"/>
        <v>0</v>
      </c>
      <c r="U385" s="13">
        <f t="shared" si="37"/>
        <v>0</v>
      </c>
      <c r="V385" s="123">
        <f t="shared" si="38"/>
        <v>0</v>
      </c>
      <c r="X385" s="13">
        <v>50</v>
      </c>
      <c r="Y385" s="13">
        <v>50</v>
      </c>
      <c r="Z385" s="13">
        <v>150</v>
      </c>
      <c r="AD385" s="110">
        <f t="shared" si="39"/>
        <v>44580</v>
      </c>
      <c r="AE385" s="13" t="e">
        <f>IF(AND(AD385&lt;=$AI$4,#REF!&lt;1),1,"")</f>
        <v>#REF!</v>
      </c>
      <c r="AF385" s="110">
        <f t="shared" ca="1" si="40"/>
        <v>44553</v>
      </c>
      <c r="AH385" s="13">
        <f t="shared" ca="1" si="41"/>
        <v>-23</v>
      </c>
    </row>
    <row r="386" spans="1:34" x14ac:dyDescent="0.25">
      <c r="A386" s="13" t="s">
        <v>8</v>
      </c>
      <c r="B386" s="13" t="s">
        <v>8</v>
      </c>
      <c r="C386" s="13" t="s">
        <v>1206</v>
      </c>
      <c r="D386" s="13" t="s">
        <v>1207</v>
      </c>
      <c r="E386" s="13" t="s">
        <v>725</v>
      </c>
      <c r="F386" s="13">
        <v>8</v>
      </c>
      <c r="G386" s="2" t="s">
        <v>1207</v>
      </c>
      <c r="H386" s="13" t="s">
        <v>2</v>
      </c>
      <c r="I386" s="13" t="s">
        <v>140</v>
      </c>
      <c r="J386" s="13" t="s">
        <v>46</v>
      </c>
      <c r="K386" s="109">
        <v>44576</v>
      </c>
      <c r="Q386" s="13" t="str">
        <f t="shared" si="35"/>
        <v>IBA1ACT000554TRADICIONALNUTRESA</v>
      </c>
      <c r="T386" s="123">
        <f t="shared" si="36"/>
        <v>0</v>
      </c>
      <c r="U386" s="13">
        <f t="shared" si="37"/>
        <v>0</v>
      </c>
      <c r="V386" s="123">
        <f t="shared" si="38"/>
        <v>0</v>
      </c>
      <c r="X386" s="13">
        <v>50</v>
      </c>
      <c r="Y386" s="13">
        <v>50</v>
      </c>
      <c r="Z386" s="13">
        <v>150</v>
      </c>
      <c r="AD386" s="110">
        <f t="shared" si="39"/>
        <v>44580</v>
      </c>
      <c r="AE386" s="13" t="e">
        <f>IF(AND(AD386&lt;=$AI$4,#REF!&lt;1),1,"")</f>
        <v>#REF!</v>
      </c>
      <c r="AF386" s="110">
        <f t="shared" ca="1" si="40"/>
        <v>44553</v>
      </c>
      <c r="AH386" s="13">
        <f t="shared" ca="1" si="41"/>
        <v>-23</v>
      </c>
    </row>
    <row r="387" spans="1:34" x14ac:dyDescent="0.25">
      <c r="A387" s="13" t="s">
        <v>9</v>
      </c>
      <c r="B387" s="13" t="s">
        <v>9</v>
      </c>
      <c r="C387" s="13" t="s">
        <v>1206</v>
      </c>
      <c r="D387" s="13" t="s">
        <v>1207</v>
      </c>
      <c r="E387" s="13" t="s">
        <v>725</v>
      </c>
      <c r="F387" s="13">
        <v>15</v>
      </c>
      <c r="G387" s="2" t="s">
        <v>1207</v>
      </c>
      <c r="H387" s="13" t="s">
        <v>2</v>
      </c>
      <c r="I387" s="13" t="s">
        <v>140</v>
      </c>
      <c r="J387" s="13" t="s">
        <v>46</v>
      </c>
      <c r="K387" s="109">
        <v>44576</v>
      </c>
      <c r="Q387" s="13" t="str">
        <f t="shared" ref="Q387:Q388" si="42">+CONCATENATE(B387,C387,H387,I387)</f>
        <v>MEDEACT000554TRADICIONALNUTRESA</v>
      </c>
      <c r="T387" s="123">
        <f t="shared" ref="T387:T388" si="43">IFERROR(R387/F387,0)</f>
        <v>0</v>
      </c>
      <c r="U387" s="13">
        <f t="shared" ref="U387:U388" si="44">R387-S387</f>
        <v>0</v>
      </c>
      <c r="V387" s="123">
        <f t="shared" ref="V387:V388" si="45">IFERROR(U387/R387,0)</f>
        <v>0</v>
      </c>
      <c r="X387" s="13">
        <v>50</v>
      </c>
      <c r="Y387" s="13">
        <v>50</v>
      </c>
      <c r="Z387" s="13">
        <v>150</v>
      </c>
      <c r="AD387" s="110">
        <f t="shared" ref="AD387:AD388" si="46">K387+4</f>
        <v>44580</v>
      </c>
      <c r="AE387" s="13" t="e">
        <f>IF(AND(AD387&lt;=$AI$4,#REF!&lt;1),1,"")</f>
        <v>#REF!</v>
      </c>
      <c r="AF387" s="110">
        <f t="shared" ref="AF387:AF388" ca="1" si="47">TODAY()</f>
        <v>44553</v>
      </c>
      <c r="AH387" s="13">
        <f t="shared" ref="AH387:AH388" ca="1" si="48">AF387-K387</f>
        <v>-23</v>
      </c>
    </row>
    <row r="388" spans="1:34" x14ac:dyDescent="0.25">
      <c r="A388" s="13" t="s">
        <v>10</v>
      </c>
      <c r="B388" s="13" t="s">
        <v>10</v>
      </c>
      <c r="C388" s="13" t="s">
        <v>1206</v>
      </c>
      <c r="D388" s="13" t="s">
        <v>1207</v>
      </c>
      <c r="E388" s="13" t="s">
        <v>725</v>
      </c>
      <c r="F388" s="13">
        <v>2</v>
      </c>
      <c r="G388" s="2" t="s">
        <v>1207</v>
      </c>
      <c r="H388" s="13" t="s">
        <v>2</v>
      </c>
      <c r="I388" s="13" t="s">
        <v>140</v>
      </c>
      <c r="J388" s="13" t="s">
        <v>46</v>
      </c>
      <c r="K388" s="109">
        <v>44576</v>
      </c>
      <c r="Q388" s="13" t="str">
        <f t="shared" si="42"/>
        <v>PEREACT000554TRADICIONALNUTRESA</v>
      </c>
      <c r="T388" s="123">
        <f t="shared" si="43"/>
        <v>0</v>
      </c>
      <c r="U388" s="13">
        <f t="shared" si="44"/>
        <v>0</v>
      </c>
      <c r="V388" s="123">
        <f t="shared" si="45"/>
        <v>0</v>
      </c>
      <c r="X388" s="13">
        <v>50</v>
      </c>
      <c r="Y388" s="13">
        <v>50</v>
      </c>
      <c r="Z388" s="13">
        <v>150</v>
      </c>
      <c r="AD388" s="110">
        <f t="shared" si="46"/>
        <v>44580</v>
      </c>
      <c r="AE388" s="13" t="e">
        <f>IF(AND(AD388&lt;=$AI$4,#REF!&lt;1),1,"")</f>
        <v>#REF!</v>
      </c>
      <c r="AF388" s="110">
        <f t="shared" ca="1" si="47"/>
        <v>44553</v>
      </c>
      <c r="AH388" s="13">
        <f t="shared" ca="1" si="48"/>
        <v>-23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2021-12-23T20:26:34Z</dcterms:modified>
</cp:coreProperties>
</file>