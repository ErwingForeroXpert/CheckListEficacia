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drawings/drawing6.xml" ContentType="application/vnd.openxmlformats-officedocument.drawing+xml"/>
  <Override PartName="/xl/slicers/slicer3.xml" ContentType="application/vnd.ms-excel.slicer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ccopracdirs\Documents\GitHub\CheckListEficacia\Program\documents\"/>
    </mc:Choice>
  </mc:AlternateContent>
  <bookViews>
    <workbookView xWindow="7575" yWindow="0" windowWidth="16980" windowHeight="7410" firstSheet="4" activeTab="9"/>
  </bookViews>
  <sheets>
    <sheet name="Explicacion" sheetId="23" r:id="rId1"/>
    <sheet name="Panel de Control" sheetId="1512" r:id="rId2"/>
    <sheet name="General" sheetId="26" r:id="rId3"/>
    <sheet name="Ultimos Ingresos" sheetId="38" r:id="rId4"/>
    <sheet name="Canal" sheetId="1515" r:id="rId5"/>
    <sheet name="Resumen" sheetId="1514" r:id="rId6"/>
    <sheet name="TD_historica" sheetId="1517" r:id="rId7"/>
    <sheet name="BD_historica" sheetId="1516" r:id="rId8"/>
    <sheet name="FORMATO " sheetId="771" r:id="rId9"/>
    <sheet name="Base de Datos" sheetId="5" r:id="rId10"/>
    <sheet name="Ingresos" sheetId="28" r:id="rId11"/>
    <sheet name="Inventario" sheetId="30" r:id="rId12"/>
    <sheet name="Tabla dinamica Ingresos" sheetId="29" r:id="rId13"/>
    <sheet name="Tabla dinamica inventario" sheetId="31" r:id="rId14"/>
  </sheets>
  <functionGroups builtInGroupCount="18"/>
  <definedNames>
    <definedName name="_xlnm._FilterDatabase" localSheetId="9" hidden="1">'Base de Datos'!$A$1:$AG$2</definedName>
    <definedName name="_xlnm._FilterDatabase" localSheetId="2" hidden="1">General!$A$10:$CH$49</definedName>
    <definedName name="_xlnm._FilterDatabase" localSheetId="10" hidden="1">Ingresos!$A$1:$AI$2</definedName>
    <definedName name="_xlnm._FilterDatabase" localSheetId="11" hidden="1">Inventario!$A$1:$AI$2</definedName>
    <definedName name="BD">OFFSET('Base de Datos'!$A$1,0,0,COUNTA('Base de Datos'!$A:$A),COUNTA('Base de Datos'!$1:$1))</definedName>
    <definedName name="BD_hist">OFFSET(BD_historica!$A$1,0,0,COUNTA(BD_historica!$A:$A),COUNTA(BD_historica!$1:$1))</definedName>
    <definedName name="ingresos">OFFSET(Ingresos!$A$1,0,0,COUNTA(Ingresos!$A:$A),COUNTA(Ingresos!$1:$1))</definedName>
    <definedName name="Inventario">OFFSET(Inventario!$A$1,0,0,COUNTA(Inventario!$A:$A),COUNTA(Inventario!$1:$1))</definedName>
    <definedName name="SegmentaciónDeDatos_INICIATIVA">#N/A</definedName>
    <definedName name="SegmentaciónDeDatos_INICIATIVA1">#N/A</definedName>
    <definedName name="SegmentaciónDeDatos_INICIATIVA11">#N/A</definedName>
    <definedName name="SegmentaciónDeDatos_TIPO">#N/A</definedName>
    <definedName name="SegmentaciónDeDatos_TIPO1">#N/A</definedName>
    <definedName name="SegmentaciónDeDatos_TIPO11">#N/A</definedName>
    <definedName name="TD_ingresos">" =DESREF('Ingresos'!$A$1;0;0;CONTARA('Ingresos'!$A:$A);CONTARA('Ingresos'!$1:$1))"</definedName>
  </definedNames>
  <calcPr calcId="162913"/>
  <pivotCaches>
    <pivotCache cacheId="54" r:id="rId15"/>
    <pivotCache cacheId="60" r:id="rId16"/>
    <pivotCache cacheId="65" r:id="rId17"/>
    <pivotCache cacheId="70" r:id="rId18"/>
    <pivotCache cacheId="76" r:id="rId19"/>
  </pivotCaches>
  <extLst>
    <ext xmlns:x14="http://schemas.microsoft.com/office/spreadsheetml/2009/9/main" uri="{BBE1A952-AA13-448e-AADC-164F8A28A991}">
      <x14:slicerCaches>
        <x14:slicerCache r:id="rId20"/>
        <x14:slicerCache r:id="rId21"/>
        <x14:slicerCache r:id="rId22"/>
        <x14:slicerCache r:id="rId23"/>
        <x14:slicerCache r:id="rId24"/>
        <x14:slicerCache r:id="rId25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C61" i="5" l="1"/>
  <c r="AC84" i="5"/>
  <c r="AC125" i="5"/>
  <c r="AC148" i="5"/>
  <c r="AC189" i="5"/>
  <c r="AC212" i="5"/>
  <c r="AC253" i="5"/>
  <c r="AC276" i="5"/>
  <c r="AB8" i="5"/>
  <c r="AC8" i="5" s="1"/>
  <c r="AB9" i="5"/>
  <c r="AC9" i="5" s="1"/>
  <c r="AB16" i="5"/>
  <c r="AC16" i="5" s="1"/>
  <c r="AB20" i="5"/>
  <c r="AC20" i="5" s="1"/>
  <c r="AB28" i="5"/>
  <c r="AC28" i="5" s="1"/>
  <c r="AB33" i="5"/>
  <c r="AC33" i="5" s="1"/>
  <c r="AB41" i="5"/>
  <c r="AC41" i="5" s="1"/>
  <c r="AB48" i="5"/>
  <c r="AC48" i="5" s="1"/>
  <c r="AB60" i="5"/>
  <c r="AC60" i="5" s="1"/>
  <c r="AB66" i="5"/>
  <c r="AC66" i="5" s="1"/>
  <c r="AB72" i="5"/>
  <c r="AC72" i="5" s="1"/>
  <c r="AB73" i="5"/>
  <c r="AC73" i="5" s="1"/>
  <c r="AB80" i="5"/>
  <c r="AC80" i="5" s="1"/>
  <c r="AB84" i="5"/>
  <c r="AB92" i="5"/>
  <c r="AC92" i="5" s="1"/>
  <c r="AB97" i="5"/>
  <c r="AC97" i="5" s="1"/>
  <c r="AB105" i="5"/>
  <c r="AC105" i="5" s="1"/>
  <c r="AB112" i="5"/>
  <c r="AC112" i="5" s="1"/>
  <c r="AB124" i="5"/>
  <c r="AC124" i="5" s="1"/>
  <c r="AB130" i="5"/>
  <c r="AC130" i="5" s="1"/>
  <c r="AB136" i="5"/>
  <c r="AC136" i="5" s="1"/>
  <c r="AB137" i="5"/>
  <c r="AC137" i="5" s="1"/>
  <c r="AB144" i="5"/>
  <c r="AC144" i="5" s="1"/>
  <c r="AB148" i="5"/>
  <c r="AB156" i="5"/>
  <c r="AC156" i="5" s="1"/>
  <c r="AB161" i="5"/>
  <c r="AC161" i="5" s="1"/>
  <c r="AB169" i="5"/>
  <c r="AC169" i="5" s="1"/>
  <c r="AB176" i="5"/>
  <c r="AC176" i="5" s="1"/>
  <c r="AB188" i="5"/>
  <c r="AC188" i="5" s="1"/>
  <c r="AB194" i="5"/>
  <c r="AC194" i="5" s="1"/>
  <c r="AB200" i="5"/>
  <c r="AC200" i="5" s="1"/>
  <c r="AB201" i="5"/>
  <c r="AC201" i="5" s="1"/>
  <c r="AB208" i="5"/>
  <c r="AC208" i="5" s="1"/>
  <c r="AB212" i="5"/>
  <c r="AB220" i="5"/>
  <c r="AC220" i="5" s="1"/>
  <c r="AB225" i="5"/>
  <c r="AC225" i="5" s="1"/>
  <c r="AB233" i="5"/>
  <c r="AC233" i="5" s="1"/>
  <c r="AB240" i="5"/>
  <c r="AC240" i="5" s="1"/>
  <c r="AB252" i="5"/>
  <c r="AC252" i="5" s="1"/>
  <c r="AB258" i="5"/>
  <c r="AC258" i="5" s="1"/>
  <c r="AB264" i="5"/>
  <c r="AC264" i="5" s="1"/>
  <c r="AB265" i="5"/>
  <c r="AC265" i="5" s="1"/>
  <c r="AB272" i="5"/>
  <c r="AC272" i="5" s="1"/>
  <c r="AB276" i="5"/>
  <c r="AB284" i="5"/>
  <c r="AC284" i="5" s="1"/>
  <c r="AB289" i="5"/>
  <c r="AC289" i="5" s="1"/>
  <c r="AB297" i="5"/>
  <c r="AC297" i="5" s="1"/>
  <c r="AB300" i="5"/>
  <c r="AC300" i="5" s="1"/>
  <c r="AB307" i="5"/>
  <c r="AC307" i="5" s="1"/>
  <c r="AB315" i="5"/>
  <c r="AC315" i="5" s="1"/>
  <c r="AB323" i="5"/>
  <c r="AC323" i="5" s="1"/>
  <c r="AB331" i="5"/>
  <c r="AC331" i="5" s="1"/>
  <c r="AB339" i="5"/>
  <c r="AC339" i="5" s="1"/>
  <c r="AB347" i="5"/>
  <c r="AC347" i="5" s="1"/>
  <c r="AB355" i="5"/>
  <c r="AC355" i="5" s="1"/>
  <c r="AB363" i="5"/>
  <c r="AC363" i="5" s="1"/>
  <c r="AB371" i="5"/>
  <c r="AC371" i="5" s="1"/>
  <c r="AB379" i="5"/>
  <c r="AC379" i="5" s="1"/>
  <c r="AA3" i="5"/>
  <c r="AB3" i="5" s="1"/>
  <c r="AC3" i="5" s="1"/>
  <c r="AA4" i="5"/>
  <c r="AB4" i="5" s="1"/>
  <c r="AC4" i="5" s="1"/>
  <c r="AA5" i="5"/>
  <c r="AB5" i="5" s="1"/>
  <c r="AC5" i="5" s="1"/>
  <c r="AA6" i="5"/>
  <c r="AB6" i="5" s="1"/>
  <c r="AC6" i="5" s="1"/>
  <c r="AA7" i="5"/>
  <c r="AB7" i="5" s="1"/>
  <c r="AC7" i="5" s="1"/>
  <c r="AA8" i="5"/>
  <c r="AA9" i="5"/>
  <c r="AA10" i="5"/>
  <c r="AB10" i="5" s="1"/>
  <c r="AC10" i="5" s="1"/>
  <c r="AA11" i="5"/>
  <c r="AB11" i="5" s="1"/>
  <c r="AC11" i="5" s="1"/>
  <c r="AA12" i="5"/>
  <c r="AB12" i="5" s="1"/>
  <c r="AC12" i="5" s="1"/>
  <c r="AA13" i="5"/>
  <c r="AB13" i="5" s="1"/>
  <c r="AC13" i="5" s="1"/>
  <c r="AA14" i="5"/>
  <c r="AB14" i="5" s="1"/>
  <c r="AC14" i="5" s="1"/>
  <c r="AA15" i="5"/>
  <c r="AB15" i="5" s="1"/>
  <c r="AC15" i="5" s="1"/>
  <c r="AA16" i="5"/>
  <c r="AA17" i="5"/>
  <c r="AB17" i="5" s="1"/>
  <c r="AC17" i="5" s="1"/>
  <c r="AA18" i="5"/>
  <c r="AB18" i="5" s="1"/>
  <c r="AC18" i="5" s="1"/>
  <c r="AA19" i="5"/>
  <c r="AB19" i="5" s="1"/>
  <c r="AC19" i="5" s="1"/>
  <c r="AA20" i="5"/>
  <c r="AA21" i="5"/>
  <c r="AB21" i="5" s="1"/>
  <c r="AC21" i="5" s="1"/>
  <c r="AA22" i="5"/>
  <c r="AB22" i="5" s="1"/>
  <c r="AC22" i="5" s="1"/>
  <c r="AA23" i="5"/>
  <c r="AB23" i="5" s="1"/>
  <c r="AC23" i="5" s="1"/>
  <c r="AA24" i="5"/>
  <c r="AB24" i="5" s="1"/>
  <c r="AC24" i="5" s="1"/>
  <c r="AA25" i="5"/>
  <c r="AB25" i="5" s="1"/>
  <c r="AC25" i="5" s="1"/>
  <c r="AA26" i="5"/>
  <c r="AB26" i="5" s="1"/>
  <c r="AC26" i="5" s="1"/>
  <c r="AA27" i="5"/>
  <c r="AB27" i="5" s="1"/>
  <c r="AC27" i="5" s="1"/>
  <c r="AA28" i="5"/>
  <c r="AA29" i="5"/>
  <c r="AB29" i="5" s="1"/>
  <c r="AC29" i="5" s="1"/>
  <c r="AA30" i="5"/>
  <c r="AB30" i="5" s="1"/>
  <c r="AC30" i="5" s="1"/>
  <c r="AA31" i="5"/>
  <c r="AB31" i="5" s="1"/>
  <c r="AC31" i="5" s="1"/>
  <c r="AA32" i="5"/>
  <c r="AB32" i="5" s="1"/>
  <c r="AC32" i="5" s="1"/>
  <c r="AA33" i="5"/>
  <c r="AA34" i="5"/>
  <c r="AB34" i="5" s="1"/>
  <c r="AC34" i="5" s="1"/>
  <c r="AA35" i="5"/>
  <c r="AB35" i="5" s="1"/>
  <c r="AC35" i="5" s="1"/>
  <c r="AA36" i="5"/>
  <c r="AB36" i="5" s="1"/>
  <c r="AC36" i="5" s="1"/>
  <c r="AA37" i="5"/>
  <c r="AB37" i="5" s="1"/>
  <c r="AC37" i="5" s="1"/>
  <c r="AA38" i="5"/>
  <c r="AB38" i="5" s="1"/>
  <c r="AC38" i="5" s="1"/>
  <c r="AA39" i="5"/>
  <c r="AB39" i="5" s="1"/>
  <c r="AC39" i="5" s="1"/>
  <c r="AA40" i="5"/>
  <c r="AB40" i="5" s="1"/>
  <c r="AC40" i="5" s="1"/>
  <c r="AA41" i="5"/>
  <c r="AA42" i="5"/>
  <c r="AB42" i="5" s="1"/>
  <c r="AC42" i="5" s="1"/>
  <c r="AA43" i="5"/>
  <c r="AB43" i="5" s="1"/>
  <c r="AC43" i="5" s="1"/>
  <c r="AA44" i="5"/>
  <c r="AB44" i="5" s="1"/>
  <c r="AC44" i="5" s="1"/>
  <c r="AA45" i="5"/>
  <c r="AB45" i="5" s="1"/>
  <c r="AC45" i="5" s="1"/>
  <c r="AA46" i="5"/>
  <c r="AB46" i="5" s="1"/>
  <c r="AC46" i="5" s="1"/>
  <c r="AA47" i="5"/>
  <c r="AB47" i="5" s="1"/>
  <c r="AC47" i="5" s="1"/>
  <c r="AA48" i="5"/>
  <c r="AA49" i="5"/>
  <c r="AB49" i="5" s="1"/>
  <c r="AC49" i="5" s="1"/>
  <c r="AA50" i="5"/>
  <c r="AB50" i="5" s="1"/>
  <c r="AC50" i="5" s="1"/>
  <c r="AA51" i="5"/>
  <c r="AB51" i="5" s="1"/>
  <c r="AC51" i="5" s="1"/>
  <c r="AA52" i="5"/>
  <c r="AB52" i="5" s="1"/>
  <c r="AC52" i="5" s="1"/>
  <c r="AA53" i="5"/>
  <c r="AB53" i="5" s="1"/>
  <c r="AC53" i="5" s="1"/>
  <c r="AA54" i="5"/>
  <c r="AB54" i="5" s="1"/>
  <c r="AC54" i="5" s="1"/>
  <c r="AA55" i="5"/>
  <c r="AB55" i="5" s="1"/>
  <c r="AC55" i="5" s="1"/>
  <c r="AA56" i="5"/>
  <c r="AB56" i="5" s="1"/>
  <c r="AC56" i="5" s="1"/>
  <c r="AA57" i="5"/>
  <c r="AB57" i="5" s="1"/>
  <c r="AC57" i="5" s="1"/>
  <c r="AA58" i="5"/>
  <c r="AB58" i="5" s="1"/>
  <c r="AC58" i="5" s="1"/>
  <c r="AA59" i="5"/>
  <c r="AB59" i="5" s="1"/>
  <c r="AC59" i="5" s="1"/>
  <c r="AA60" i="5"/>
  <c r="AA61" i="5"/>
  <c r="AB61" i="5" s="1"/>
  <c r="AA62" i="5"/>
  <c r="AB62" i="5" s="1"/>
  <c r="AC62" i="5" s="1"/>
  <c r="AA63" i="5"/>
  <c r="AB63" i="5" s="1"/>
  <c r="AC63" i="5" s="1"/>
  <c r="AA64" i="5"/>
  <c r="AB64" i="5" s="1"/>
  <c r="AC64" i="5" s="1"/>
  <c r="AA65" i="5"/>
  <c r="AB65" i="5" s="1"/>
  <c r="AC65" i="5" s="1"/>
  <c r="AA66" i="5"/>
  <c r="AA67" i="5"/>
  <c r="AB67" i="5" s="1"/>
  <c r="AC67" i="5" s="1"/>
  <c r="AA68" i="5"/>
  <c r="AB68" i="5" s="1"/>
  <c r="AC68" i="5" s="1"/>
  <c r="AA69" i="5"/>
  <c r="AB69" i="5" s="1"/>
  <c r="AC69" i="5" s="1"/>
  <c r="AA70" i="5"/>
  <c r="AB70" i="5" s="1"/>
  <c r="AC70" i="5" s="1"/>
  <c r="AA71" i="5"/>
  <c r="AB71" i="5" s="1"/>
  <c r="AC71" i="5" s="1"/>
  <c r="AA72" i="5"/>
  <c r="AA73" i="5"/>
  <c r="AA74" i="5"/>
  <c r="AB74" i="5" s="1"/>
  <c r="AC74" i="5" s="1"/>
  <c r="AA75" i="5"/>
  <c r="AB75" i="5" s="1"/>
  <c r="AC75" i="5" s="1"/>
  <c r="AA76" i="5"/>
  <c r="AB76" i="5" s="1"/>
  <c r="AC76" i="5" s="1"/>
  <c r="AA77" i="5"/>
  <c r="AB77" i="5" s="1"/>
  <c r="AC77" i="5" s="1"/>
  <c r="AA78" i="5"/>
  <c r="AB78" i="5" s="1"/>
  <c r="AC78" i="5" s="1"/>
  <c r="AA79" i="5"/>
  <c r="AB79" i="5" s="1"/>
  <c r="AC79" i="5" s="1"/>
  <c r="AA80" i="5"/>
  <c r="AA81" i="5"/>
  <c r="AB81" i="5" s="1"/>
  <c r="AC81" i="5" s="1"/>
  <c r="AA82" i="5"/>
  <c r="AB82" i="5" s="1"/>
  <c r="AC82" i="5" s="1"/>
  <c r="AA83" i="5"/>
  <c r="AB83" i="5" s="1"/>
  <c r="AC83" i="5" s="1"/>
  <c r="AA84" i="5"/>
  <c r="AA85" i="5"/>
  <c r="AB85" i="5" s="1"/>
  <c r="AC85" i="5" s="1"/>
  <c r="AA86" i="5"/>
  <c r="AB86" i="5" s="1"/>
  <c r="AC86" i="5" s="1"/>
  <c r="AA87" i="5"/>
  <c r="AB87" i="5" s="1"/>
  <c r="AC87" i="5" s="1"/>
  <c r="AA88" i="5"/>
  <c r="AB88" i="5" s="1"/>
  <c r="AC88" i="5" s="1"/>
  <c r="AA89" i="5"/>
  <c r="AB89" i="5" s="1"/>
  <c r="AC89" i="5" s="1"/>
  <c r="AA90" i="5"/>
  <c r="AB90" i="5" s="1"/>
  <c r="AC90" i="5" s="1"/>
  <c r="AA91" i="5"/>
  <c r="AB91" i="5" s="1"/>
  <c r="AC91" i="5" s="1"/>
  <c r="AA92" i="5"/>
  <c r="AA93" i="5"/>
  <c r="AB93" i="5" s="1"/>
  <c r="AC93" i="5" s="1"/>
  <c r="AA94" i="5"/>
  <c r="AB94" i="5" s="1"/>
  <c r="AC94" i="5" s="1"/>
  <c r="AA95" i="5"/>
  <c r="AB95" i="5" s="1"/>
  <c r="AC95" i="5" s="1"/>
  <c r="AA96" i="5"/>
  <c r="AB96" i="5" s="1"/>
  <c r="AC96" i="5" s="1"/>
  <c r="AA97" i="5"/>
  <c r="AA98" i="5"/>
  <c r="AB98" i="5" s="1"/>
  <c r="AC98" i="5" s="1"/>
  <c r="AA99" i="5"/>
  <c r="AB99" i="5" s="1"/>
  <c r="AC99" i="5" s="1"/>
  <c r="AA100" i="5"/>
  <c r="AB100" i="5" s="1"/>
  <c r="AC100" i="5" s="1"/>
  <c r="AA101" i="5"/>
  <c r="AB101" i="5" s="1"/>
  <c r="AC101" i="5" s="1"/>
  <c r="AA102" i="5"/>
  <c r="AB102" i="5" s="1"/>
  <c r="AC102" i="5" s="1"/>
  <c r="AA103" i="5"/>
  <c r="AB103" i="5" s="1"/>
  <c r="AC103" i="5" s="1"/>
  <c r="AA104" i="5"/>
  <c r="AB104" i="5" s="1"/>
  <c r="AC104" i="5" s="1"/>
  <c r="AA105" i="5"/>
  <c r="AA106" i="5"/>
  <c r="AB106" i="5" s="1"/>
  <c r="AC106" i="5" s="1"/>
  <c r="AA107" i="5"/>
  <c r="AB107" i="5" s="1"/>
  <c r="AC107" i="5" s="1"/>
  <c r="AA108" i="5"/>
  <c r="AB108" i="5" s="1"/>
  <c r="AC108" i="5" s="1"/>
  <c r="AA109" i="5"/>
  <c r="AB109" i="5" s="1"/>
  <c r="AC109" i="5" s="1"/>
  <c r="AA110" i="5"/>
  <c r="AB110" i="5" s="1"/>
  <c r="AC110" i="5" s="1"/>
  <c r="AA111" i="5"/>
  <c r="AB111" i="5" s="1"/>
  <c r="AC111" i="5" s="1"/>
  <c r="AA112" i="5"/>
  <c r="AA113" i="5"/>
  <c r="AB113" i="5" s="1"/>
  <c r="AC113" i="5" s="1"/>
  <c r="AA114" i="5"/>
  <c r="AB114" i="5" s="1"/>
  <c r="AC114" i="5" s="1"/>
  <c r="AA115" i="5"/>
  <c r="AB115" i="5" s="1"/>
  <c r="AC115" i="5" s="1"/>
  <c r="AA116" i="5"/>
  <c r="AB116" i="5" s="1"/>
  <c r="AC116" i="5" s="1"/>
  <c r="AA117" i="5"/>
  <c r="AB117" i="5" s="1"/>
  <c r="AC117" i="5" s="1"/>
  <c r="AA118" i="5"/>
  <c r="AB118" i="5" s="1"/>
  <c r="AC118" i="5" s="1"/>
  <c r="AA119" i="5"/>
  <c r="AB119" i="5" s="1"/>
  <c r="AC119" i="5" s="1"/>
  <c r="AA120" i="5"/>
  <c r="AB120" i="5" s="1"/>
  <c r="AC120" i="5" s="1"/>
  <c r="AA121" i="5"/>
  <c r="AB121" i="5" s="1"/>
  <c r="AC121" i="5" s="1"/>
  <c r="AA122" i="5"/>
  <c r="AB122" i="5" s="1"/>
  <c r="AC122" i="5" s="1"/>
  <c r="AA123" i="5"/>
  <c r="AB123" i="5" s="1"/>
  <c r="AC123" i="5" s="1"/>
  <c r="AA124" i="5"/>
  <c r="AA125" i="5"/>
  <c r="AB125" i="5" s="1"/>
  <c r="AA126" i="5"/>
  <c r="AB126" i="5" s="1"/>
  <c r="AC126" i="5" s="1"/>
  <c r="AA127" i="5"/>
  <c r="AB127" i="5" s="1"/>
  <c r="AC127" i="5" s="1"/>
  <c r="AA128" i="5"/>
  <c r="AB128" i="5" s="1"/>
  <c r="AC128" i="5" s="1"/>
  <c r="AA129" i="5"/>
  <c r="AB129" i="5" s="1"/>
  <c r="AC129" i="5" s="1"/>
  <c r="AA130" i="5"/>
  <c r="AA131" i="5"/>
  <c r="AB131" i="5" s="1"/>
  <c r="AC131" i="5" s="1"/>
  <c r="AA132" i="5"/>
  <c r="AB132" i="5" s="1"/>
  <c r="AC132" i="5" s="1"/>
  <c r="AA133" i="5"/>
  <c r="AB133" i="5" s="1"/>
  <c r="AC133" i="5" s="1"/>
  <c r="AA134" i="5"/>
  <c r="AB134" i="5" s="1"/>
  <c r="AC134" i="5" s="1"/>
  <c r="AA135" i="5"/>
  <c r="AB135" i="5" s="1"/>
  <c r="AC135" i="5" s="1"/>
  <c r="AA136" i="5"/>
  <c r="AA137" i="5"/>
  <c r="AA138" i="5"/>
  <c r="AB138" i="5" s="1"/>
  <c r="AC138" i="5" s="1"/>
  <c r="AA139" i="5"/>
  <c r="AB139" i="5" s="1"/>
  <c r="AC139" i="5" s="1"/>
  <c r="AA140" i="5"/>
  <c r="AB140" i="5" s="1"/>
  <c r="AC140" i="5" s="1"/>
  <c r="AA141" i="5"/>
  <c r="AB141" i="5" s="1"/>
  <c r="AC141" i="5" s="1"/>
  <c r="AA142" i="5"/>
  <c r="AB142" i="5" s="1"/>
  <c r="AC142" i="5" s="1"/>
  <c r="AA143" i="5"/>
  <c r="AB143" i="5" s="1"/>
  <c r="AC143" i="5" s="1"/>
  <c r="AA144" i="5"/>
  <c r="AA145" i="5"/>
  <c r="AB145" i="5" s="1"/>
  <c r="AC145" i="5" s="1"/>
  <c r="AA146" i="5"/>
  <c r="AB146" i="5" s="1"/>
  <c r="AC146" i="5" s="1"/>
  <c r="AA147" i="5"/>
  <c r="AB147" i="5" s="1"/>
  <c r="AC147" i="5" s="1"/>
  <c r="AA148" i="5"/>
  <c r="AA149" i="5"/>
  <c r="AB149" i="5" s="1"/>
  <c r="AC149" i="5" s="1"/>
  <c r="AA150" i="5"/>
  <c r="AB150" i="5" s="1"/>
  <c r="AC150" i="5" s="1"/>
  <c r="AA151" i="5"/>
  <c r="AB151" i="5" s="1"/>
  <c r="AC151" i="5" s="1"/>
  <c r="AA152" i="5"/>
  <c r="AB152" i="5" s="1"/>
  <c r="AC152" i="5" s="1"/>
  <c r="AA153" i="5"/>
  <c r="AB153" i="5" s="1"/>
  <c r="AC153" i="5" s="1"/>
  <c r="AA154" i="5"/>
  <c r="AB154" i="5" s="1"/>
  <c r="AC154" i="5" s="1"/>
  <c r="AA155" i="5"/>
  <c r="AB155" i="5" s="1"/>
  <c r="AC155" i="5" s="1"/>
  <c r="AA156" i="5"/>
  <c r="AA157" i="5"/>
  <c r="AB157" i="5" s="1"/>
  <c r="AC157" i="5" s="1"/>
  <c r="AA158" i="5"/>
  <c r="AB158" i="5" s="1"/>
  <c r="AC158" i="5" s="1"/>
  <c r="AA159" i="5"/>
  <c r="AB159" i="5" s="1"/>
  <c r="AC159" i="5" s="1"/>
  <c r="AA160" i="5"/>
  <c r="AB160" i="5" s="1"/>
  <c r="AC160" i="5" s="1"/>
  <c r="AA161" i="5"/>
  <c r="AA162" i="5"/>
  <c r="AB162" i="5" s="1"/>
  <c r="AC162" i="5" s="1"/>
  <c r="AA163" i="5"/>
  <c r="AB163" i="5" s="1"/>
  <c r="AC163" i="5" s="1"/>
  <c r="AA164" i="5"/>
  <c r="AB164" i="5" s="1"/>
  <c r="AC164" i="5" s="1"/>
  <c r="AA165" i="5"/>
  <c r="AB165" i="5" s="1"/>
  <c r="AC165" i="5" s="1"/>
  <c r="AA166" i="5"/>
  <c r="AB166" i="5" s="1"/>
  <c r="AC166" i="5" s="1"/>
  <c r="AA167" i="5"/>
  <c r="AB167" i="5" s="1"/>
  <c r="AC167" i="5" s="1"/>
  <c r="AA168" i="5"/>
  <c r="AB168" i="5" s="1"/>
  <c r="AC168" i="5" s="1"/>
  <c r="AA169" i="5"/>
  <c r="AA170" i="5"/>
  <c r="AB170" i="5" s="1"/>
  <c r="AC170" i="5" s="1"/>
  <c r="AA171" i="5"/>
  <c r="AB171" i="5" s="1"/>
  <c r="AC171" i="5" s="1"/>
  <c r="AA172" i="5"/>
  <c r="AB172" i="5" s="1"/>
  <c r="AC172" i="5" s="1"/>
  <c r="AA173" i="5"/>
  <c r="AB173" i="5" s="1"/>
  <c r="AC173" i="5" s="1"/>
  <c r="AA174" i="5"/>
  <c r="AB174" i="5" s="1"/>
  <c r="AC174" i="5" s="1"/>
  <c r="AA175" i="5"/>
  <c r="AB175" i="5" s="1"/>
  <c r="AC175" i="5" s="1"/>
  <c r="AA176" i="5"/>
  <c r="AA177" i="5"/>
  <c r="AB177" i="5" s="1"/>
  <c r="AC177" i="5" s="1"/>
  <c r="AA178" i="5"/>
  <c r="AB178" i="5" s="1"/>
  <c r="AC178" i="5" s="1"/>
  <c r="AA179" i="5"/>
  <c r="AB179" i="5" s="1"/>
  <c r="AC179" i="5" s="1"/>
  <c r="AA180" i="5"/>
  <c r="AB180" i="5" s="1"/>
  <c r="AC180" i="5" s="1"/>
  <c r="AA181" i="5"/>
  <c r="AB181" i="5" s="1"/>
  <c r="AC181" i="5" s="1"/>
  <c r="AA182" i="5"/>
  <c r="AB182" i="5" s="1"/>
  <c r="AC182" i="5" s="1"/>
  <c r="AA183" i="5"/>
  <c r="AB183" i="5" s="1"/>
  <c r="AC183" i="5" s="1"/>
  <c r="AA184" i="5"/>
  <c r="AB184" i="5" s="1"/>
  <c r="AC184" i="5" s="1"/>
  <c r="AA185" i="5"/>
  <c r="AB185" i="5" s="1"/>
  <c r="AC185" i="5" s="1"/>
  <c r="AA186" i="5"/>
  <c r="AB186" i="5" s="1"/>
  <c r="AC186" i="5" s="1"/>
  <c r="AA187" i="5"/>
  <c r="AB187" i="5" s="1"/>
  <c r="AC187" i="5" s="1"/>
  <c r="AA188" i="5"/>
  <c r="AA189" i="5"/>
  <c r="AB189" i="5" s="1"/>
  <c r="AA190" i="5"/>
  <c r="AB190" i="5" s="1"/>
  <c r="AC190" i="5" s="1"/>
  <c r="AA191" i="5"/>
  <c r="AB191" i="5" s="1"/>
  <c r="AC191" i="5" s="1"/>
  <c r="AA192" i="5"/>
  <c r="AB192" i="5" s="1"/>
  <c r="AC192" i="5" s="1"/>
  <c r="AA193" i="5"/>
  <c r="AB193" i="5" s="1"/>
  <c r="AC193" i="5" s="1"/>
  <c r="AA194" i="5"/>
  <c r="AA195" i="5"/>
  <c r="AB195" i="5" s="1"/>
  <c r="AC195" i="5" s="1"/>
  <c r="AA196" i="5"/>
  <c r="AB196" i="5" s="1"/>
  <c r="AC196" i="5" s="1"/>
  <c r="AA197" i="5"/>
  <c r="AB197" i="5" s="1"/>
  <c r="AC197" i="5" s="1"/>
  <c r="AA198" i="5"/>
  <c r="AB198" i="5" s="1"/>
  <c r="AC198" i="5" s="1"/>
  <c r="AA199" i="5"/>
  <c r="AB199" i="5" s="1"/>
  <c r="AC199" i="5" s="1"/>
  <c r="AA200" i="5"/>
  <c r="AA201" i="5"/>
  <c r="AA202" i="5"/>
  <c r="AB202" i="5" s="1"/>
  <c r="AC202" i="5" s="1"/>
  <c r="AA203" i="5"/>
  <c r="AB203" i="5" s="1"/>
  <c r="AC203" i="5" s="1"/>
  <c r="AA204" i="5"/>
  <c r="AB204" i="5" s="1"/>
  <c r="AC204" i="5" s="1"/>
  <c r="AA205" i="5"/>
  <c r="AB205" i="5" s="1"/>
  <c r="AC205" i="5" s="1"/>
  <c r="AA206" i="5"/>
  <c r="AB206" i="5" s="1"/>
  <c r="AC206" i="5" s="1"/>
  <c r="AA207" i="5"/>
  <c r="AB207" i="5" s="1"/>
  <c r="AC207" i="5" s="1"/>
  <c r="AA208" i="5"/>
  <c r="AA209" i="5"/>
  <c r="AB209" i="5" s="1"/>
  <c r="AC209" i="5" s="1"/>
  <c r="AA210" i="5"/>
  <c r="AB210" i="5" s="1"/>
  <c r="AC210" i="5" s="1"/>
  <c r="AA211" i="5"/>
  <c r="AB211" i="5" s="1"/>
  <c r="AC211" i="5" s="1"/>
  <c r="AA212" i="5"/>
  <c r="AA213" i="5"/>
  <c r="AB213" i="5" s="1"/>
  <c r="AC213" i="5" s="1"/>
  <c r="AA214" i="5"/>
  <c r="AB214" i="5" s="1"/>
  <c r="AC214" i="5" s="1"/>
  <c r="AA215" i="5"/>
  <c r="AB215" i="5" s="1"/>
  <c r="AC215" i="5" s="1"/>
  <c r="AA216" i="5"/>
  <c r="AB216" i="5" s="1"/>
  <c r="AC216" i="5" s="1"/>
  <c r="AA217" i="5"/>
  <c r="AB217" i="5" s="1"/>
  <c r="AC217" i="5" s="1"/>
  <c r="AA218" i="5"/>
  <c r="AB218" i="5" s="1"/>
  <c r="AC218" i="5" s="1"/>
  <c r="AA219" i="5"/>
  <c r="AB219" i="5" s="1"/>
  <c r="AC219" i="5" s="1"/>
  <c r="AA220" i="5"/>
  <c r="AA221" i="5"/>
  <c r="AB221" i="5" s="1"/>
  <c r="AC221" i="5" s="1"/>
  <c r="AA222" i="5"/>
  <c r="AB222" i="5" s="1"/>
  <c r="AC222" i="5" s="1"/>
  <c r="AA223" i="5"/>
  <c r="AB223" i="5" s="1"/>
  <c r="AC223" i="5" s="1"/>
  <c r="AA224" i="5"/>
  <c r="AB224" i="5" s="1"/>
  <c r="AC224" i="5" s="1"/>
  <c r="AA225" i="5"/>
  <c r="AA226" i="5"/>
  <c r="AB226" i="5" s="1"/>
  <c r="AC226" i="5" s="1"/>
  <c r="AA227" i="5"/>
  <c r="AB227" i="5" s="1"/>
  <c r="AC227" i="5" s="1"/>
  <c r="AA228" i="5"/>
  <c r="AB228" i="5" s="1"/>
  <c r="AC228" i="5" s="1"/>
  <c r="AA229" i="5"/>
  <c r="AB229" i="5" s="1"/>
  <c r="AC229" i="5" s="1"/>
  <c r="AA230" i="5"/>
  <c r="AB230" i="5" s="1"/>
  <c r="AC230" i="5" s="1"/>
  <c r="AA231" i="5"/>
  <c r="AB231" i="5" s="1"/>
  <c r="AC231" i="5" s="1"/>
  <c r="AA232" i="5"/>
  <c r="AB232" i="5" s="1"/>
  <c r="AC232" i="5" s="1"/>
  <c r="AA233" i="5"/>
  <c r="AA234" i="5"/>
  <c r="AB234" i="5" s="1"/>
  <c r="AC234" i="5" s="1"/>
  <c r="AA235" i="5"/>
  <c r="AB235" i="5" s="1"/>
  <c r="AC235" i="5" s="1"/>
  <c r="AA236" i="5"/>
  <c r="AB236" i="5" s="1"/>
  <c r="AC236" i="5" s="1"/>
  <c r="AA237" i="5"/>
  <c r="AB237" i="5" s="1"/>
  <c r="AC237" i="5" s="1"/>
  <c r="AA238" i="5"/>
  <c r="AB238" i="5" s="1"/>
  <c r="AC238" i="5" s="1"/>
  <c r="AA239" i="5"/>
  <c r="AB239" i="5" s="1"/>
  <c r="AC239" i="5" s="1"/>
  <c r="AA240" i="5"/>
  <c r="AA241" i="5"/>
  <c r="AB241" i="5" s="1"/>
  <c r="AC241" i="5" s="1"/>
  <c r="AA242" i="5"/>
  <c r="AB242" i="5" s="1"/>
  <c r="AC242" i="5" s="1"/>
  <c r="AA243" i="5"/>
  <c r="AB243" i="5" s="1"/>
  <c r="AC243" i="5" s="1"/>
  <c r="AA244" i="5"/>
  <c r="AB244" i="5" s="1"/>
  <c r="AC244" i="5" s="1"/>
  <c r="AA245" i="5"/>
  <c r="AB245" i="5" s="1"/>
  <c r="AC245" i="5" s="1"/>
  <c r="AA246" i="5"/>
  <c r="AB246" i="5" s="1"/>
  <c r="AC246" i="5" s="1"/>
  <c r="AA247" i="5"/>
  <c r="AB247" i="5" s="1"/>
  <c r="AC247" i="5" s="1"/>
  <c r="AA248" i="5"/>
  <c r="AB248" i="5" s="1"/>
  <c r="AC248" i="5" s="1"/>
  <c r="AA249" i="5"/>
  <c r="AB249" i="5" s="1"/>
  <c r="AC249" i="5" s="1"/>
  <c r="AA250" i="5"/>
  <c r="AB250" i="5" s="1"/>
  <c r="AC250" i="5" s="1"/>
  <c r="AA251" i="5"/>
  <c r="AB251" i="5" s="1"/>
  <c r="AC251" i="5" s="1"/>
  <c r="AA252" i="5"/>
  <c r="AA253" i="5"/>
  <c r="AB253" i="5" s="1"/>
  <c r="AA254" i="5"/>
  <c r="AB254" i="5" s="1"/>
  <c r="AC254" i="5" s="1"/>
  <c r="AA255" i="5"/>
  <c r="AB255" i="5" s="1"/>
  <c r="AC255" i="5" s="1"/>
  <c r="AA256" i="5"/>
  <c r="AB256" i="5" s="1"/>
  <c r="AC256" i="5" s="1"/>
  <c r="AA257" i="5"/>
  <c r="AB257" i="5" s="1"/>
  <c r="AC257" i="5" s="1"/>
  <c r="AA258" i="5"/>
  <c r="AA259" i="5"/>
  <c r="AB259" i="5" s="1"/>
  <c r="AC259" i="5" s="1"/>
  <c r="AA260" i="5"/>
  <c r="AB260" i="5" s="1"/>
  <c r="AC260" i="5" s="1"/>
  <c r="AA261" i="5"/>
  <c r="AB261" i="5" s="1"/>
  <c r="AC261" i="5" s="1"/>
  <c r="AA262" i="5"/>
  <c r="AB262" i="5" s="1"/>
  <c r="AC262" i="5" s="1"/>
  <c r="AA263" i="5"/>
  <c r="AB263" i="5" s="1"/>
  <c r="AC263" i="5" s="1"/>
  <c r="AA264" i="5"/>
  <c r="AA265" i="5"/>
  <c r="AA266" i="5"/>
  <c r="AB266" i="5" s="1"/>
  <c r="AC266" i="5" s="1"/>
  <c r="AA267" i="5"/>
  <c r="AB267" i="5" s="1"/>
  <c r="AC267" i="5" s="1"/>
  <c r="AA268" i="5"/>
  <c r="AB268" i="5" s="1"/>
  <c r="AC268" i="5" s="1"/>
  <c r="AA269" i="5"/>
  <c r="AB269" i="5" s="1"/>
  <c r="AC269" i="5" s="1"/>
  <c r="AA270" i="5"/>
  <c r="AB270" i="5" s="1"/>
  <c r="AC270" i="5" s="1"/>
  <c r="AA271" i="5"/>
  <c r="AB271" i="5" s="1"/>
  <c r="AC271" i="5" s="1"/>
  <c r="AA272" i="5"/>
  <c r="AA273" i="5"/>
  <c r="AB273" i="5" s="1"/>
  <c r="AC273" i="5" s="1"/>
  <c r="AA274" i="5"/>
  <c r="AB274" i="5" s="1"/>
  <c r="AC274" i="5" s="1"/>
  <c r="AA275" i="5"/>
  <c r="AB275" i="5" s="1"/>
  <c r="AC275" i="5" s="1"/>
  <c r="AA276" i="5"/>
  <c r="AA277" i="5"/>
  <c r="AB277" i="5" s="1"/>
  <c r="AC277" i="5" s="1"/>
  <c r="AA278" i="5"/>
  <c r="AB278" i="5" s="1"/>
  <c r="AC278" i="5" s="1"/>
  <c r="AA279" i="5"/>
  <c r="AB279" i="5" s="1"/>
  <c r="AC279" i="5" s="1"/>
  <c r="AA280" i="5"/>
  <c r="AB280" i="5" s="1"/>
  <c r="AC280" i="5" s="1"/>
  <c r="AA281" i="5"/>
  <c r="AB281" i="5" s="1"/>
  <c r="AC281" i="5" s="1"/>
  <c r="AA282" i="5"/>
  <c r="AB282" i="5" s="1"/>
  <c r="AC282" i="5" s="1"/>
  <c r="AA283" i="5"/>
  <c r="AB283" i="5" s="1"/>
  <c r="AC283" i="5" s="1"/>
  <c r="AA284" i="5"/>
  <c r="AA285" i="5"/>
  <c r="AB285" i="5" s="1"/>
  <c r="AC285" i="5" s="1"/>
  <c r="AA286" i="5"/>
  <c r="AB286" i="5" s="1"/>
  <c r="AC286" i="5" s="1"/>
  <c r="AA287" i="5"/>
  <c r="AB287" i="5" s="1"/>
  <c r="AC287" i="5" s="1"/>
  <c r="AA288" i="5"/>
  <c r="AB288" i="5" s="1"/>
  <c r="AC288" i="5" s="1"/>
  <c r="AA289" i="5"/>
  <c r="AA290" i="5"/>
  <c r="AB290" i="5" s="1"/>
  <c r="AC290" i="5" s="1"/>
  <c r="AA291" i="5"/>
  <c r="AB291" i="5" s="1"/>
  <c r="AC291" i="5" s="1"/>
  <c r="AA292" i="5"/>
  <c r="AB292" i="5" s="1"/>
  <c r="AC292" i="5" s="1"/>
  <c r="AA293" i="5"/>
  <c r="AB293" i="5" s="1"/>
  <c r="AC293" i="5" s="1"/>
  <c r="AA294" i="5"/>
  <c r="AB294" i="5" s="1"/>
  <c r="AC294" i="5" s="1"/>
  <c r="AA295" i="5"/>
  <c r="AB295" i="5" s="1"/>
  <c r="AC295" i="5" s="1"/>
  <c r="AA296" i="5"/>
  <c r="AB296" i="5" s="1"/>
  <c r="AC296" i="5" s="1"/>
  <c r="AA297" i="5"/>
  <c r="AA298" i="5"/>
  <c r="AB298" i="5" s="1"/>
  <c r="AC298" i="5" s="1"/>
  <c r="AA299" i="5"/>
  <c r="AB299" i="5" s="1"/>
  <c r="AC299" i="5" s="1"/>
  <c r="AA300" i="5"/>
  <c r="AA301" i="5"/>
  <c r="AB301" i="5" s="1"/>
  <c r="AC301" i="5" s="1"/>
  <c r="AA302" i="5"/>
  <c r="AB302" i="5" s="1"/>
  <c r="AC302" i="5" s="1"/>
  <c r="AA303" i="5"/>
  <c r="AB303" i="5" s="1"/>
  <c r="AC303" i="5" s="1"/>
  <c r="AA304" i="5"/>
  <c r="AB304" i="5" s="1"/>
  <c r="AC304" i="5" s="1"/>
  <c r="AA305" i="5"/>
  <c r="AB305" i="5" s="1"/>
  <c r="AC305" i="5" s="1"/>
  <c r="AA306" i="5"/>
  <c r="AB306" i="5" s="1"/>
  <c r="AC306" i="5" s="1"/>
  <c r="AA307" i="5"/>
  <c r="AA308" i="5"/>
  <c r="AB308" i="5" s="1"/>
  <c r="AC308" i="5" s="1"/>
  <c r="AA309" i="5"/>
  <c r="AB309" i="5" s="1"/>
  <c r="AC309" i="5" s="1"/>
  <c r="AA310" i="5"/>
  <c r="AB310" i="5" s="1"/>
  <c r="AC310" i="5" s="1"/>
  <c r="AA311" i="5"/>
  <c r="AB311" i="5" s="1"/>
  <c r="AC311" i="5" s="1"/>
  <c r="AA312" i="5"/>
  <c r="AB312" i="5" s="1"/>
  <c r="AC312" i="5" s="1"/>
  <c r="AA313" i="5"/>
  <c r="AB313" i="5" s="1"/>
  <c r="AC313" i="5" s="1"/>
  <c r="AA314" i="5"/>
  <c r="AB314" i="5" s="1"/>
  <c r="AC314" i="5" s="1"/>
  <c r="AA315" i="5"/>
  <c r="AA316" i="5"/>
  <c r="AB316" i="5" s="1"/>
  <c r="AC316" i="5" s="1"/>
  <c r="AA317" i="5"/>
  <c r="AB317" i="5" s="1"/>
  <c r="AC317" i="5" s="1"/>
  <c r="AA318" i="5"/>
  <c r="AB318" i="5" s="1"/>
  <c r="AC318" i="5" s="1"/>
  <c r="AA319" i="5"/>
  <c r="AB319" i="5" s="1"/>
  <c r="AC319" i="5" s="1"/>
  <c r="AA320" i="5"/>
  <c r="AB320" i="5" s="1"/>
  <c r="AC320" i="5" s="1"/>
  <c r="AA321" i="5"/>
  <c r="AB321" i="5" s="1"/>
  <c r="AC321" i="5" s="1"/>
  <c r="AA322" i="5"/>
  <c r="AB322" i="5" s="1"/>
  <c r="AC322" i="5" s="1"/>
  <c r="AA323" i="5"/>
  <c r="AA324" i="5"/>
  <c r="AB324" i="5" s="1"/>
  <c r="AC324" i="5" s="1"/>
  <c r="AA325" i="5"/>
  <c r="AB325" i="5" s="1"/>
  <c r="AC325" i="5" s="1"/>
  <c r="AA326" i="5"/>
  <c r="AB326" i="5" s="1"/>
  <c r="AC326" i="5" s="1"/>
  <c r="AA327" i="5"/>
  <c r="AB327" i="5" s="1"/>
  <c r="AC327" i="5" s="1"/>
  <c r="AA328" i="5"/>
  <c r="AB328" i="5" s="1"/>
  <c r="AC328" i="5" s="1"/>
  <c r="AA329" i="5"/>
  <c r="AB329" i="5" s="1"/>
  <c r="AC329" i="5" s="1"/>
  <c r="AA330" i="5"/>
  <c r="AB330" i="5" s="1"/>
  <c r="AC330" i="5" s="1"/>
  <c r="AA331" i="5"/>
  <c r="AA332" i="5"/>
  <c r="AB332" i="5" s="1"/>
  <c r="AC332" i="5" s="1"/>
  <c r="AA333" i="5"/>
  <c r="AB333" i="5" s="1"/>
  <c r="AC333" i="5" s="1"/>
  <c r="AA334" i="5"/>
  <c r="AB334" i="5" s="1"/>
  <c r="AC334" i="5" s="1"/>
  <c r="AA335" i="5"/>
  <c r="AB335" i="5" s="1"/>
  <c r="AC335" i="5" s="1"/>
  <c r="AA336" i="5"/>
  <c r="AB336" i="5" s="1"/>
  <c r="AC336" i="5" s="1"/>
  <c r="AA337" i="5"/>
  <c r="AB337" i="5" s="1"/>
  <c r="AC337" i="5" s="1"/>
  <c r="AA338" i="5"/>
  <c r="AB338" i="5" s="1"/>
  <c r="AC338" i="5" s="1"/>
  <c r="AA339" i="5"/>
  <c r="AA340" i="5"/>
  <c r="AB340" i="5" s="1"/>
  <c r="AC340" i="5" s="1"/>
  <c r="AA341" i="5"/>
  <c r="AB341" i="5" s="1"/>
  <c r="AC341" i="5" s="1"/>
  <c r="AA342" i="5"/>
  <c r="AB342" i="5" s="1"/>
  <c r="AC342" i="5" s="1"/>
  <c r="AA343" i="5"/>
  <c r="AB343" i="5" s="1"/>
  <c r="AC343" i="5" s="1"/>
  <c r="AA344" i="5"/>
  <c r="AB344" i="5" s="1"/>
  <c r="AC344" i="5" s="1"/>
  <c r="AA345" i="5"/>
  <c r="AB345" i="5" s="1"/>
  <c r="AC345" i="5" s="1"/>
  <c r="AA346" i="5"/>
  <c r="AB346" i="5" s="1"/>
  <c r="AC346" i="5" s="1"/>
  <c r="AA347" i="5"/>
  <c r="AA348" i="5"/>
  <c r="AB348" i="5" s="1"/>
  <c r="AC348" i="5" s="1"/>
  <c r="AA349" i="5"/>
  <c r="AB349" i="5" s="1"/>
  <c r="AC349" i="5" s="1"/>
  <c r="AA350" i="5"/>
  <c r="AB350" i="5" s="1"/>
  <c r="AC350" i="5" s="1"/>
  <c r="AA351" i="5"/>
  <c r="AB351" i="5" s="1"/>
  <c r="AC351" i="5" s="1"/>
  <c r="AA352" i="5"/>
  <c r="AB352" i="5" s="1"/>
  <c r="AC352" i="5" s="1"/>
  <c r="AA353" i="5"/>
  <c r="AB353" i="5" s="1"/>
  <c r="AC353" i="5" s="1"/>
  <c r="AA354" i="5"/>
  <c r="AB354" i="5" s="1"/>
  <c r="AC354" i="5" s="1"/>
  <c r="AA355" i="5"/>
  <c r="AA356" i="5"/>
  <c r="AB356" i="5" s="1"/>
  <c r="AC356" i="5" s="1"/>
  <c r="AA357" i="5"/>
  <c r="AB357" i="5" s="1"/>
  <c r="AC357" i="5" s="1"/>
  <c r="AA358" i="5"/>
  <c r="AB358" i="5" s="1"/>
  <c r="AC358" i="5" s="1"/>
  <c r="AA359" i="5"/>
  <c r="AB359" i="5" s="1"/>
  <c r="AC359" i="5" s="1"/>
  <c r="AA360" i="5"/>
  <c r="AB360" i="5" s="1"/>
  <c r="AC360" i="5" s="1"/>
  <c r="AA361" i="5"/>
  <c r="AB361" i="5" s="1"/>
  <c r="AC361" i="5" s="1"/>
  <c r="AA362" i="5"/>
  <c r="AB362" i="5" s="1"/>
  <c r="AC362" i="5" s="1"/>
  <c r="AA363" i="5"/>
  <c r="AA364" i="5"/>
  <c r="AB364" i="5" s="1"/>
  <c r="AC364" i="5" s="1"/>
  <c r="AA365" i="5"/>
  <c r="AB365" i="5" s="1"/>
  <c r="AC365" i="5" s="1"/>
  <c r="AA366" i="5"/>
  <c r="AB366" i="5" s="1"/>
  <c r="AC366" i="5" s="1"/>
  <c r="AA367" i="5"/>
  <c r="AB367" i="5" s="1"/>
  <c r="AC367" i="5" s="1"/>
  <c r="AA368" i="5"/>
  <c r="AB368" i="5" s="1"/>
  <c r="AC368" i="5" s="1"/>
  <c r="AA369" i="5"/>
  <c r="AB369" i="5" s="1"/>
  <c r="AC369" i="5" s="1"/>
  <c r="AA370" i="5"/>
  <c r="AB370" i="5" s="1"/>
  <c r="AC370" i="5" s="1"/>
  <c r="AA371" i="5"/>
  <c r="AA372" i="5"/>
  <c r="AB372" i="5" s="1"/>
  <c r="AC372" i="5" s="1"/>
  <c r="AA373" i="5"/>
  <c r="AB373" i="5" s="1"/>
  <c r="AC373" i="5" s="1"/>
  <c r="AA374" i="5"/>
  <c r="AB374" i="5" s="1"/>
  <c r="AC374" i="5" s="1"/>
  <c r="AA375" i="5"/>
  <c r="AB375" i="5" s="1"/>
  <c r="AC375" i="5" s="1"/>
  <c r="AA376" i="5"/>
  <c r="AB376" i="5" s="1"/>
  <c r="AC376" i="5" s="1"/>
  <c r="AA377" i="5"/>
  <c r="AB377" i="5" s="1"/>
  <c r="AC377" i="5" s="1"/>
  <c r="AA378" i="5"/>
  <c r="AB378" i="5" s="1"/>
  <c r="AC378" i="5" s="1"/>
  <c r="AA379" i="5"/>
  <c r="AA380" i="5"/>
  <c r="AB380" i="5" s="1"/>
  <c r="AC380" i="5" s="1"/>
  <c r="AA381" i="5"/>
  <c r="AB381" i="5" s="1"/>
  <c r="AC381" i="5" s="1"/>
  <c r="AA2" i="5"/>
  <c r="AB2" i="5" s="1"/>
  <c r="AC2" i="5" s="1"/>
  <c r="AE3" i="5"/>
  <c r="AE4" i="5"/>
  <c r="AE5" i="5"/>
  <c r="AE6" i="5"/>
  <c r="AE7" i="5"/>
  <c r="AE8" i="5"/>
  <c r="AE9" i="5"/>
  <c r="AE10" i="5"/>
  <c r="AE11" i="5"/>
  <c r="AE12" i="5"/>
  <c r="AE13" i="5"/>
  <c r="AE14" i="5"/>
  <c r="AE15" i="5"/>
  <c r="AE16" i="5"/>
  <c r="AE17" i="5"/>
  <c r="AE18" i="5"/>
  <c r="AE19" i="5"/>
  <c r="AE20" i="5"/>
  <c r="AE21" i="5"/>
  <c r="AE22" i="5"/>
  <c r="AE23" i="5"/>
  <c r="AE24" i="5"/>
  <c r="AE25" i="5"/>
  <c r="AE26" i="5"/>
  <c r="AE27" i="5"/>
  <c r="AE28" i="5"/>
  <c r="AE29" i="5"/>
  <c r="AE30" i="5"/>
  <c r="AE31" i="5"/>
  <c r="AE32" i="5"/>
  <c r="AE33" i="5"/>
  <c r="AE34" i="5"/>
  <c r="AE35" i="5"/>
  <c r="AE36" i="5"/>
  <c r="AE37" i="5"/>
  <c r="AE38" i="5"/>
  <c r="AE39" i="5"/>
  <c r="AE40" i="5"/>
  <c r="AE41" i="5"/>
  <c r="AE42" i="5"/>
  <c r="AE43" i="5"/>
  <c r="AE44" i="5"/>
  <c r="AE45" i="5"/>
  <c r="AE46" i="5"/>
  <c r="AE47" i="5"/>
  <c r="AE48" i="5"/>
  <c r="AE49" i="5"/>
  <c r="AE50" i="5"/>
  <c r="AE51" i="5"/>
  <c r="AE52" i="5"/>
  <c r="AE53" i="5"/>
  <c r="AE54" i="5"/>
  <c r="AE55" i="5"/>
  <c r="AE56" i="5"/>
  <c r="AE57" i="5"/>
  <c r="AE58" i="5"/>
  <c r="AE59" i="5"/>
  <c r="AE60" i="5"/>
  <c r="AE61" i="5"/>
  <c r="AE62" i="5"/>
  <c r="AE63" i="5"/>
  <c r="AE64" i="5"/>
  <c r="AE65" i="5"/>
  <c r="AE66" i="5"/>
  <c r="AE67" i="5"/>
  <c r="AE68" i="5"/>
  <c r="AE69" i="5"/>
  <c r="AE70" i="5"/>
  <c r="AE71" i="5"/>
  <c r="AE72" i="5"/>
  <c r="AE73" i="5"/>
  <c r="AE74" i="5"/>
  <c r="AE75" i="5"/>
  <c r="AE76" i="5"/>
  <c r="AE77" i="5"/>
  <c r="AE78" i="5"/>
  <c r="AE79" i="5"/>
  <c r="AE80" i="5"/>
  <c r="AE81" i="5"/>
  <c r="AE82" i="5"/>
  <c r="AE83" i="5"/>
  <c r="AE84" i="5"/>
  <c r="AE85" i="5"/>
  <c r="AE86" i="5"/>
  <c r="AE87" i="5"/>
  <c r="AE88" i="5"/>
  <c r="AE89" i="5"/>
  <c r="AE90" i="5"/>
  <c r="AE91" i="5"/>
  <c r="AE92" i="5"/>
  <c r="AE93" i="5"/>
  <c r="AE94" i="5"/>
  <c r="AE95" i="5"/>
  <c r="AE96" i="5"/>
  <c r="AE97" i="5"/>
  <c r="AE98" i="5"/>
  <c r="AE99" i="5"/>
  <c r="AE100" i="5"/>
  <c r="AE101" i="5"/>
  <c r="AE102" i="5"/>
  <c r="AE103" i="5"/>
  <c r="AE104" i="5"/>
  <c r="AE105" i="5"/>
  <c r="AE106" i="5"/>
  <c r="AE107" i="5"/>
  <c r="AE108" i="5"/>
  <c r="AE109" i="5"/>
  <c r="AE110" i="5"/>
  <c r="AE111" i="5"/>
  <c r="AE112" i="5"/>
  <c r="AE113" i="5"/>
  <c r="AE114" i="5"/>
  <c r="AE115" i="5"/>
  <c r="AE116" i="5"/>
  <c r="AE117" i="5"/>
  <c r="AE118" i="5"/>
  <c r="AE119" i="5"/>
  <c r="AE120" i="5"/>
  <c r="AE121" i="5"/>
  <c r="AE122" i="5"/>
  <c r="AE123" i="5"/>
  <c r="AE124" i="5"/>
  <c r="AE125" i="5"/>
  <c r="AE126" i="5"/>
  <c r="AE127" i="5"/>
  <c r="AE128" i="5"/>
  <c r="AE129" i="5"/>
  <c r="AE130" i="5"/>
  <c r="AE131" i="5"/>
  <c r="AE132" i="5"/>
  <c r="AE133" i="5"/>
  <c r="AE134" i="5"/>
  <c r="AE135" i="5"/>
  <c r="AE136" i="5"/>
  <c r="AE137" i="5"/>
  <c r="AE138" i="5"/>
  <c r="AE139" i="5"/>
  <c r="AE140" i="5"/>
  <c r="AE141" i="5"/>
  <c r="AE142" i="5"/>
  <c r="AE143" i="5"/>
  <c r="AE144" i="5"/>
  <c r="AE145" i="5"/>
  <c r="AE146" i="5"/>
  <c r="AE147" i="5"/>
  <c r="AE148" i="5"/>
  <c r="AE149" i="5"/>
  <c r="AE150" i="5"/>
  <c r="AE151" i="5"/>
  <c r="AE152" i="5"/>
  <c r="AE153" i="5"/>
  <c r="AE154" i="5"/>
  <c r="AE155" i="5"/>
  <c r="AE156" i="5"/>
  <c r="AE157" i="5"/>
  <c r="AE158" i="5"/>
  <c r="AE159" i="5"/>
  <c r="AE160" i="5"/>
  <c r="AE161" i="5"/>
  <c r="AE162" i="5"/>
  <c r="AE163" i="5"/>
  <c r="AE164" i="5"/>
  <c r="AE165" i="5"/>
  <c r="AE166" i="5"/>
  <c r="AE167" i="5"/>
  <c r="AE168" i="5"/>
  <c r="AE169" i="5"/>
  <c r="AE170" i="5"/>
  <c r="AE171" i="5"/>
  <c r="AE172" i="5"/>
  <c r="AE173" i="5"/>
  <c r="AE174" i="5"/>
  <c r="AE175" i="5"/>
  <c r="AE176" i="5"/>
  <c r="AE177" i="5"/>
  <c r="AE178" i="5"/>
  <c r="AE179" i="5"/>
  <c r="AE180" i="5"/>
  <c r="AE181" i="5"/>
  <c r="AE182" i="5"/>
  <c r="AE183" i="5"/>
  <c r="AE184" i="5"/>
  <c r="AE185" i="5"/>
  <c r="AE186" i="5"/>
  <c r="AE187" i="5"/>
  <c r="AE188" i="5"/>
  <c r="AE189" i="5"/>
  <c r="AE190" i="5"/>
  <c r="AE191" i="5"/>
  <c r="AE192" i="5"/>
  <c r="AE193" i="5"/>
  <c r="AE194" i="5"/>
  <c r="AE195" i="5"/>
  <c r="AE196" i="5"/>
  <c r="AE197" i="5"/>
  <c r="AE198" i="5"/>
  <c r="AE199" i="5"/>
  <c r="AE200" i="5"/>
  <c r="AE201" i="5"/>
  <c r="AE202" i="5"/>
  <c r="AE203" i="5"/>
  <c r="AE204" i="5"/>
  <c r="AE205" i="5"/>
  <c r="AE206" i="5"/>
  <c r="AE207" i="5"/>
  <c r="AE208" i="5"/>
  <c r="AE209" i="5"/>
  <c r="AE210" i="5"/>
  <c r="AE211" i="5"/>
  <c r="AE212" i="5"/>
  <c r="AE213" i="5"/>
  <c r="AE214" i="5"/>
  <c r="AE215" i="5"/>
  <c r="AE216" i="5"/>
  <c r="AE217" i="5"/>
  <c r="AE218" i="5"/>
  <c r="AE219" i="5"/>
  <c r="AE220" i="5"/>
  <c r="AE221" i="5"/>
  <c r="AE222" i="5"/>
  <c r="AE223" i="5"/>
  <c r="AE224" i="5"/>
  <c r="AE225" i="5"/>
  <c r="AE226" i="5"/>
  <c r="AE227" i="5"/>
  <c r="AE228" i="5"/>
  <c r="AE229" i="5"/>
  <c r="AE230" i="5"/>
  <c r="AE231" i="5"/>
  <c r="AE232" i="5"/>
  <c r="AE233" i="5"/>
  <c r="AE234" i="5"/>
  <c r="AE235" i="5"/>
  <c r="AE236" i="5"/>
  <c r="AE237" i="5"/>
  <c r="AE238" i="5"/>
  <c r="AE239" i="5"/>
  <c r="AE240" i="5"/>
  <c r="AE241" i="5"/>
  <c r="AE242" i="5"/>
  <c r="AE243" i="5"/>
  <c r="AE244" i="5"/>
  <c r="AE245" i="5"/>
  <c r="AE246" i="5"/>
  <c r="AE247" i="5"/>
  <c r="AE248" i="5"/>
  <c r="AE249" i="5"/>
  <c r="AE250" i="5"/>
  <c r="AE251" i="5"/>
  <c r="AE252" i="5"/>
  <c r="AE253" i="5"/>
  <c r="AE254" i="5"/>
  <c r="AE255" i="5"/>
  <c r="AE256" i="5"/>
  <c r="AE257" i="5"/>
  <c r="AE258" i="5"/>
  <c r="AE259" i="5"/>
  <c r="AE260" i="5"/>
  <c r="AE261" i="5"/>
  <c r="AE262" i="5"/>
  <c r="AE263" i="5"/>
  <c r="AE264" i="5"/>
  <c r="AE265" i="5"/>
  <c r="AE266" i="5"/>
  <c r="AE267" i="5"/>
  <c r="AE268" i="5"/>
  <c r="AE269" i="5"/>
  <c r="AE270" i="5"/>
  <c r="AE271" i="5"/>
  <c r="AE272" i="5"/>
  <c r="AE273" i="5"/>
  <c r="AE274" i="5"/>
  <c r="AE275" i="5"/>
  <c r="AE276" i="5"/>
  <c r="AE277" i="5"/>
  <c r="AE278" i="5"/>
  <c r="AE279" i="5"/>
  <c r="AE280" i="5"/>
  <c r="AE281" i="5"/>
  <c r="AE282" i="5"/>
  <c r="AE283" i="5"/>
  <c r="AE284" i="5"/>
  <c r="AE285" i="5"/>
  <c r="AE286" i="5"/>
  <c r="AE287" i="5"/>
  <c r="AE288" i="5"/>
  <c r="AE289" i="5"/>
  <c r="AE290" i="5"/>
  <c r="AE291" i="5"/>
  <c r="AE292" i="5"/>
  <c r="AE293" i="5"/>
  <c r="AE294" i="5"/>
  <c r="AE295" i="5"/>
  <c r="AE296" i="5"/>
  <c r="AE297" i="5"/>
  <c r="AE298" i="5"/>
  <c r="AE299" i="5"/>
  <c r="AE300" i="5"/>
  <c r="AE301" i="5"/>
  <c r="AE302" i="5"/>
  <c r="AE303" i="5"/>
  <c r="AE304" i="5"/>
  <c r="AE305" i="5"/>
  <c r="AE306" i="5"/>
  <c r="AE307" i="5"/>
  <c r="AE308" i="5"/>
  <c r="AE309" i="5"/>
  <c r="AE310" i="5"/>
  <c r="AE311" i="5"/>
  <c r="AE312" i="5"/>
  <c r="AE313" i="5"/>
  <c r="AE314" i="5"/>
  <c r="AE315" i="5"/>
  <c r="AE316" i="5"/>
  <c r="AE317" i="5"/>
  <c r="AE318" i="5"/>
  <c r="AE319" i="5"/>
  <c r="AE320" i="5"/>
  <c r="AE321" i="5"/>
  <c r="AE322" i="5"/>
  <c r="AE323" i="5"/>
  <c r="AE324" i="5"/>
  <c r="AE325" i="5"/>
  <c r="AE326" i="5"/>
  <c r="AE327" i="5"/>
  <c r="AE328" i="5"/>
  <c r="AE329" i="5"/>
  <c r="AE330" i="5"/>
  <c r="AE331" i="5"/>
  <c r="AE332" i="5"/>
  <c r="AE333" i="5"/>
  <c r="AE334" i="5"/>
  <c r="AE335" i="5"/>
  <c r="AE336" i="5"/>
  <c r="AE337" i="5"/>
  <c r="AE338" i="5"/>
  <c r="AE339" i="5"/>
  <c r="AE340" i="5"/>
  <c r="AE341" i="5"/>
  <c r="AE342" i="5"/>
  <c r="AE343" i="5"/>
  <c r="AE344" i="5"/>
  <c r="AE345" i="5"/>
  <c r="AE346" i="5"/>
  <c r="AE347" i="5"/>
  <c r="AE348" i="5"/>
  <c r="AE349" i="5"/>
  <c r="AE350" i="5"/>
  <c r="AE351" i="5"/>
  <c r="AE352" i="5"/>
  <c r="AE353" i="5"/>
  <c r="AE354" i="5"/>
  <c r="AE355" i="5"/>
  <c r="AE356" i="5"/>
  <c r="AE357" i="5"/>
  <c r="AE358" i="5"/>
  <c r="AE359" i="5"/>
  <c r="AE360" i="5"/>
  <c r="AE361" i="5"/>
  <c r="AE362" i="5"/>
  <c r="AE363" i="5"/>
  <c r="AE364" i="5"/>
  <c r="AE365" i="5"/>
  <c r="AE366" i="5"/>
  <c r="AE367" i="5"/>
  <c r="AE368" i="5"/>
  <c r="AE369" i="5"/>
  <c r="AE370" i="5"/>
  <c r="AE371" i="5"/>
  <c r="AE372" i="5"/>
  <c r="AE373" i="5"/>
  <c r="AE374" i="5"/>
  <c r="AE375" i="5"/>
  <c r="AE376" i="5"/>
  <c r="AE377" i="5"/>
  <c r="AE378" i="5"/>
  <c r="AE379" i="5"/>
  <c r="AE380" i="5"/>
  <c r="AE381" i="5"/>
  <c r="AE2" i="5"/>
  <c r="AF3" i="5"/>
  <c r="AH3" i="5" s="1"/>
  <c r="AF4" i="5"/>
  <c r="AH4" i="5" s="1"/>
  <c r="AF5" i="5"/>
  <c r="AH5" i="5" s="1"/>
  <c r="AF6" i="5"/>
  <c r="AH6" i="5" s="1"/>
  <c r="AF7" i="5"/>
  <c r="AH7" i="5" s="1"/>
  <c r="AF8" i="5"/>
  <c r="AH8" i="5" s="1"/>
  <c r="AF9" i="5"/>
  <c r="AH9" i="5" s="1"/>
  <c r="AF10" i="5"/>
  <c r="AH10" i="5" s="1"/>
  <c r="AF11" i="5"/>
  <c r="AH11" i="5" s="1"/>
  <c r="AF12" i="5"/>
  <c r="AH12" i="5" s="1"/>
  <c r="AF13" i="5"/>
  <c r="AH13" i="5" s="1"/>
  <c r="AF14" i="5"/>
  <c r="AH14" i="5" s="1"/>
  <c r="AF15" i="5"/>
  <c r="AH15" i="5" s="1"/>
  <c r="AF16" i="5"/>
  <c r="AH16" i="5" s="1"/>
  <c r="AF17" i="5"/>
  <c r="AH17" i="5" s="1"/>
  <c r="AF18" i="5"/>
  <c r="AH18" i="5" s="1"/>
  <c r="AF19" i="5"/>
  <c r="AH19" i="5" s="1"/>
  <c r="AF20" i="5"/>
  <c r="AH20" i="5" s="1"/>
  <c r="AF21" i="5"/>
  <c r="AH21" i="5" s="1"/>
  <c r="AF22" i="5"/>
  <c r="AH22" i="5" s="1"/>
  <c r="AF23" i="5"/>
  <c r="AH23" i="5" s="1"/>
  <c r="AF24" i="5"/>
  <c r="AH24" i="5" s="1"/>
  <c r="AF25" i="5"/>
  <c r="AH25" i="5" s="1"/>
  <c r="AF26" i="5"/>
  <c r="AH26" i="5" s="1"/>
  <c r="AF27" i="5"/>
  <c r="AH27" i="5" s="1"/>
  <c r="AF28" i="5"/>
  <c r="AH28" i="5" s="1"/>
  <c r="AF29" i="5"/>
  <c r="AH29" i="5" s="1"/>
  <c r="AF30" i="5"/>
  <c r="AH30" i="5" s="1"/>
  <c r="AF31" i="5"/>
  <c r="AH31" i="5" s="1"/>
  <c r="AF32" i="5"/>
  <c r="AH32" i="5" s="1"/>
  <c r="AF33" i="5"/>
  <c r="AH33" i="5" s="1"/>
  <c r="AF34" i="5"/>
  <c r="AH34" i="5" s="1"/>
  <c r="AF35" i="5"/>
  <c r="AH35" i="5" s="1"/>
  <c r="AF36" i="5"/>
  <c r="AH36" i="5" s="1"/>
  <c r="AF37" i="5"/>
  <c r="AH37" i="5" s="1"/>
  <c r="AF38" i="5"/>
  <c r="AH38" i="5" s="1"/>
  <c r="AF39" i="5"/>
  <c r="AH39" i="5" s="1"/>
  <c r="AF40" i="5"/>
  <c r="AH40" i="5" s="1"/>
  <c r="AF41" i="5"/>
  <c r="AH41" i="5" s="1"/>
  <c r="AF42" i="5"/>
  <c r="AH42" i="5" s="1"/>
  <c r="AF43" i="5"/>
  <c r="AH43" i="5" s="1"/>
  <c r="AF44" i="5"/>
  <c r="AH44" i="5" s="1"/>
  <c r="AF45" i="5"/>
  <c r="AH45" i="5" s="1"/>
  <c r="AF46" i="5"/>
  <c r="AH46" i="5" s="1"/>
  <c r="AF47" i="5"/>
  <c r="AH47" i="5" s="1"/>
  <c r="AF48" i="5"/>
  <c r="AH48" i="5" s="1"/>
  <c r="AF49" i="5"/>
  <c r="AH49" i="5" s="1"/>
  <c r="AF50" i="5"/>
  <c r="AH50" i="5" s="1"/>
  <c r="AF51" i="5"/>
  <c r="AH51" i="5" s="1"/>
  <c r="AF52" i="5"/>
  <c r="AH52" i="5" s="1"/>
  <c r="AF53" i="5"/>
  <c r="AH53" i="5" s="1"/>
  <c r="AF54" i="5"/>
  <c r="AH54" i="5" s="1"/>
  <c r="AF55" i="5"/>
  <c r="AH55" i="5" s="1"/>
  <c r="AF56" i="5"/>
  <c r="AH56" i="5" s="1"/>
  <c r="AF57" i="5"/>
  <c r="AH57" i="5" s="1"/>
  <c r="AF58" i="5"/>
  <c r="AH58" i="5" s="1"/>
  <c r="AF59" i="5"/>
  <c r="AH59" i="5" s="1"/>
  <c r="AF60" i="5"/>
  <c r="AH60" i="5" s="1"/>
  <c r="AF61" i="5"/>
  <c r="AH61" i="5" s="1"/>
  <c r="AF62" i="5"/>
  <c r="AH62" i="5" s="1"/>
  <c r="AF63" i="5"/>
  <c r="AH63" i="5" s="1"/>
  <c r="AF64" i="5"/>
  <c r="AH64" i="5" s="1"/>
  <c r="AF65" i="5"/>
  <c r="AH65" i="5" s="1"/>
  <c r="AF66" i="5"/>
  <c r="AH66" i="5" s="1"/>
  <c r="AF67" i="5"/>
  <c r="AH67" i="5" s="1"/>
  <c r="AF68" i="5"/>
  <c r="AH68" i="5" s="1"/>
  <c r="AF69" i="5"/>
  <c r="AH69" i="5" s="1"/>
  <c r="AF70" i="5"/>
  <c r="AH70" i="5" s="1"/>
  <c r="AF71" i="5"/>
  <c r="AH71" i="5" s="1"/>
  <c r="AF72" i="5"/>
  <c r="AH72" i="5" s="1"/>
  <c r="AF73" i="5"/>
  <c r="AH73" i="5" s="1"/>
  <c r="AF74" i="5"/>
  <c r="AH74" i="5" s="1"/>
  <c r="AF75" i="5"/>
  <c r="AH75" i="5" s="1"/>
  <c r="AF76" i="5"/>
  <c r="AH76" i="5" s="1"/>
  <c r="AF77" i="5"/>
  <c r="AH77" i="5" s="1"/>
  <c r="AF78" i="5"/>
  <c r="AH78" i="5" s="1"/>
  <c r="AF79" i="5"/>
  <c r="AH79" i="5" s="1"/>
  <c r="AF80" i="5"/>
  <c r="AH80" i="5" s="1"/>
  <c r="AF81" i="5"/>
  <c r="AH81" i="5" s="1"/>
  <c r="AF82" i="5"/>
  <c r="AH82" i="5" s="1"/>
  <c r="AF83" i="5"/>
  <c r="AH83" i="5" s="1"/>
  <c r="AF84" i="5"/>
  <c r="AH84" i="5" s="1"/>
  <c r="AF85" i="5"/>
  <c r="AH85" i="5" s="1"/>
  <c r="AF86" i="5"/>
  <c r="AH86" i="5" s="1"/>
  <c r="AF87" i="5"/>
  <c r="AH87" i="5" s="1"/>
  <c r="AF88" i="5"/>
  <c r="AH88" i="5" s="1"/>
  <c r="AF89" i="5"/>
  <c r="AH89" i="5" s="1"/>
  <c r="AF90" i="5"/>
  <c r="AH90" i="5" s="1"/>
  <c r="AF91" i="5"/>
  <c r="AH91" i="5" s="1"/>
  <c r="AF92" i="5"/>
  <c r="AH92" i="5" s="1"/>
  <c r="AF93" i="5"/>
  <c r="AH93" i="5" s="1"/>
  <c r="AF94" i="5"/>
  <c r="AH94" i="5" s="1"/>
  <c r="AF95" i="5"/>
  <c r="AH95" i="5" s="1"/>
  <c r="AF96" i="5"/>
  <c r="AH96" i="5" s="1"/>
  <c r="AF97" i="5"/>
  <c r="AH97" i="5" s="1"/>
  <c r="AF98" i="5"/>
  <c r="AH98" i="5" s="1"/>
  <c r="AF99" i="5"/>
  <c r="AH99" i="5" s="1"/>
  <c r="AF100" i="5"/>
  <c r="AH100" i="5" s="1"/>
  <c r="AF101" i="5"/>
  <c r="AH101" i="5" s="1"/>
  <c r="AF102" i="5"/>
  <c r="AH102" i="5" s="1"/>
  <c r="AF103" i="5"/>
  <c r="AH103" i="5" s="1"/>
  <c r="AF104" i="5"/>
  <c r="AH104" i="5" s="1"/>
  <c r="AF105" i="5"/>
  <c r="AH105" i="5" s="1"/>
  <c r="AF106" i="5"/>
  <c r="AH106" i="5" s="1"/>
  <c r="AF107" i="5"/>
  <c r="AH107" i="5" s="1"/>
  <c r="AF108" i="5"/>
  <c r="AH108" i="5" s="1"/>
  <c r="AF109" i="5"/>
  <c r="AH109" i="5" s="1"/>
  <c r="AF110" i="5"/>
  <c r="AH110" i="5" s="1"/>
  <c r="AF111" i="5"/>
  <c r="AH111" i="5" s="1"/>
  <c r="AF112" i="5"/>
  <c r="AH112" i="5" s="1"/>
  <c r="AF113" i="5"/>
  <c r="AH113" i="5" s="1"/>
  <c r="AF114" i="5"/>
  <c r="AH114" i="5" s="1"/>
  <c r="AF115" i="5"/>
  <c r="AH115" i="5" s="1"/>
  <c r="AF116" i="5"/>
  <c r="AH116" i="5" s="1"/>
  <c r="AF117" i="5"/>
  <c r="AH117" i="5" s="1"/>
  <c r="AF118" i="5"/>
  <c r="AH118" i="5" s="1"/>
  <c r="AF119" i="5"/>
  <c r="AH119" i="5" s="1"/>
  <c r="AF120" i="5"/>
  <c r="AH120" i="5" s="1"/>
  <c r="AF121" i="5"/>
  <c r="AH121" i="5" s="1"/>
  <c r="AF122" i="5"/>
  <c r="AH122" i="5" s="1"/>
  <c r="AF123" i="5"/>
  <c r="AH123" i="5" s="1"/>
  <c r="AF124" i="5"/>
  <c r="AH124" i="5" s="1"/>
  <c r="AF125" i="5"/>
  <c r="AH125" i="5" s="1"/>
  <c r="AF126" i="5"/>
  <c r="AH126" i="5" s="1"/>
  <c r="AF127" i="5"/>
  <c r="AH127" i="5" s="1"/>
  <c r="AF128" i="5"/>
  <c r="AH128" i="5" s="1"/>
  <c r="AF129" i="5"/>
  <c r="AH129" i="5" s="1"/>
  <c r="AF130" i="5"/>
  <c r="AH130" i="5" s="1"/>
  <c r="AF131" i="5"/>
  <c r="AH131" i="5" s="1"/>
  <c r="AF132" i="5"/>
  <c r="AH132" i="5" s="1"/>
  <c r="AF133" i="5"/>
  <c r="AH133" i="5" s="1"/>
  <c r="AF134" i="5"/>
  <c r="AH134" i="5" s="1"/>
  <c r="AF135" i="5"/>
  <c r="AH135" i="5" s="1"/>
  <c r="AF136" i="5"/>
  <c r="AH136" i="5" s="1"/>
  <c r="AF137" i="5"/>
  <c r="AH137" i="5" s="1"/>
  <c r="AF138" i="5"/>
  <c r="AH138" i="5" s="1"/>
  <c r="AF139" i="5"/>
  <c r="AH139" i="5" s="1"/>
  <c r="AF140" i="5"/>
  <c r="AH140" i="5" s="1"/>
  <c r="AF141" i="5"/>
  <c r="AH141" i="5" s="1"/>
  <c r="AF142" i="5"/>
  <c r="AH142" i="5" s="1"/>
  <c r="AF143" i="5"/>
  <c r="AH143" i="5" s="1"/>
  <c r="AF144" i="5"/>
  <c r="AH144" i="5" s="1"/>
  <c r="AF145" i="5"/>
  <c r="AH145" i="5" s="1"/>
  <c r="AF146" i="5"/>
  <c r="AH146" i="5" s="1"/>
  <c r="AF147" i="5"/>
  <c r="AH147" i="5" s="1"/>
  <c r="AF148" i="5"/>
  <c r="AH148" i="5" s="1"/>
  <c r="AF149" i="5"/>
  <c r="AH149" i="5" s="1"/>
  <c r="AF150" i="5"/>
  <c r="AH150" i="5" s="1"/>
  <c r="AF151" i="5"/>
  <c r="AH151" i="5" s="1"/>
  <c r="AF152" i="5"/>
  <c r="AH152" i="5" s="1"/>
  <c r="AF153" i="5"/>
  <c r="AH153" i="5" s="1"/>
  <c r="AF154" i="5"/>
  <c r="AH154" i="5" s="1"/>
  <c r="AF155" i="5"/>
  <c r="AH155" i="5" s="1"/>
  <c r="AF156" i="5"/>
  <c r="AH156" i="5" s="1"/>
  <c r="AF157" i="5"/>
  <c r="AH157" i="5" s="1"/>
  <c r="AF158" i="5"/>
  <c r="AH158" i="5" s="1"/>
  <c r="AF159" i="5"/>
  <c r="AH159" i="5" s="1"/>
  <c r="AF160" i="5"/>
  <c r="AH160" i="5" s="1"/>
  <c r="AF161" i="5"/>
  <c r="AH161" i="5" s="1"/>
  <c r="AF162" i="5"/>
  <c r="AH162" i="5" s="1"/>
  <c r="AF163" i="5"/>
  <c r="AH163" i="5" s="1"/>
  <c r="AF164" i="5"/>
  <c r="AH164" i="5" s="1"/>
  <c r="AF165" i="5"/>
  <c r="AH165" i="5" s="1"/>
  <c r="AF166" i="5"/>
  <c r="AH166" i="5" s="1"/>
  <c r="AF167" i="5"/>
  <c r="AH167" i="5" s="1"/>
  <c r="AF168" i="5"/>
  <c r="AH168" i="5" s="1"/>
  <c r="AF169" i="5"/>
  <c r="AH169" i="5" s="1"/>
  <c r="AF170" i="5"/>
  <c r="AH170" i="5" s="1"/>
  <c r="AF171" i="5"/>
  <c r="AH171" i="5" s="1"/>
  <c r="AF172" i="5"/>
  <c r="AH172" i="5" s="1"/>
  <c r="AF173" i="5"/>
  <c r="AH173" i="5" s="1"/>
  <c r="AF174" i="5"/>
  <c r="AH174" i="5" s="1"/>
  <c r="AF175" i="5"/>
  <c r="AH175" i="5" s="1"/>
  <c r="AF176" i="5"/>
  <c r="AH176" i="5" s="1"/>
  <c r="AF177" i="5"/>
  <c r="AH177" i="5" s="1"/>
  <c r="AF178" i="5"/>
  <c r="AH178" i="5" s="1"/>
  <c r="AF179" i="5"/>
  <c r="AH179" i="5" s="1"/>
  <c r="AF180" i="5"/>
  <c r="AH180" i="5" s="1"/>
  <c r="AF181" i="5"/>
  <c r="AH181" i="5" s="1"/>
  <c r="AF182" i="5"/>
  <c r="AH182" i="5" s="1"/>
  <c r="AF183" i="5"/>
  <c r="AH183" i="5" s="1"/>
  <c r="AF184" i="5"/>
  <c r="AH184" i="5" s="1"/>
  <c r="AF185" i="5"/>
  <c r="AH185" i="5" s="1"/>
  <c r="AF186" i="5"/>
  <c r="AH186" i="5" s="1"/>
  <c r="AF187" i="5"/>
  <c r="AH187" i="5" s="1"/>
  <c r="AF188" i="5"/>
  <c r="AH188" i="5" s="1"/>
  <c r="AF189" i="5"/>
  <c r="AH189" i="5" s="1"/>
  <c r="AF190" i="5"/>
  <c r="AH190" i="5" s="1"/>
  <c r="AF191" i="5"/>
  <c r="AH191" i="5" s="1"/>
  <c r="AF192" i="5"/>
  <c r="AH192" i="5" s="1"/>
  <c r="AF193" i="5"/>
  <c r="AH193" i="5" s="1"/>
  <c r="AF194" i="5"/>
  <c r="AH194" i="5" s="1"/>
  <c r="AF195" i="5"/>
  <c r="AH195" i="5" s="1"/>
  <c r="AF196" i="5"/>
  <c r="AH196" i="5" s="1"/>
  <c r="AF197" i="5"/>
  <c r="AH197" i="5" s="1"/>
  <c r="AF198" i="5"/>
  <c r="AH198" i="5" s="1"/>
  <c r="AF199" i="5"/>
  <c r="AH199" i="5" s="1"/>
  <c r="AF200" i="5"/>
  <c r="AH200" i="5" s="1"/>
  <c r="AF201" i="5"/>
  <c r="AH201" i="5" s="1"/>
  <c r="AF202" i="5"/>
  <c r="AH202" i="5" s="1"/>
  <c r="AF203" i="5"/>
  <c r="AH203" i="5" s="1"/>
  <c r="AF204" i="5"/>
  <c r="AH204" i="5" s="1"/>
  <c r="AF205" i="5"/>
  <c r="AH205" i="5" s="1"/>
  <c r="AF206" i="5"/>
  <c r="AH206" i="5" s="1"/>
  <c r="AF207" i="5"/>
  <c r="AH207" i="5" s="1"/>
  <c r="AF208" i="5"/>
  <c r="AH208" i="5" s="1"/>
  <c r="AF209" i="5"/>
  <c r="AH209" i="5" s="1"/>
  <c r="AF210" i="5"/>
  <c r="AH210" i="5" s="1"/>
  <c r="AF211" i="5"/>
  <c r="AH211" i="5" s="1"/>
  <c r="AF212" i="5"/>
  <c r="AH212" i="5" s="1"/>
  <c r="AF213" i="5"/>
  <c r="AH213" i="5" s="1"/>
  <c r="AF214" i="5"/>
  <c r="AH214" i="5" s="1"/>
  <c r="AF215" i="5"/>
  <c r="AH215" i="5" s="1"/>
  <c r="AF216" i="5"/>
  <c r="AH216" i="5" s="1"/>
  <c r="AF217" i="5"/>
  <c r="AH217" i="5" s="1"/>
  <c r="AF218" i="5"/>
  <c r="AH218" i="5" s="1"/>
  <c r="AF219" i="5"/>
  <c r="AH219" i="5" s="1"/>
  <c r="AF220" i="5"/>
  <c r="AH220" i="5" s="1"/>
  <c r="AF221" i="5"/>
  <c r="AH221" i="5" s="1"/>
  <c r="AF222" i="5"/>
  <c r="AH222" i="5" s="1"/>
  <c r="AF223" i="5"/>
  <c r="AH223" i="5" s="1"/>
  <c r="AF224" i="5"/>
  <c r="AH224" i="5" s="1"/>
  <c r="AF225" i="5"/>
  <c r="AH225" i="5" s="1"/>
  <c r="AF226" i="5"/>
  <c r="AH226" i="5" s="1"/>
  <c r="AF227" i="5"/>
  <c r="AH227" i="5" s="1"/>
  <c r="AF228" i="5"/>
  <c r="AH228" i="5" s="1"/>
  <c r="AF229" i="5"/>
  <c r="AH229" i="5" s="1"/>
  <c r="AF230" i="5"/>
  <c r="AH230" i="5" s="1"/>
  <c r="AF231" i="5"/>
  <c r="AH231" i="5" s="1"/>
  <c r="AF232" i="5"/>
  <c r="AH232" i="5" s="1"/>
  <c r="AF233" i="5"/>
  <c r="AH233" i="5" s="1"/>
  <c r="AF234" i="5"/>
  <c r="AH234" i="5" s="1"/>
  <c r="AF235" i="5"/>
  <c r="AH235" i="5" s="1"/>
  <c r="AF236" i="5"/>
  <c r="AH236" i="5" s="1"/>
  <c r="AF237" i="5"/>
  <c r="AH237" i="5" s="1"/>
  <c r="AF238" i="5"/>
  <c r="AH238" i="5" s="1"/>
  <c r="AF239" i="5"/>
  <c r="AH239" i="5" s="1"/>
  <c r="AF240" i="5"/>
  <c r="AH240" i="5" s="1"/>
  <c r="AF241" i="5"/>
  <c r="AH241" i="5" s="1"/>
  <c r="AF242" i="5"/>
  <c r="AH242" i="5" s="1"/>
  <c r="AF243" i="5"/>
  <c r="AH243" i="5" s="1"/>
  <c r="AF244" i="5"/>
  <c r="AH244" i="5" s="1"/>
  <c r="AF245" i="5"/>
  <c r="AH245" i="5" s="1"/>
  <c r="AF246" i="5"/>
  <c r="AH246" i="5" s="1"/>
  <c r="AF247" i="5"/>
  <c r="AH247" i="5" s="1"/>
  <c r="AF248" i="5"/>
  <c r="AH248" i="5" s="1"/>
  <c r="AF249" i="5"/>
  <c r="AH249" i="5" s="1"/>
  <c r="AF250" i="5"/>
  <c r="AH250" i="5" s="1"/>
  <c r="AF251" i="5"/>
  <c r="AH251" i="5" s="1"/>
  <c r="AF252" i="5"/>
  <c r="AH252" i="5" s="1"/>
  <c r="AF253" i="5"/>
  <c r="AH253" i="5" s="1"/>
  <c r="AF254" i="5"/>
  <c r="AH254" i="5" s="1"/>
  <c r="AF255" i="5"/>
  <c r="AH255" i="5" s="1"/>
  <c r="AF256" i="5"/>
  <c r="AH256" i="5" s="1"/>
  <c r="AF257" i="5"/>
  <c r="AH257" i="5" s="1"/>
  <c r="AF258" i="5"/>
  <c r="AH258" i="5" s="1"/>
  <c r="AF259" i="5"/>
  <c r="AH259" i="5" s="1"/>
  <c r="AF260" i="5"/>
  <c r="AH260" i="5" s="1"/>
  <c r="AF261" i="5"/>
  <c r="AH261" i="5" s="1"/>
  <c r="AF262" i="5"/>
  <c r="AH262" i="5" s="1"/>
  <c r="AF263" i="5"/>
  <c r="AH263" i="5" s="1"/>
  <c r="AF264" i="5"/>
  <c r="AH264" i="5" s="1"/>
  <c r="AF265" i="5"/>
  <c r="AH265" i="5" s="1"/>
  <c r="AF266" i="5"/>
  <c r="AH266" i="5" s="1"/>
  <c r="AF267" i="5"/>
  <c r="AH267" i="5" s="1"/>
  <c r="AF268" i="5"/>
  <c r="AH268" i="5" s="1"/>
  <c r="AF269" i="5"/>
  <c r="AH269" i="5" s="1"/>
  <c r="AF270" i="5"/>
  <c r="AH270" i="5" s="1"/>
  <c r="AF271" i="5"/>
  <c r="AH271" i="5" s="1"/>
  <c r="AF272" i="5"/>
  <c r="AH272" i="5" s="1"/>
  <c r="AF273" i="5"/>
  <c r="AH273" i="5" s="1"/>
  <c r="AF274" i="5"/>
  <c r="AH274" i="5" s="1"/>
  <c r="AF275" i="5"/>
  <c r="AH275" i="5" s="1"/>
  <c r="AF276" i="5"/>
  <c r="AH276" i="5" s="1"/>
  <c r="AF277" i="5"/>
  <c r="AH277" i="5" s="1"/>
  <c r="AF278" i="5"/>
  <c r="AH278" i="5" s="1"/>
  <c r="AF279" i="5"/>
  <c r="AH279" i="5" s="1"/>
  <c r="AF280" i="5"/>
  <c r="AH280" i="5" s="1"/>
  <c r="AF281" i="5"/>
  <c r="AH281" i="5" s="1"/>
  <c r="AF282" i="5"/>
  <c r="AH282" i="5" s="1"/>
  <c r="AF283" i="5"/>
  <c r="AH283" i="5" s="1"/>
  <c r="AF284" i="5"/>
  <c r="AH284" i="5" s="1"/>
  <c r="AF285" i="5"/>
  <c r="AH285" i="5" s="1"/>
  <c r="AF286" i="5"/>
  <c r="AH286" i="5" s="1"/>
  <c r="AF287" i="5"/>
  <c r="AH287" i="5" s="1"/>
  <c r="AF288" i="5"/>
  <c r="AH288" i="5" s="1"/>
  <c r="AF289" i="5"/>
  <c r="AH289" i="5" s="1"/>
  <c r="AF290" i="5"/>
  <c r="AH290" i="5" s="1"/>
  <c r="AF291" i="5"/>
  <c r="AH291" i="5" s="1"/>
  <c r="AF292" i="5"/>
  <c r="AH292" i="5" s="1"/>
  <c r="AF293" i="5"/>
  <c r="AH293" i="5" s="1"/>
  <c r="AF294" i="5"/>
  <c r="AH294" i="5" s="1"/>
  <c r="AF295" i="5"/>
  <c r="AH295" i="5" s="1"/>
  <c r="AF296" i="5"/>
  <c r="AH296" i="5" s="1"/>
  <c r="AF297" i="5"/>
  <c r="AH297" i="5" s="1"/>
  <c r="AF298" i="5"/>
  <c r="AH298" i="5" s="1"/>
  <c r="AF299" i="5"/>
  <c r="AH299" i="5" s="1"/>
  <c r="AF300" i="5"/>
  <c r="AH300" i="5" s="1"/>
  <c r="AF301" i="5"/>
  <c r="AH301" i="5" s="1"/>
  <c r="AF302" i="5"/>
  <c r="AH302" i="5" s="1"/>
  <c r="AF303" i="5"/>
  <c r="AH303" i="5" s="1"/>
  <c r="AF304" i="5"/>
  <c r="AH304" i="5" s="1"/>
  <c r="AF305" i="5"/>
  <c r="AH305" i="5" s="1"/>
  <c r="AF306" i="5"/>
  <c r="AH306" i="5" s="1"/>
  <c r="AF307" i="5"/>
  <c r="AH307" i="5" s="1"/>
  <c r="AF308" i="5"/>
  <c r="AH308" i="5" s="1"/>
  <c r="AF309" i="5"/>
  <c r="AH309" i="5" s="1"/>
  <c r="AF310" i="5"/>
  <c r="AH310" i="5" s="1"/>
  <c r="AF311" i="5"/>
  <c r="AH311" i="5" s="1"/>
  <c r="AF312" i="5"/>
  <c r="AH312" i="5" s="1"/>
  <c r="AF313" i="5"/>
  <c r="AH313" i="5" s="1"/>
  <c r="AF314" i="5"/>
  <c r="AH314" i="5" s="1"/>
  <c r="AF315" i="5"/>
  <c r="AH315" i="5" s="1"/>
  <c r="AF316" i="5"/>
  <c r="AH316" i="5" s="1"/>
  <c r="AF317" i="5"/>
  <c r="AH317" i="5" s="1"/>
  <c r="AF318" i="5"/>
  <c r="AH318" i="5" s="1"/>
  <c r="AF319" i="5"/>
  <c r="AH319" i="5" s="1"/>
  <c r="AF320" i="5"/>
  <c r="AH320" i="5" s="1"/>
  <c r="AF321" i="5"/>
  <c r="AH321" i="5" s="1"/>
  <c r="AF322" i="5"/>
  <c r="AH322" i="5" s="1"/>
  <c r="AF323" i="5"/>
  <c r="AH323" i="5" s="1"/>
  <c r="AF324" i="5"/>
  <c r="AH324" i="5" s="1"/>
  <c r="AF325" i="5"/>
  <c r="AH325" i="5" s="1"/>
  <c r="AF326" i="5"/>
  <c r="AH326" i="5" s="1"/>
  <c r="AF327" i="5"/>
  <c r="AH327" i="5" s="1"/>
  <c r="AF328" i="5"/>
  <c r="AH328" i="5" s="1"/>
  <c r="AF329" i="5"/>
  <c r="AH329" i="5" s="1"/>
  <c r="AF330" i="5"/>
  <c r="AH330" i="5" s="1"/>
  <c r="AF331" i="5"/>
  <c r="AH331" i="5" s="1"/>
  <c r="AF332" i="5"/>
  <c r="AH332" i="5" s="1"/>
  <c r="AF333" i="5"/>
  <c r="AH333" i="5" s="1"/>
  <c r="AF334" i="5"/>
  <c r="AH334" i="5" s="1"/>
  <c r="AF335" i="5"/>
  <c r="AH335" i="5" s="1"/>
  <c r="AF336" i="5"/>
  <c r="AH336" i="5" s="1"/>
  <c r="AF337" i="5"/>
  <c r="AH337" i="5" s="1"/>
  <c r="AF338" i="5"/>
  <c r="AH338" i="5" s="1"/>
  <c r="AF339" i="5"/>
  <c r="AH339" i="5" s="1"/>
  <c r="AF340" i="5"/>
  <c r="AH340" i="5" s="1"/>
  <c r="AF341" i="5"/>
  <c r="AH341" i="5" s="1"/>
  <c r="AF342" i="5"/>
  <c r="AH342" i="5" s="1"/>
  <c r="AF343" i="5"/>
  <c r="AH343" i="5" s="1"/>
  <c r="AF344" i="5"/>
  <c r="AH344" i="5" s="1"/>
  <c r="AF345" i="5"/>
  <c r="AH345" i="5" s="1"/>
  <c r="AF346" i="5"/>
  <c r="AH346" i="5" s="1"/>
  <c r="AF347" i="5"/>
  <c r="AH347" i="5" s="1"/>
  <c r="AF348" i="5"/>
  <c r="AH348" i="5" s="1"/>
  <c r="AF349" i="5"/>
  <c r="AH349" i="5" s="1"/>
  <c r="AF350" i="5"/>
  <c r="AH350" i="5" s="1"/>
  <c r="AF351" i="5"/>
  <c r="AH351" i="5" s="1"/>
  <c r="AF352" i="5"/>
  <c r="AH352" i="5" s="1"/>
  <c r="AF353" i="5"/>
  <c r="AH353" i="5" s="1"/>
  <c r="AF354" i="5"/>
  <c r="AH354" i="5" s="1"/>
  <c r="AF355" i="5"/>
  <c r="AH355" i="5" s="1"/>
  <c r="AF356" i="5"/>
  <c r="AH356" i="5" s="1"/>
  <c r="AF357" i="5"/>
  <c r="AH357" i="5" s="1"/>
  <c r="AF358" i="5"/>
  <c r="AH358" i="5" s="1"/>
  <c r="AF359" i="5"/>
  <c r="AH359" i="5" s="1"/>
  <c r="AF360" i="5"/>
  <c r="AH360" i="5" s="1"/>
  <c r="AF361" i="5"/>
  <c r="AH361" i="5" s="1"/>
  <c r="AF362" i="5"/>
  <c r="AH362" i="5" s="1"/>
  <c r="AF363" i="5"/>
  <c r="AH363" i="5" s="1"/>
  <c r="AF364" i="5"/>
  <c r="AH364" i="5" s="1"/>
  <c r="AF365" i="5"/>
  <c r="AH365" i="5" s="1"/>
  <c r="AF366" i="5"/>
  <c r="AH366" i="5" s="1"/>
  <c r="AF367" i="5"/>
  <c r="AH367" i="5" s="1"/>
  <c r="AF368" i="5"/>
  <c r="AH368" i="5" s="1"/>
  <c r="AF369" i="5"/>
  <c r="AH369" i="5" s="1"/>
  <c r="AF370" i="5"/>
  <c r="AH370" i="5" s="1"/>
  <c r="AF371" i="5"/>
  <c r="AH371" i="5" s="1"/>
  <c r="AF372" i="5"/>
  <c r="AH372" i="5" s="1"/>
  <c r="AF373" i="5"/>
  <c r="AH373" i="5" s="1"/>
  <c r="AF374" i="5"/>
  <c r="AH374" i="5" s="1"/>
  <c r="AF375" i="5"/>
  <c r="AH375" i="5" s="1"/>
  <c r="AF376" i="5"/>
  <c r="AH376" i="5" s="1"/>
  <c r="AF377" i="5"/>
  <c r="AH377" i="5" s="1"/>
  <c r="AF378" i="5"/>
  <c r="AH378" i="5" s="1"/>
  <c r="AF379" i="5"/>
  <c r="AH379" i="5" s="1"/>
  <c r="AF380" i="5"/>
  <c r="AH380" i="5" s="1"/>
  <c r="AF381" i="5"/>
  <c r="AH381" i="5" s="1"/>
  <c r="AF2" i="5"/>
  <c r="AH2" i="5" s="1"/>
  <c r="AD3" i="5"/>
  <c r="AD4" i="5"/>
  <c r="AD5" i="5"/>
  <c r="AD6" i="5"/>
  <c r="AD7" i="5"/>
  <c r="AD8" i="5"/>
  <c r="AD9" i="5"/>
  <c r="AD10" i="5"/>
  <c r="AD11" i="5"/>
  <c r="AD12" i="5"/>
  <c r="AD13" i="5"/>
  <c r="AD14" i="5"/>
  <c r="AD15" i="5"/>
  <c r="AD16" i="5"/>
  <c r="AD17" i="5"/>
  <c r="AD18" i="5"/>
  <c r="AD19" i="5"/>
  <c r="AD20" i="5"/>
  <c r="AD21" i="5"/>
  <c r="AD22" i="5"/>
  <c r="AD23" i="5"/>
  <c r="AD24" i="5"/>
  <c r="AD25" i="5"/>
  <c r="AD26" i="5"/>
  <c r="AD27" i="5"/>
  <c r="AD28" i="5"/>
  <c r="AD29" i="5"/>
  <c r="AD30" i="5"/>
  <c r="AD31" i="5"/>
  <c r="AD32" i="5"/>
  <c r="AD33" i="5"/>
  <c r="AD34" i="5"/>
  <c r="AD35" i="5"/>
  <c r="AD36" i="5"/>
  <c r="AD37" i="5"/>
  <c r="AD38" i="5"/>
  <c r="AD39" i="5"/>
  <c r="AD40" i="5"/>
  <c r="AD41" i="5"/>
  <c r="AD42" i="5"/>
  <c r="AD43" i="5"/>
  <c r="AD44" i="5"/>
  <c r="AD45" i="5"/>
  <c r="AD46" i="5"/>
  <c r="AD47" i="5"/>
  <c r="AD48" i="5"/>
  <c r="AD49" i="5"/>
  <c r="AD50" i="5"/>
  <c r="AD51" i="5"/>
  <c r="AD52" i="5"/>
  <c r="AD53" i="5"/>
  <c r="AD54" i="5"/>
  <c r="AD55" i="5"/>
  <c r="AD56" i="5"/>
  <c r="AD57" i="5"/>
  <c r="AD58" i="5"/>
  <c r="AD59" i="5"/>
  <c r="AD60" i="5"/>
  <c r="AD61" i="5"/>
  <c r="AD62" i="5"/>
  <c r="AD63" i="5"/>
  <c r="AD64" i="5"/>
  <c r="AD65" i="5"/>
  <c r="AD66" i="5"/>
  <c r="AD67" i="5"/>
  <c r="AD68" i="5"/>
  <c r="AD69" i="5"/>
  <c r="AD70" i="5"/>
  <c r="AD71" i="5"/>
  <c r="AD72" i="5"/>
  <c r="AD73" i="5"/>
  <c r="AD74" i="5"/>
  <c r="AD75" i="5"/>
  <c r="AD76" i="5"/>
  <c r="AD77" i="5"/>
  <c r="AD78" i="5"/>
  <c r="AD79" i="5"/>
  <c r="AD80" i="5"/>
  <c r="AD81" i="5"/>
  <c r="AD82" i="5"/>
  <c r="AD83" i="5"/>
  <c r="AD84" i="5"/>
  <c r="AD85" i="5"/>
  <c r="AD86" i="5"/>
  <c r="AD87" i="5"/>
  <c r="AD88" i="5"/>
  <c r="AD89" i="5"/>
  <c r="AD90" i="5"/>
  <c r="AD91" i="5"/>
  <c r="AD92" i="5"/>
  <c r="AD93" i="5"/>
  <c r="AD94" i="5"/>
  <c r="AD95" i="5"/>
  <c r="AD96" i="5"/>
  <c r="AD97" i="5"/>
  <c r="AD98" i="5"/>
  <c r="AD99" i="5"/>
  <c r="AD100" i="5"/>
  <c r="AD101" i="5"/>
  <c r="AD102" i="5"/>
  <c r="AD103" i="5"/>
  <c r="AD104" i="5"/>
  <c r="AD105" i="5"/>
  <c r="AD106" i="5"/>
  <c r="AD107" i="5"/>
  <c r="AD108" i="5"/>
  <c r="AD109" i="5"/>
  <c r="AD110" i="5"/>
  <c r="AD111" i="5"/>
  <c r="AD112" i="5"/>
  <c r="AD113" i="5"/>
  <c r="AD114" i="5"/>
  <c r="AD115" i="5"/>
  <c r="AD116" i="5"/>
  <c r="AD117" i="5"/>
  <c r="AD118" i="5"/>
  <c r="AD119" i="5"/>
  <c r="AD120" i="5"/>
  <c r="AD121" i="5"/>
  <c r="AD122" i="5"/>
  <c r="AD123" i="5"/>
  <c r="AD124" i="5"/>
  <c r="AD125" i="5"/>
  <c r="AD126" i="5"/>
  <c r="AD127" i="5"/>
  <c r="AD128" i="5"/>
  <c r="AD129" i="5"/>
  <c r="AD130" i="5"/>
  <c r="AD131" i="5"/>
  <c r="AD132" i="5"/>
  <c r="AD133" i="5"/>
  <c r="AD134" i="5"/>
  <c r="AD135" i="5"/>
  <c r="AD136" i="5"/>
  <c r="AD137" i="5"/>
  <c r="AD138" i="5"/>
  <c r="AD139" i="5"/>
  <c r="AD140" i="5"/>
  <c r="AD141" i="5"/>
  <c r="AD142" i="5"/>
  <c r="AD143" i="5"/>
  <c r="AD144" i="5"/>
  <c r="AD145" i="5"/>
  <c r="AD146" i="5"/>
  <c r="AD147" i="5"/>
  <c r="AD148" i="5"/>
  <c r="AD149" i="5"/>
  <c r="AD150" i="5"/>
  <c r="AD151" i="5"/>
  <c r="AD152" i="5"/>
  <c r="AD153" i="5"/>
  <c r="AD154" i="5"/>
  <c r="AD155" i="5"/>
  <c r="AD156" i="5"/>
  <c r="AD157" i="5"/>
  <c r="AD158" i="5"/>
  <c r="AD159" i="5"/>
  <c r="AD160" i="5"/>
  <c r="AD161" i="5"/>
  <c r="AD162" i="5"/>
  <c r="AD163" i="5"/>
  <c r="AD164" i="5"/>
  <c r="AD165" i="5"/>
  <c r="AD166" i="5"/>
  <c r="AD167" i="5"/>
  <c r="AD168" i="5"/>
  <c r="AD169" i="5"/>
  <c r="AD170" i="5"/>
  <c r="AD171" i="5"/>
  <c r="AD172" i="5"/>
  <c r="AD173" i="5"/>
  <c r="AD174" i="5"/>
  <c r="AD175" i="5"/>
  <c r="AD176" i="5"/>
  <c r="AD177" i="5"/>
  <c r="AD178" i="5"/>
  <c r="AD179" i="5"/>
  <c r="AD180" i="5"/>
  <c r="AD181" i="5"/>
  <c r="AD182" i="5"/>
  <c r="AD183" i="5"/>
  <c r="AD184" i="5"/>
  <c r="AD185" i="5"/>
  <c r="AD186" i="5"/>
  <c r="AD187" i="5"/>
  <c r="AD188" i="5"/>
  <c r="AD189" i="5"/>
  <c r="AD190" i="5"/>
  <c r="AD191" i="5"/>
  <c r="AD192" i="5"/>
  <c r="AD193" i="5"/>
  <c r="AD194" i="5"/>
  <c r="AD195" i="5"/>
  <c r="AD196" i="5"/>
  <c r="AD197" i="5"/>
  <c r="AD198" i="5"/>
  <c r="AD199" i="5"/>
  <c r="AD200" i="5"/>
  <c r="AD201" i="5"/>
  <c r="AD202" i="5"/>
  <c r="AD203" i="5"/>
  <c r="AD204" i="5"/>
  <c r="AD205" i="5"/>
  <c r="AD206" i="5"/>
  <c r="AD207" i="5"/>
  <c r="AD208" i="5"/>
  <c r="AD209" i="5"/>
  <c r="AD210" i="5"/>
  <c r="AD211" i="5"/>
  <c r="AD212" i="5"/>
  <c r="AD213" i="5"/>
  <c r="AD214" i="5"/>
  <c r="AD215" i="5"/>
  <c r="AD216" i="5"/>
  <c r="AD217" i="5"/>
  <c r="AD218" i="5"/>
  <c r="AD219" i="5"/>
  <c r="AD220" i="5"/>
  <c r="AD221" i="5"/>
  <c r="AD222" i="5"/>
  <c r="AD223" i="5"/>
  <c r="AD224" i="5"/>
  <c r="AD225" i="5"/>
  <c r="AD226" i="5"/>
  <c r="AD227" i="5"/>
  <c r="AD228" i="5"/>
  <c r="AD229" i="5"/>
  <c r="AD230" i="5"/>
  <c r="AD231" i="5"/>
  <c r="AD232" i="5"/>
  <c r="AD233" i="5"/>
  <c r="AD234" i="5"/>
  <c r="AD235" i="5"/>
  <c r="AD236" i="5"/>
  <c r="AD237" i="5"/>
  <c r="AD238" i="5"/>
  <c r="AD239" i="5"/>
  <c r="AD240" i="5"/>
  <c r="AD241" i="5"/>
  <c r="AD242" i="5"/>
  <c r="AD243" i="5"/>
  <c r="AD244" i="5"/>
  <c r="AD245" i="5"/>
  <c r="AD246" i="5"/>
  <c r="AD247" i="5"/>
  <c r="AD248" i="5"/>
  <c r="AD249" i="5"/>
  <c r="AD250" i="5"/>
  <c r="AD251" i="5"/>
  <c r="AD252" i="5"/>
  <c r="AD253" i="5"/>
  <c r="AD254" i="5"/>
  <c r="AD255" i="5"/>
  <c r="AD256" i="5"/>
  <c r="AD257" i="5"/>
  <c r="AD258" i="5"/>
  <c r="AD259" i="5"/>
  <c r="AD260" i="5"/>
  <c r="AD261" i="5"/>
  <c r="AD262" i="5"/>
  <c r="AD263" i="5"/>
  <c r="AD264" i="5"/>
  <c r="AD265" i="5"/>
  <c r="AD266" i="5"/>
  <c r="AD267" i="5"/>
  <c r="AD268" i="5"/>
  <c r="AD269" i="5"/>
  <c r="AD270" i="5"/>
  <c r="AD271" i="5"/>
  <c r="AD272" i="5"/>
  <c r="AD273" i="5"/>
  <c r="AD274" i="5"/>
  <c r="AD275" i="5"/>
  <c r="AD276" i="5"/>
  <c r="AD277" i="5"/>
  <c r="AD278" i="5"/>
  <c r="AD279" i="5"/>
  <c r="AD280" i="5"/>
  <c r="AD281" i="5"/>
  <c r="AD282" i="5"/>
  <c r="AD283" i="5"/>
  <c r="AD284" i="5"/>
  <c r="AD285" i="5"/>
  <c r="AD286" i="5"/>
  <c r="AD287" i="5"/>
  <c r="AD288" i="5"/>
  <c r="AD289" i="5"/>
  <c r="AD290" i="5"/>
  <c r="AD291" i="5"/>
  <c r="AD292" i="5"/>
  <c r="AD293" i="5"/>
  <c r="AD294" i="5"/>
  <c r="AD295" i="5"/>
  <c r="AD296" i="5"/>
  <c r="AD297" i="5"/>
  <c r="AD298" i="5"/>
  <c r="AD299" i="5"/>
  <c r="AD300" i="5"/>
  <c r="AD301" i="5"/>
  <c r="AD302" i="5"/>
  <c r="AD303" i="5"/>
  <c r="AD304" i="5"/>
  <c r="AD305" i="5"/>
  <c r="AD306" i="5"/>
  <c r="AD307" i="5"/>
  <c r="AD308" i="5"/>
  <c r="AD309" i="5"/>
  <c r="AD310" i="5"/>
  <c r="AD311" i="5"/>
  <c r="AD312" i="5"/>
  <c r="AD313" i="5"/>
  <c r="AD314" i="5"/>
  <c r="AD315" i="5"/>
  <c r="AD316" i="5"/>
  <c r="AD317" i="5"/>
  <c r="AD318" i="5"/>
  <c r="AD319" i="5"/>
  <c r="AD320" i="5"/>
  <c r="AD321" i="5"/>
  <c r="AD322" i="5"/>
  <c r="AD323" i="5"/>
  <c r="AD324" i="5"/>
  <c r="AD325" i="5"/>
  <c r="AD326" i="5"/>
  <c r="AD327" i="5"/>
  <c r="AD328" i="5"/>
  <c r="AD329" i="5"/>
  <c r="AD330" i="5"/>
  <c r="AD331" i="5"/>
  <c r="AD332" i="5"/>
  <c r="AD333" i="5"/>
  <c r="AD334" i="5"/>
  <c r="AD335" i="5"/>
  <c r="AD336" i="5"/>
  <c r="AD337" i="5"/>
  <c r="AD338" i="5"/>
  <c r="AD339" i="5"/>
  <c r="AD340" i="5"/>
  <c r="AD341" i="5"/>
  <c r="AD342" i="5"/>
  <c r="AD343" i="5"/>
  <c r="AD344" i="5"/>
  <c r="AD345" i="5"/>
  <c r="AD346" i="5"/>
  <c r="AD347" i="5"/>
  <c r="AD348" i="5"/>
  <c r="AD349" i="5"/>
  <c r="AD350" i="5"/>
  <c r="AD351" i="5"/>
  <c r="AD352" i="5"/>
  <c r="AD353" i="5"/>
  <c r="AD354" i="5"/>
  <c r="AD355" i="5"/>
  <c r="AD356" i="5"/>
  <c r="AD357" i="5"/>
  <c r="AD358" i="5"/>
  <c r="AD359" i="5"/>
  <c r="AD360" i="5"/>
  <c r="AD361" i="5"/>
  <c r="AD362" i="5"/>
  <c r="AD363" i="5"/>
  <c r="AD364" i="5"/>
  <c r="AD365" i="5"/>
  <c r="AD366" i="5"/>
  <c r="AD367" i="5"/>
  <c r="AD368" i="5"/>
  <c r="AD369" i="5"/>
  <c r="AD370" i="5"/>
  <c r="AD371" i="5"/>
  <c r="AD372" i="5"/>
  <c r="AD373" i="5"/>
  <c r="AD374" i="5"/>
  <c r="AD375" i="5"/>
  <c r="AD376" i="5"/>
  <c r="AD377" i="5"/>
  <c r="AD378" i="5"/>
  <c r="AD379" i="5"/>
  <c r="AD380" i="5"/>
  <c r="AD381" i="5"/>
  <c r="AD2" i="5"/>
  <c r="V3" i="5"/>
  <c r="V4" i="5"/>
  <c r="V5" i="5"/>
  <c r="V6" i="5"/>
  <c r="V7" i="5"/>
  <c r="V8" i="5"/>
  <c r="V9" i="5"/>
  <c r="V10" i="5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V32" i="5"/>
  <c r="V33" i="5"/>
  <c r="V34" i="5"/>
  <c r="V35" i="5"/>
  <c r="V36" i="5"/>
  <c r="V37" i="5"/>
  <c r="V38" i="5"/>
  <c r="V39" i="5"/>
  <c r="V40" i="5"/>
  <c r="V41" i="5"/>
  <c r="V42" i="5"/>
  <c r="V43" i="5"/>
  <c r="V44" i="5"/>
  <c r="V45" i="5"/>
  <c r="V46" i="5"/>
  <c r="V47" i="5"/>
  <c r="V48" i="5"/>
  <c r="V49" i="5"/>
  <c r="V50" i="5"/>
  <c r="V51" i="5"/>
  <c r="V52" i="5"/>
  <c r="V53" i="5"/>
  <c r="V54" i="5"/>
  <c r="V55" i="5"/>
  <c r="V56" i="5"/>
  <c r="V57" i="5"/>
  <c r="V58" i="5"/>
  <c r="V59" i="5"/>
  <c r="V60" i="5"/>
  <c r="V61" i="5"/>
  <c r="V62" i="5"/>
  <c r="V63" i="5"/>
  <c r="V64" i="5"/>
  <c r="V65" i="5"/>
  <c r="V66" i="5"/>
  <c r="V67" i="5"/>
  <c r="V68" i="5"/>
  <c r="V69" i="5"/>
  <c r="V70" i="5"/>
  <c r="V71" i="5"/>
  <c r="V72" i="5"/>
  <c r="V73" i="5"/>
  <c r="V74" i="5"/>
  <c r="V75" i="5"/>
  <c r="V76" i="5"/>
  <c r="V77" i="5"/>
  <c r="V78" i="5"/>
  <c r="V79" i="5"/>
  <c r="V80" i="5"/>
  <c r="V81" i="5"/>
  <c r="V82" i="5"/>
  <c r="V83" i="5"/>
  <c r="V84" i="5"/>
  <c r="V85" i="5"/>
  <c r="V86" i="5"/>
  <c r="V87" i="5"/>
  <c r="V88" i="5"/>
  <c r="V89" i="5"/>
  <c r="V90" i="5"/>
  <c r="V91" i="5"/>
  <c r="V92" i="5"/>
  <c r="V93" i="5"/>
  <c r="V94" i="5"/>
  <c r="V95" i="5"/>
  <c r="V96" i="5"/>
  <c r="V97" i="5"/>
  <c r="V98" i="5"/>
  <c r="V99" i="5"/>
  <c r="V100" i="5"/>
  <c r="V101" i="5"/>
  <c r="V102" i="5"/>
  <c r="V103" i="5"/>
  <c r="V104" i="5"/>
  <c r="V105" i="5"/>
  <c r="V106" i="5"/>
  <c r="V107" i="5"/>
  <c r="V108" i="5"/>
  <c r="V109" i="5"/>
  <c r="V110" i="5"/>
  <c r="V111" i="5"/>
  <c r="V112" i="5"/>
  <c r="V113" i="5"/>
  <c r="V114" i="5"/>
  <c r="V115" i="5"/>
  <c r="V116" i="5"/>
  <c r="V117" i="5"/>
  <c r="V118" i="5"/>
  <c r="V119" i="5"/>
  <c r="V120" i="5"/>
  <c r="V121" i="5"/>
  <c r="V122" i="5"/>
  <c r="V123" i="5"/>
  <c r="V124" i="5"/>
  <c r="V125" i="5"/>
  <c r="V126" i="5"/>
  <c r="V127" i="5"/>
  <c r="V128" i="5"/>
  <c r="V129" i="5"/>
  <c r="V130" i="5"/>
  <c r="V131" i="5"/>
  <c r="V132" i="5"/>
  <c r="V133" i="5"/>
  <c r="V134" i="5"/>
  <c r="V135" i="5"/>
  <c r="V136" i="5"/>
  <c r="V137" i="5"/>
  <c r="V138" i="5"/>
  <c r="V139" i="5"/>
  <c r="V140" i="5"/>
  <c r="V141" i="5"/>
  <c r="V142" i="5"/>
  <c r="V143" i="5"/>
  <c r="V144" i="5"/>
  <c r="V145" i="5"/>
  <c r="V146" i="5"/>
  <c r="V147" i="5"/>
  <c r="V148" i="5"/>
  <c r="V149" i="5"/>
  <c r="V150" i="5"/>
  <c r="V151" i="5"/>
  <c r="V152" i="5"/>
  <c r="V153" i="5"/>
  <c r="V154" i="5"/>
  <c r="V155" i="5"/>
  <c r="V156" i="5"/>
  <c r="V157" i="5"/>
  <c r="V158" i="5"/>
  <c r="V159" i="5"/>
  <c r="V160" i="5"/>
  <c r="V161" i="5"/>
  <c r="V162" i="5"/>
  <c r="V163" i="5"/>
  <c r="V164" i="5"/>
  <c r="V165" i="5"/>
  <c r="V166" i="5"/>
  <c r="V167" i="5"/>
  <c r="V168" i="5"/>
  <c r="V169" i="5"/>
  <c r="V170" i="5"/>
  <c r="V171" i="5"/>
  <c r="V172" i="5"/>
  <c r="V173" i="5"/>
  <c r="V174" i="5"/>
  <c r="V175" i="5"/>
  <c r="V176" i="5"/>
  <c r="V177" i="5"/>
  <c r="V178" i="5"/>
  <c r="V179" i="5"/>
  <c r="V180" i="5"/>
  <c r="V181" i="5"/>
  <c r="V182" i="5"/>
  <c r="V183" i="5"/>
  <c r="V184" i="5"/>
  <c r="V185" i="5"/>
  <c r="V186" i="5"/>
  <c r="V187" i="5"/>
  <c r="V188" i="5"/>
  <c r="V189" i="5"/>
  <c r="V190" i="5"/>
  <c r="V191" i="5"/>
  <c r="V192" i="5"/>
  <c r="V193" i="5"/>
  <c r="V194" i="5"/>
  <c r="V195" i="5"/>
  <c r="V196" i="5"/>
  <c r="V197" i="5"/>
  <c r="V198" i="5"/>
  <c r="V199" i="5"/>
  <c r="V200" i="5"/>
  <c r="V201" i="5"/>
  <c r="V202" i="5"/>
  <c r="V203" i="5"/>
  <c r="V204" i="5"/>
  <c r="V205" i="5"/>
  <c r="V206" i="5"/>
  <c r="V207" i="5"/>
  <c r="V208" i="5"/>
  <c r="V209" i="5"/>
  <c r="V210" i="5"/>
  <c r="V211" i="5"/>
  <c r="V212" i="5"/>
  <c r="V213" i="5"/>
  <c r="V214" i="5"/>
  <c r="V215" i="5"/>
  <c r="V216" i="5"/>
  <c r="V217" i="5"/>
  <c r="V218" i="5"/>
  <c r="V219" i="5"/>
  <c r="V220" i="5"/>
  <c r="V221" i="5"/>
  <c r="V222" i="5"/>
  <c r="V223" i="5"/>
  <c r="V224" i="5"/>
  <c r="V225" i="5"/>
  <c r="V226" i="5"/>
  <c r="V227" i="5"/>
  <c r="V228" i="5"/>
  <c r="V229" i="5"/>
  <c r="V230" i="5"/>
  <c r="V231" i="5"/>
  <c r="V232" i="5"/>
  <c r="V233" i="5"/>
  <c r="V234" i="5"/>
  <c r="V235" i="5"/>
  <c r="V236" i="5"/>
  <c r="V237" i="5"/>
  <c r="V238" i="5"/>
  <c r="V239" i="5"/>
  <c r="V240" i="5"/>
  <c r="V241" i="5"/>
  <c r="V242" i="5"/>
  <c r="V243" i="5"/>
  <c r="V244" i="5"/>
  <c r="V245" i="5"/>
  <c r="V246" i="5"/>
  <c r="V247" i="5"/>
  <c r="V248" i="5"/>
  <c r="V249" i="5"/>
  <c r="V250" i="5"/>
  <c r="V251" i="5"/>
  <c r="V252" i="5"/>
  <c r="V253" i="5"/>
  <c r="V254" i="5"/>
  <c r="V255" i="5"/>
  <c r="V256" i="5"/>
  <c r="V257" i="5"/>
  <c r="V258" i="5"/>
  <c r="V259" i="5"/>
  <c r="V260" i="5"/>
  <c r="V261" i="5"/>
  <c r="V262" i="5"/>
  <c r="V263" i="5"/>
  <c r="V264" i="5"/>
  <c r="V265" i="5"/>
  <c r="V266" i="5"/>
  <c r="V267" i="5"/>
  <c r="V268" i="5"/>
  <c r="V269" i="5"/>
  <c r="V270" i="5"/>
  <c r="V271" i="5"/>
  <c r="V272" i="5"/>
  <c r="V273" i="5"/>
  <c r="V274" i="5"/>
  <c r="V275" i="5"/>
  <c r="V276" i="5"/>
  <c r="V277" i="5"/>
  <c r="V278" i="5"/>
  <c r="V279" i="5"/>
  <c r="V280" i="5"/>
  <c r="V281" i="5"/>
  <c r="V282" i="5"/>
  <c r="V283" i="5"/>
  <c r="V284" i="5"/>
  <c r="V285" i="5"/>
  <c r="V286" i="5"/>
  <c r="V287" i="5"/>
  <c r="V288" i="5"/>
  <c r="V289" i="5"/>
  <c r="V290" i="5"/>
  <c r="V291" i="5"/>
  <c r="V292" i="5"/>
  <c r="V293" i="5"/>
  <c r="V294" i="5"/>
  <c r="V295" i="5"/>
  <c r="V296" i="5"/>
  <c r="V297" i="5"/>
  <c r="V298" i="5"/>
  <c r="V299" i="5"/>
  <c r="V300" i="5"/>
  <c r="V301" i="5"/>
  <c r="V302" i="5"/>
  <c r="V303" i="5"/>
  <c r="V304" i="5"/>
  <c r="V305" i="5"/>
  <c r="V306" i="5"/>
  <c r="V307" i="5"/>
  <c r="V308" i="5"/>
  <c r="V309" i="5"/>
  <c r="V310" i="5"/>
  <c r="V311" i="5"/>
  <c r="V312" i="5"/>
  <c r="V313" i="5"/>
  <c r="V314" i="5"/>
  <c r="V315" i="5"/>
  <c r="V316" i="5"/>
  <c r="V317" i="5"/>
  <c r="V318" i="5"/>
  <c r="V319" i="5"/>
  <c r="V320" i="5"/>
  <c r="V321" i="5"/>
  <c r="V322" i="5"/>
  <c r="V323" i="5"/>
  <c r="V324" i="5"/>
  <c r="V325" i="5"/>
  <c r="V326" i="5"/>
  <c r="V327" i="5"/>
  <c r="V328" i="5"/>
  <c r="V329" i="5"/>
  <c r="V330" i="5"/>
  <c r="V331" i="5"/>
  <c r="V332" i="5"/>
  <c r="V333" i="5"/>
  <c r="V334" i="5"/>
  <c r="V335" i="5"/>
  <c r="V336" i="5"/>
  <c r="V337" i="5"/>
  <c r="V338" i="5"/>
  <c r="V339" i="5"/>
  <c r="V340" i="5"/>
  <c r="V341" i="5"/>
  <c r="V342" i="5"/>
  <c r="V343" i="5"/>
  <c r="V344" i="5"/>
  <c r="V345" i="5"/>
  <c r="V346" i="5"/>
  <c r="V347" i="5"/>
  <c r="V348" i="5"/>
  <c r="V349" i="5"/>
  <c r="V350" i="5"/>
  <c r="V351" i="5"/>
  <c r="V352" i="5"/>
  <c r="V353" i="5"/>
  <c r="V354" i="5"/>
  <c r="V355" i="5"/>
  <c r="V356" i="5"/>
  <c r="V357" i="5"/>
  <c r="V358" i="5"/>
  <c r="V359" i="5"/>
  <c r="V360" i="5"/>
  <c r="V361" i="5"/>
  <c r="V362" i="5"/>
  <c r="V363" i="5"/>
  <c r="V364" i="5"/>
  <c r="V365" i="5"/>
  <c r="V366" i="5"/>
  <c r="V367" i="5"/>
  <c r="V368" i="5"/>
  <c r="V369" i="5"/>
  <c r="V370" i="5"/>
  <c r="V371" i="5"/>
  <c r="V372" i="5"/>
  <c r="V373" i="5"/>
  <c r="V374" i="5"/>
  <c r="V375" i="5"/>
  <c r="V376" i="5"/>
  <c r="V377" i="5"/>
  <c r="V378" i="5"/>
  <c r="V379" i="5"/>
  <c r="V380" i="5"/>
  <c r="V381" i="5"/>
  <c r="V2" i="5"/>
  <c r="U3" i="5"/>
  <c r="U4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7" i="5"/>
  <c r="U38" i="5"/>
  <c r="U39" i="5"/>
  <c r="U40" i="5"/>
  <c r="U41" i="5"/>
  <c r="U42" i="5"/>
  <c r="U43" i="5"/>
  <c r="U44" i="5"/>
  <c r="U45" i="5"/>
  <c r="U46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U63" i="5"/>
  <c r="U64" i="5"/>
  <c r="U65" i="5"/>
  <c r="U66" i="5"/>
  <c r="U67" i="5"/>
  <c r="U68" i="5"/>
  <c r="U69" i="5"/>
  <c r="U70" i="5"/>
  <c r="U71" i="5"/>
  <c r="U72" i="5"/>
  <c r="U73" i="5"/>
  <c r="U74" i="5"/>
  <c r="U75" i="5"/>
  <c r="U76" i="5"/>
  <c r="U77" i="5"/>
  <c r="U78" i="5"/>
  <c r="U79" i="5"/>
  <c r="U80" i="5"/>
  <c r="U81" i="5"/>
  <c r="U82" i="5"/>
  <c r="U83" i="5"/>
  <c r="U84" i="5"/>
  <c r="U85" i="5"/>
  <c r="U86" i="5"/>
  <c r="U87" i="5"/>
  <c r="U88" i="5"/>
  <c r="U89" i="5"/>
  <c r="U90" i="5"/>
  <c r="U91" i="5"/>
  <c r="U92" i="5"/>
  <c r="U93" i="5"/>
  <c r="U94" i="5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2" i="5"/>
  <c r="U133" i="5"/>
  <c r="U134" i="5"/>
  <c r="U135" i="5"/>
  <c r="U136" i="5"/>
  <c r="U137" i="5"/>
  <c r="U138" i="5"/>
  <c r="U139" i="5"/>
  <c r="U140" i="5"/>
  <c r="U141" i="5"/>
  <c r="U142" i="5"/>
  <c r="U143" i="5"/>
  <c r="U144" i="5"/>
  <c r="U145" i="5"/>
  <c r="U146" i="5"/>
  <c r="U147" i="5"/>
  <c r="U148" i="5"/>
  <c r="U149" i="5"/>
  <c r="U150" i="5"/>
  <c r="U151" i="5"/>
  <c r="U152" i="5"/>
  <c r="U153" i="5"/>
  <c r="U154" i="5"/>
  <c r="U155" i="5"/>
  <c r="U156" i="5"/>
  <c r="U157" i="5"/>
  <c r="U158" i="5"/>
  <c r="U159" i="5"/>
  <c r="U160" i="5"/>
  <c r="U161" i="5"/>
  <c r="U162" i="5"/>
  <c r="U163" i="5"/>
  <c r="U164" i="5"/>
  <c r="U165" i="5"/>
  <c r="U166" i="5"/>
  <c r="U167" i="5"/>
  <c r="U168" i="5"/>
  <c r="U169" i="5"/>
  <c r="U170" i="5"/>
  <c r="U171" i="5"/>
  <c r="U172" i="5"/>
  <c r="U173" i="5"/>
  <c r="U174" i="5"/>
  <c r="U175" i="5"/>
  <c r="U176" i="5"/>
  <c r="U177" i="5"/>
  <c r="U178" i="5"/>
  <c r="U179" i="5"/>
  <c r="U180" i="5"/>
  <c r="U181" i="5"/>
  <c r="U182" i="5"/>
  <c r="U183" i="5"/>
  <c r="U184" i="5"/>
  <c r="U185" i="5"/>
  <c r="U186" i="5"/>
  <c r="U187" i="5"/>
  <c r="U188" i="5"/>
  <c r="U189" i="5"/>
  <c r="U190" i="5"/>
  <c r="U191" i="5"/>
  <c r="U192" i="5"/>
  <c r="U193" i="5"/>
  <c r="U194" i="5"/>
  <c r="U195" i="5"/>
  <c r="U196" i="5"/>
  <c r="U197" i="5"/>
  <c r="U198" i="5"/>
  <c r="U199" i="5"/>
  <c r="U200" i="5"/>
  <c r="U201" i="5"/>
  <c r="U202" i="5"/>
  <c r="U203" i="5"/>
  <c r="U204" i="5"/>
  <c r="U205" i="5"/>
  <c r="U206" i="5"/>
  <c r="U207" i="5"/>
  <c r="U208" i="5"/>
  <c r="U209" i="5"/>
  <c r="U210" i="5"/>
  <c r="U211" i="5"/>
  <c r="U212" i="5"/>
  <c r="U213" i="5"/>
  <c r="U214" i="5"/>
  <c r="U215" i="5"/>
  <c r="U216" i="5"/>
  <c r="U217" i="5"/>
  <c r="U218" i="5"/>
  <c r="U219" i="5"/>
  <c r="U220" i="5"/>
  <c r="U221" i="5"/>
  <c r="U222" i="5"/>
  <c r="U223" i="5"/>
  <c r="U224" i="5"/>
  <c r="U225" i="5"/>
  <c r="U226" i="5"/>
  <c r="U227" i="5"/>
  <c r="U228" i="5"/>
  <c r="U229" i="5"/>
  <c r="U230" i="5"/>
  <c r="U231" i="5"/>
  <c r="U232" i="5"/>
  <c r="U233" i="5"/>
  <c r="U234" i="5"/>
  <c r="U235" i="5"/>
  <c r="U236" i="5"/>
  <c r="U237" i="5"/>
  <c r="U238" i="5"/>
  <c r="U239" i="5"/>
  <c r="U240" i="5"/>
  <c r="U241" i="5"/>
  <c r="U242" i="5"/>
  <c r="U243" i="5"/>
  <c r="U244" i="5"/>
  <c r="U245" i="5"/>
  <c r="U246" i="5"/>
  <c r="U247" i="5"/>
  <c r="U248" i="5"/>
  <c r="U249" i="5"/>
  <c r="U250" i="5"/>
  <c r="U251" i="5"/>
  <c r="U252" i="5"/>
  <c r="U253" i="5"/>
  <c r="U254" i="5"/>
  <c r="U255" i="5"/>
  <c r="U256" i="5"/>
  <c r="U257" i="5"/>
  <c r="U258" i="5"/>
  <c r="U259" i="5"/>
  <c r="U260" i="5"/>
  <c r="U261" i="5"/>
  <c r="U262" i="5"/>
  <c r="U263" i="5"/>
  <c r="U264" i="5"/>
  <c r="U265" i="5"/>
  <c r="U266" i="5"/>
  <c r="U267" i="5"/>
  <c r="U268" i="5"/>
  <c r="U269" i="5"/>
  <c r="U270" i="5"/>
  <c r="U271" i="5"/>
  <c r="U272" i="5"/>
  <c r="U273" i="5"/>
  <c r="U274" i="5"/>
  <c r="U275" i="5"/>
  <c r="U276" i="5"/>
  <c r="U277" i="5"/>
  <c r="U278" i="5"/>
  <c r="U279" i="5"/>
  <c r="U280" i="5"/>
  <c r="U281" i="5"/>
  <c r="U282" i="5"/>
  <c r="U283" i="5"/>
  <c r="U284" i="5"/>
  <c r="U285" i="5"/>
  <c r="U286" i="5"/>
  <c r="U287" i="5"/>
  <c r="U288" i="5"/>
  <c r="U289" i="5"/>
  <c r="U290" i="5"/>
  <c r="U291" i="5"/>
  <c r="U292" i="5"/>
  <c r="U293" i="5"/>
  <c r="U294" i="5"/>
  <c r="U295" i="5"/>
  <c r="U296" i="5"/>
  <c r="U297" i="5"/>
  <c r="U298" i="5"/>
  <c r="U299" i="5"/>
  <c r="U300" i="5"/>
  <c r="U301" i="5"/>
  <c r="U302" i="5"/>
  <c r="U303" i="5"/>
  <c r="U304" i="5"/>
  <c r="U305" i="5"/>
  <c r="U306" i="5"/>
  <c r="U307" i="5"/>
  <c r="U308" i="5"/>
  <c r="U309" i="5"/>
  <c r="U310" i="5"/>
  <c r="U311" i="5"/>
  <c r="U312" i="5"/>
  <c r="U313" i="5"/>
  <c r="U314" i="5"/>
  <c r="U315" i="5"/>
  <c r="U316" i="5"/>
  <c r="U317" i="5"/>
  <c r="U318" i="5"/>
  <c r="U319" i="5"/>
  <c r="U320" i="5"/>
  <c r="U321" i="5"/>
  <c r="U322" i="5"/>
  <c r="U323" i="5"/>
  <c r="U324" i="5"/>
  <c r="U325" i="5"/>
  <c r="U326" i="5"/>
  <c r="U327" i="5"/>
  <c r="U328" i="5"/>
  <c r="U329" i="5"/>
  <c r="U330" i="5"/>
  <c r="U331" i="5"/>
  <c r="U332" i="5"/>
  <c r="U333" i="5"/>
  <c r="U334" i="5"/>
  <c r="U335" i="5"/>
  <c r="U336" i="5"/>
  <c r="U337" i="5"/>
  <c r="U338" i="5"/>
  <c r="U339" i="5"/>
  <c r="U340" i="5"/>
  <c r="U341" i="5"/>
  <c r="U342" i="5"/>
  <c r="U343" i="5"/>
  <c r="U344" i="5"/>
  <c r="U345" i="5"/>
  <c r="U346" i="5"/>
  <c r="U347" i="5"/>
  <c r="U348" i="5"/>
  <c r="U349" i="5"/>
  <c r="U350" i="5"/>
  <c r="U351" i="5"/>
  <c r="U352" i="5"/>
  <c r="U353" i="5"/>
  <c r="U354" i="5"/>
  <c r="U355" i="5"/>
  <c r="U356" i="5"/>
  <c r="U357" i="5"/>
  <c r="U358" i="5"/>
  <c r="U359" i="5"/>
  <c r="U360" i="5"/>
  <c r="U361" i="5"/>
  <c r="U362" i="5"/>
  <c r="U363" i="5"/>
  <c r="U364" i="5"/>
  <c r="U365" i="5"/>
  <c r="U366" i="5"/>
  <c r="U367" i="5"/>
  <c r="U368" i="5"/>
  <c r="U369" i="5"/>
  <c r="U370" i="5"/>
  <c r="U371" i="5"/>
  <c r="U372" i="5"/>
  <c r="U373" i="5"/>
  <c r="U374" i="5"/>
  <c r="U375" i="5"/>
  <c r="U376" i="5"/>
  <c r="U377" i="5"/>
  <c r="U378" i="5"/>
  <c r="U379" i="5"/>
  <c r="U380" i="5"/>
  <c r="U381" i="5"/>
  <c r="U2" i="5"/>
  <c r="T3" i="5"/>
  <c r="T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77" i="5"/>
  <c r="T278" i="5"/>
  <c r="T279" i="5"/>
  <c r="T280" i="5"/>
  <c r="T281" i="5"/>
  <c r="T282" i="5"/>
  <c r="T283" i="5"/>
  <c r="T284" i="5"/>
  <c r="T285" i="5"/>
  <c r="T286" i="5"/>
  <c r="T287" i="5"/>
  <c r="T288" i="5"/>
  <c r="T289" i="5"/>
  <c r="T290" i="5"/>
  <c r="T291" i="5"/>
  <c r="T292" i="5"/>
  <c r="T293" i="5"/>
  <c r="T294" i="5"/>
  <c r="T295" i="5"/>
  <c r="T296" i="5"/>
  <c r="T297" i="5"/>
  <c r="T298" i="5"/>
  <c r="T299" i="5"/>
  <c r="T300" i="5"/>
  <c r="T301" i="5"/>
  <c r="T302" i="5"/>
  <c r="T303" i="5"/>
  <c r="T304" i="5"/>
  <c r="T305" i="5"/>
  <c r="T306" i="5"/>
  <c r="T307" i="5"/>
  <c r="T308" i="5"/>
  <c r="T309" i="5"/>
  <c r="T310" i="5"/>
  <c r="T311" i="5"/>
  <c r="T312" i="5"/>
  <c r="T313" i="5"/>
  <c r="T314" i="5"/>
  <c r="T315" i="5"/>
  <c r="T316" i="5"/>
  <c r="T317" i="5"/>
  <c r="T318" i="5"/>
  <c r="T319" i="5"/>
  <c r="T320" i="5"/>
  <c r="T321" i="5"/>
  <c r="T322" i="5"/>
  <c r="T323" i="5"/>
  <c r="T324" i="5"/>
  <c r="T325" i="5"/>
  <c r="T326" i="5"/>
  <c r="T327" i="5"/>
  <c r="T328" i="5"/>
  <c r="T329" i="5"/>
  <c r="T330" i="5"/>
  <c r="T331" i="5"/>
  <c r="T332" i="5"/>
  <c r="T333" i="5"/>
  <c r="T334" i="5"/>
  <c r="T335" i="5"/>
  <c r="T336" i="5"/>
  <c r="T337" i="5"/>
  <c r="T338" i="5"/>
  <c r="T339" i="5"/>
  <c r="T340" i="5"/>
  <c r="T341" i="5"/>
  <c r="T342" i="5"/>
  <c r="T343" i="5"/>
  <c r="T344" i="5"/>
  <c r="T345" i="5"/>
  <c r="T346" i="5"/>
  <c r="T347" i="5"/>
  <c r="T348" i="5"/>
  <c r="T349" i="5"/>
  <c r="T350" i="5"/>
  <c r="T351" i="5"/>
  <c r="T352" i="5"/>
  <c r="T353" i="5"/>
  <c r="T354" i="5"/>
  <c r="T355" i="5"/>
  <c r="T356" i="5"/>
  <c r="T357" i="5"/>
  <c r="T358" i="5"/>
  <c r="T359" i="5"/>
  <c r="T360" i="5"/>
  <c r="T361" i="5"/>
  <c r="T362" i="5"/>
  <c r="T363" i="5"/>
  <c r="T364" i="5"/>
  <c r="T365" i="5"/>
  <c r="T366" i="5"/>
  <c r="T367" i="5"/>
  <c r="T368" i="5"/>
  <c r="T369" i="5"/>
  <c r="T370" i="5"/>
  <c r="T371" i="5"/>
  <c r="T372" i="5"/>
  <c r="T373" i="5"/>
  <c r="T374" i="5"/>
  <c r="T375" i="5"/>
  <c r="T376" i="5"/>
  <c r="T377" i="5"/>
  <c r="T378" i="5"/>
  <c r="T379" i="5"/>
  <c r="T380" i="5"/>
  <c r="T381" i="5"/>
  <c r="T2" i="5"/>
  <c r="Q3" i="5"/>
  <c r="Q4" i="5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53" i="5"/>
  <c r="Q254" i="5"/>
  <c r="Q255" i="5"/>
  <c r="Q256" i="5"/>
  <c r="Q257" i="5"/>
  <c r="Q258" i="5"/>
  <c r="Q259" i="5"/>
  <c r="Q260" i="5"/>
  <c r="Q261" i="5"/>
  <c r="Q262" i="5"/>
  <c r="Q263" i="5"/>
  <c r="Q264" i="5"/>
  <c r="Q265" i="5"/>
  <c r="Q266" i="5"/>
  <c r="Q267" i="5"/>
  <c r="Q268" i="5"/>
  <c r="Q269" i="5"/>
  <c r="Q270" i="5"/>
  <c r="Q271" i="5"/>
  <c r="Q272" i="5"/>
  <c r="Q273" i="5"/>
  <c r="Q274" i="5"/>
  <c r="Q275" i="5"/>
  <c r="Q276" i="5"/>
  <c r="Q277" i="5"/>
  <c r="Q278" i="5"/>
  <c r="Q279" i="5"/>
  <c r="Q280" i="5"/>
  <c r="Q281" i="5"/>
  <c r="Q282" i="5"/>
  <c r="Q283" i="5"/>
  <c r="Q284" i="5"/>
  <c r="Q285" i="5"/>
  <c r="Q286" i="5"/>
  <c r="Q287" i="5"/>
  <c r="Q288" i="5"/>
  <c r="Q289" i="5"/>
  <c r="Q290" i="5"/>
  <c r="Q291" i="5"/>
  <c r="Q292" i="5"/>
  <c r="Q293" i="5"/>
  <c r="Q294" i="5"/>
  <c r="Q295" i="5"/>
  <c r="Q296" i="5"/>
  <c r="Q297" i="5"/>
  <c r="Q298" i="5"/>
  <c r="Q299" i="5"/>
  <c r="Q300" i="5"/>
  <c r="Q301" i="5"/>
  <c r="Q302" i="5"/>
  <c r="Q303" i="5"/>
  <c r="Q304" i="5"/>
  <c r="Q305" i="5"/>
  <c r="Q306" i="5"/>
  <c r="Q307" i="5"/>
  <c r="Q308" i="5"/>
  <c r="Q309" i="5"/>
  <c r="Q310" i="5"/>
  <c r="Q311" i="5"/>
  <c r="Q312" i="5"/>
  <c r="Q313" i="5"/>
  <c r="Q314" i="5"/>
  <c r="Q315" i="5"/>
  <c r="Q316" i="5"/>
  <c r="Q317" i="5"/>
  <c r="Q318" i="5"/>
  <c r="Q319" i="5"/>
  <c r="Q320" i="5"/>
  <c r="Q321" i="5"/>
  <c r="Q322" i="5"/>
  <c r="Q323" i="5"/>
  <c r="Q324" i="5"/>
  <c r="Q325" i="5"/>
  <c r="Q326" i="5"/>
  <c r="Q327" i="5"/>
  <c r="Q328" i="5"/>
  <c r="Q329" i="5"/>
  <c r="Q330" i="5"/>
  <c r="Q331" i="5"/>
  <c r="Q332" i="5"/>
  <c r="Q333" i="5"/>
  <c r="Q334" i="5"/>
  <c r="Q335" i="5"/>
  <c r="Q336" i="5"/>
  <c r="Q337" i="5"/>
  <c r="Q338" i="5"/>
  <c r="Q339" i="5"/>
  <c r="Q340" i="5"/>
  <c r="Q341" i="5"/>
  <c r="Q342" i="5"/>
  <c r="Q343" i="5"/>
  <c r="Q344" i="5"/>
  <c r="Q345" i="5"/>
  <c r="Q346" i="5"/>
  <c r="Q347" i="5"/>
  <c r="Q348" i="5"/>
  <c r="Q349" i="5"/>
  <c r="Q350" i="5"/>
  <c r="Q351" i="5"/>
  <c r="Q352" i="5"/>
  <c r="Q353" i="5"/>
  <c r="Q354" i="5"/>
  <c r="Q355" i="5"/>
  <c r="Q356" i="5"/>
  <c r="Q357" i="5"/>
  <c r="Q358" i="5"/>
  <c r="Q359" i="5"/>
  <c r="Q360" i="5"/>
  <c r="Q361" i="5"/>
  <c r="Q362" i="5"/>
  <c r="Q363" i="5"/>
  <c r="Q364" i="5"/>
  <c r="Q365" i="5"/>
  <c r="Q366" i="5"/>
  <c r="Q367" i="5"/>
  <c r="Q368" i="5"/>
  <c r="Q369" i="5"/>
  <c r="Q370" i="5"/>
  <c r="Q371" i="5"/>
  <c r="Q372" i="5"/>
  <c r="Q373" i="5"/>
  <c r="Q374" i="5"/>
  <c r="Q375" i="5"/>
  <c r="Q376" i="5"/>
  <c r="Q377" i="5"/>
  <c r="Q378" i="5"/>
  <c r="Q379" i="5"/>
  <c r="Q380" i="5"/>
  <c r="Q381" i="5"/>
  <c r="Q2" i="5"/>
  <c r="A3" i="28" l="1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5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A47" i="28"/>
  <c r="A48" i="28"/>
  <c r="A49" i="28"/>
  <c r="A50" i="28"/>
  <c r="A51" i="28"/>
  <c r="A52" i="28"/>
  <c r="A53" i="28"/>
  <c r="A54" i="28"/>
  <c r="A55" i="28"/>
  <c r="A56" i="28"/>
  <c r="A57" i="28"/>
  <c r="A58" i="28"/>
  <c r="A59" i="28"/>
  <c r="A60" i="28"/>
  <c r="A61" i="28"/>
  <c r="A62" i="28"/>
  <c r="A63" i="28"/>
  <c r="A64" i="28"/>
  <c r="A65" i="28"/>
  <c r="A66" i="28"/>
  <c r="A67" i="28"/>
  <c r="A68" i="28"/>
  <c r="A69" i="28"/>
  <c r="A70" i="28"/>
  <c r="A71" i="28"/>
  <c r="A72" i="28"/>
  <c r="A73" i="28"/>
  <c r="A74" i="28"/>
  <c r="A75" i="28"/>
  <c r="A76" i="28"/>
  <c r="A77" i="28"/>
  <c r="A78" i="28"/>
  <c r="A79" i="28"/>
  <c r="A80" i="28"/>
  <c r="A81" i="28"/>
  <c r="A82" i="28"/>
  <c r="A83" i="28"/>
  <c r="A84" i="28"/>
  <c r="A85" i="28"/>
  <c r="A86" i="28"/>
  <c r="A87" i="28"/>
  <c r="A88" i="28"/>
  <c r="A89" i="28"/>
  <c r="A90" i="28"/>
  <c r="A91" i="28"/>
  <c r="A92" i="28"/>
  <c r="A93" i="28"/>
  <c r="A94" i="28"/>
  <c r="A95" i="28"/>
  <c r="A96" i="28"/>
  <c r="A97" i="28"/>
  <c r="A98" i="28"/>
  <c r="A99" i="28"/>
  <c r="A100" i="28"/>
  <c r="A101" i="28"/>
  <c r="A102" i="28"/>
  <c r="A103" i="28"/>
  <c r="A104" i="28"/>
  <c r="A105" i="28"/>
  <c r="A106" i="28"/>
  <c r="A107" i="28"/>
  <c r="A108" i="28"/>
  <c r="A109" i="28"/>
  <c r="A110" i="28"/>
  <c r="A111" i="28"/>
  <c r="A112" i="28"/>
  <c r="A113" i="28"/>
  <c r="A114" i="28"/>
  <c r="A115" i="28"/>
  <c r="A116" i="28"/>
  <c r="A117" i="28"/>
  <c r="A118" i="28"/>
  <c r="A119" i="28"/>
  <c r="A120" i="28"/>
  <c r="A121" i="28"/>
  <c r="A122" i="28"/>
  <c r="A123" i="28"/>
  <c r="A124" i="28"/>
  <c r="A125" i="28"/>
  <c r="A126" i="28"/>
  <c r="A127" i="28"/>
  <c r="A128" i="28"/>
  <c r="A129" i="28"/>
  <c r="A130" i="28"/>
  <c r="A131" i="28"/>
  <c r="A132" i="28"/>
  <c r="A133" i="28"/>
  <c r="A134" i="28"/>
  <c r="A135" i="28"/>
  <c r="A136" i="28"/>
  <c r="A137" i="28"/>
  <c r="A138" i="28"/>
  <c r="A139" i="28"/>
  <c r="A140" i="28"/>
  <c r="A141" i="28"/>
  <c r="A142" i="28"/>
  <c r="A143" i="28"/>
  <c r="A144" i="28"/>
  <c r="A145" i="28"/>
  <c r="A146" i="28"/>
  <c r="A147" i="28"/>
  <c r="A148" i="28"/>
  <c r="A149" i="28"/>
  <c r="A150" i="28"/>
  <c r="A151" i="28"/>
  <c r="A152" i="28"/>
  <c r="A153" i="28"/>
  <c r="A154" i="28"/>
  <c r="A155" i="28"/>
  <c r="A156" i="28"/>
  <c r="A157" i="28"/>
  <c r="A158" i="28"/>
  <c r="A159" i="28"/>
  <c r="A160" i="28"/>
  <c r="A161" i="28"/>
  <c r="A162" i="28"/>
  <c r="A163" i="28"/>
  <c r="A164" i="28"/>
  <c r="A165" i="28"/>
  <c r="A166" i="28"/>
  <c r="A167" i="28"/>
  <c r="A168" i="28"/>
  <c r="A169" i="28"/>
  <c r="A170" i="28"/>
  <c r="A171" i="28"/>
  <c r="A172" i="28"/>
  <c r="A173" i="28"/>
  <c r="A174" i="28"/>
  <c r="A175" i="28"/>
  <c r="A176" i="28"/>
  <c r="A177" i="28"/>
  <c r="A178" i="28"/>
  <c r="A179" i="28"/>
  <c r="A180" i="28"/>
  <c r="A181" i="28"/>
  <c r="A182" i="28"/>
  <c r="A183" i="28"/>
  <c r="A184" i="28"/>
  <c r="A185" i="28"/>
  <c r="A186" i="28"/>
  <c r="A187" i="28"/>
  <c r="A188" i="28"/>
  <c r="A189" i="28"/>
  <c r="A190" i="28"/>
  <c r="A191" i="28"/>
  <c r="A192" i="28"/>
  <c r="A193" i="28"/>
  <c r="A194" i="28"/>
  <c r="A195" i="28"/>
  <c r="A196" i="28"/>
  <c r="A197" i="28"/>
  <c r="A198" i="28"/>
  <c r="A199" i="28"/>
  <c r="A200" i="28"/>
  <c r="A201" i="28"/>
  <c r="A202" i="28"/>
  <c r="A203" i="28"/>
  <c r="A204" i="28"/>
  <c r="A205" i="28"/>
  <c r="A206" i="28"/>
  <c r="A207" i="28"/>
  <c r="A208" i="28"/>
  <c r="A209" i="28"/>
  <c r="A210" i="28"/>
  <c r="A211" i="28"/>
  <c r="A212" i="28"/>
  <c r="A213" i="28"/>
  <c r="A214" i="28"/>
  <c r="A215" i="28"/>
  <c r="A216" i="28"/>
  <c r="A217" i="28"/>
  <c r="A218" i="28"/>
  <c r="A219" i="28"/>
  <c r="A220" i="28"/>
  <c r="A221" i="28"/>
  <c r="A222" i="28"/>
  <c r="A223" i="28"/>
  <c r="A224" i="28"/>
  <c r="A225" i="28"/>
  <c r="A226" i="28"/>
  <c r="A227" i="28"/>
  <c r="A228" i="28"/>
  <c r="A229" i="28"/>
  <c r="A230" i="28"/>
  <c r="A231" i="28"/>
  <c r="A232" i="28"/>
  <c r="A233" i="28"/>
  <c r="A234" i="28"/>
  <c r="A235" i="28"/>
  <c r="A236" i="28"/>
  <c r="A237" i="28"/>
  <c r="A238" i="28"/>
  <c r="A239" i="28"/>
  <c r="A240" i="28"/>
  <c r="A241" i="28"/>
  <c r="A242" i="28"/>
  <c r="A243" i="28"/>
  <c r="A244" i="28"/>
  <c r="A245" i="28"/>
  <c r="A246" i="28"/>
  <c r="A247" i="28"/>
  <c r="A248" i="28"/>
  <c r="A249" i="28"/>
  <c r="A250" i="28"/>
  <c r="A251" i="28"/>
  <c r="A252" i="28"/>
  <c r="A253" i="28"/>
  <c r="A254" i="28"/>
  <c r="A255" i="28"/>
  <c r="A256" i="28"/>
  <c r="A257" i="28"/>
  <c r="A258" i="28"/>
  <c r="A259" i="28"/>
  <c r="A260" i="28"/>
  <c r="A261" i="28"/>
  <c r="A262" i="28"/>
  <c r="A263" i="28"/>
  <c r="A264" i="28"/>
  <c r="A265" i="28"/>
  <c r="A266" i="28"/>
  <c r="A267" i="28"/>
  <c r="A268" i="28"/>
  <c r="A269" i="28"/>
  <c r="A270" i="28"/>
  <c r="A271" i="28"/>
  <c r="A272" i="28"/>
  <c r="A273" i="28"/>
  <c r="A274" i="28"/>
  <c r="A275" i="28"/>
  <c r="A276" i="28"/>
  <c r="A277" i="28"/>
  <c r="A278" i="28"/>
  <c r="A279" i="28"/>
  <c r="A280" i="28"/>
  <c r="A281" i="28"/>
  <c r="A282" i="28"/>
  <c r="A283" i="28"/>
  <c r="A284" i="28"/>
  <c r="A285" i="28"/>
  <c r="A286" i="28"/>
  <c r="A287" i="28"/>
  <c r="A288" i="28"/>
  <c r="A289" i="28"/>
  <c r="A290" i="28"/>
  <c r="A291" i="28"/>
  <c r="A292" i="28"/>
  <c r="A293" i="28"/>
  <c r="A294" i="28"/>
  <c r="A295" i="28"/>
  <c r="A296" i="28"/>
  <c r="A297" i="28"/>
  <c r="A298" i="28"/>
  <c r="A299" i="28"/>
  <c r="A300" i="28"/>
  <c r="A301" i="28"/>
  <c r="A302" i="28"/>
  <c r="A303" i="28"/>
  <c r="A304" i="28"/>
  <c r="A305" i="28"/>
  <c r="A306" i="28"/>
  <c r="A307" i="28"/>
  <c r="A308" i="28"/>
  <c r="A309" i="28"/>
  <c r="A310" i="28"/>
  <c r="A311" i="28"/>
  <c r="A312" i="28"/>
  <c r="A313" i="28"/>
  <c r="A314" i="28"/>
  <c r="A315" i="28"/>
  <c r="A316" i="28"/>
  <c r="A317" i="28"/>
  <c r="A318" i="28"/>
  <c r="A319" i="28"/>
  <c r="A320" i="28"/>
  <c r="A321" i="28"/>
  <c r="A322" i="28"/>
  <c r="A323" i="28"/>
  <c r="A324" i="28"/>
  <c r="A325" i="28"/>
  <c r="A326" i="28"/>
  <c r="A327" i="28"/>
  <c r="A328" i="28"/>
  <c r="A329" i="28"/>
  <c r="A330" i="28"/>
  <c r="A331" i="28"/>
  <c r="A332" i="28"/>
  <c r="A333" i="28"/>
  <c r="A334" i="28"/>
  <c r="A335" i="28"/>
  <c r="A336" i="28"/>
  <c r="A337" i="28"/>
  <c r="A338" i="28"/>
  <c r="A339" i="28"/>
  <c r="A340" i="28"/>
  <c r="A341" i="28"/>
  <c r="A342" i="28"/>
  <c r="A343" i="28"/>
  <c r="A344" i="28"/>
  <c r="A345" i="28"/>
  <c r="A346" i="28"/>
  <c r="A347" i="28"/>
  <c r="A348" i="28"/>
  <c r="A349" i="28"/>
  <c r="A350" i="28"/>
  <c r="A351" i="28"/>
  <c r="A352" i="28"/>
  <c r="A353" i="28"/>
  <c r="A354" i="28"/>
  <c r="A355" i="28"/>
  <c r="A356" i="28"/>
  <c r="A357" i="28"/>
  <c r="A358" i="28"/>
  <c r="A359" i="28"/>
  <c r="A360" i="28"/>
  <c r="A361" i="28"/>
  <c r="A362" i="28"/>
  <c r="A363" i="28"/>
  <c r="A364" i="28"/>
  <c r="A365" i="28"/>
  <c r="A366" i="28"/>
  <c r="A367" i="28"/>
  <c r="A368" i="28"/>
  <c r="A369" i="28"/>
  <c r="A370" i="28"/>
  <c r="A371" i="28"/>
  <c r="A372" i="28"/>
  <c r="A373" i="28"/>
  <c r="A374" i="28"/>
  <c r="A375" i="28"/>
  <c r="A376" i="28"/>
  <c r="A377" i="28"/>
  <c r="A378" i="28"/>
  <c r="A379" i="28"/>
  <c r="A380" i="28"/>
  <c r="A381" i="28"/>
  <c r="A382" i="28"/>
  <c r="A383" i="28"/>
  <c r="A384" i="28"/>
  <c r="A385" i="28"/>
  <c r="A386" i="28"/>
  <c r="A387" i="28"/>
  <c r="A388" i="28"/>
  <c r="A389" i="28"/>
  <c r="A390" i="28"/>
  <c r="A391" i="28"/>
  <c r="A392" i="28"/>
  <c r="A393" i="28"/>
  <c r="A394" i="28"/>
  <c r="A395" i="28"/>
  <c r="A396" i="28"/>
  <c r="A397" i="28"/>
  <c r="A398" i="28"/>
  <c r="A399" i="28"/>
  <c r="A400" i="28"/>
  <c r="A401" i="28"/>
  <c r="A402" i="28"/>
  <c r="A403" i="28"/>
  <c r="A404" i="28"/>
  <c r="A405" i="28"/>
  <c r="A406" i="28"/>
  <c r="A407" i="28"/>
  <c r="A408" i="28"/>
  <c r="A409" i="28"/>
  <c r="A410" i="28"/>
  <c r="A411" i="28"/>
  <c r="A412" i="28"/>
  <c r="A413" i="28"/>
  <c r="A414" i="28"/>
  <c r="A415" i="28"/>
  <c r="A416" i="28"/>
  <c r="A417" i="28"/>
  <c r="A418" i="28"/>
  <c r="A419" i="28"/>
  <c r="A420" i="28"/>
  <c r="A421" i="28"/>
  <c r="A422" i="28"/>
  <c r="A423" i="28"/>
  <c r="A424" i="28"/>
  <c r="A425" i="28"/>
  <c r="A426" i="28"/>
  <c r="A427" i="28"/>
  <c r="A428" i="28"/>
  <c r="A429" i="28"/>
  <c r="A430" i="28"/>
  <c r="A431" i="28"/>
  <c r="A432" i="28"/>
  <c r="A433" i="28"/>
  <c r="A434" i="28"/>
  <c r="A435" i="28"/>
  <c r="A436" i="28"/>
  <c r="A437" i="28"/>
  <c r="A438" i="28"/>
  <c r="A439" i="28"/>
  <c r="A440" i="28"/>
  <c r="A441" i="28"/>
  <c r="A442" i="28"/>
  <c r="A443" i="28"/>
  <c r="A444" i="28"/>
  <c r="A445" i="28"/>
  <c r="A446" i="28"/>
  <c r="A447" i="28"/>
  <c r="A448" i="28"/>
  <c r="A449" i="28"/>
  <c r="A450" i="28"/>
  <c r="A451" i="28"/>
  <c r="A452" i="28"/>
  <c r="A453" i="28"/>
  <c r="A454" i="28"/>
  <c r="A455" i="28"/>
  <c r="A456" i="28"/>
  <c r="A457" i="28"/>
  <c r="A458" i="28"/>
  <c r="A459" i="28"/>
  <c r="A460" i="28"/>
  <c r="A461" i="28"/>
  <c r="A462" i="28"/>
  <c r="A463" i="28"/>
  <c r="A464" i="28"/>
  <c r="A465" i="28"/>
  <c r="A466" i="28"/>
  <c r="A467" i="28"/>
  <c r="A468" i="28"/>
  <c r="A469" i="28"/>
  <c r="A470" i="28"/>
  <c r="A471" i="28"/>
  <c r="A472" i="28"/>
  <c r="A473" i="28"/>
  <c r="A474" i="28"/>
  <c r="A475" i="28"/>
  <c r="A476" i="28"/>
  <c r="A477" i="28"/>
  <c r="A478" i="28"/>
  <c r="A479" i="28"/>
  <c r="A480" i="28"/>
  <c r="A481" i="28"/>
  <c r="A482" i="28"/>
  <c r="A483" i="28"/>
  <c r="A484" i="28"/>
  <c r="A485" i="28"/>
  <c r="A486" i="28"/>
  <c r="A487" i="28"/>
  <c r="A488" i="28"/>
  <c r="A489" i="28"/>
  <c r="A490" i="28"/>
  <c r="A491" i="28"/>
  <c r="A492" i="28"/>
  <c r="A493" i="28"/>
  <c r="A494" i="28"/>
  <c r="A495" i="28"/>
  <c r="A496" i="28"/>
  <c r="A497" i="28"/>
  <c r="A498" i="28"/>
  <c r="A499" i="28"/>
  <c r="A500" i="28"/>
  <c r="A501" i="28"/>
  <c r="A502" i="28"/>
  <c r="A503" i="28"/>
  <c r="A504" i="28"/>
  <c r="A505" i="28"/>
  <c r="A506" i="28"/>
  <c r="A507" i="28"/>
  <c r="A508" i="28"/>
  <c r="A509" i="28"/>
  <c r="A510" i="28"/>
  <c r="A511" i="28"/>
  <c r="A512" i="28"/>
  <c r="A513" i="28"/>
  <c r="A514" i="28"/>
  <c r="A515" i="28"/>
  <c r="A2" i="28"/>
  <c r="A2" i="30" l="1"/>
</calcChain>
</file>

<file path=xl/sharedStrings.xml><?xml version="1.0" encoding="utf-8"?>
<sst xmlns="http://schemas.openxmlformats.org/spreadsheetml/2006/main" count="18568" uniqueCount="2341">
  <si>
    <t>AUTOSERVICIO</t>
  </si>
  <si>
    <t>CADENAS</t>
  </si>
  <si>
    <t>TRADICIONAL</t>
  </si>
  <si>
    <t>BARR</t>
  </si>
  <si>
    <t>BGTA</t>
  </si>
  <si>
    <t>BUCA</t>
  </si>
  <si>
    <t>CALI</t>
  </si>
  <si>
    <t>CART</t>
  </si>
  <si>
    <t>IBA1</t>
  </si>
  <si>
    <t>MEDE</t>
  </si>
  <si>
    <t>PERE</t>
  </si>
  <si>
    <t>SALDO</t>
  </si>
  <si>
    <t>Total general</t>
  </si>
  <si>
    <t>Novedad</t>
  </si>
  <si>
    <t>Columnas</t>
  </si>
  <si>
    <t>Informacion Registrada por el cliente</t>
  </si>
  <si>
    <t>CIUDAD</t>
  </si>
  <si>
    <t>ASIGNACION</t>
  </si>
  <si>
    <t>INICIATIVA</t>
  </si>
  <si>
    <t>CANAL</t>
  </si>
  <si>
    <t>DIA CERO PLUS</t>
  </si>
  <si>
    <t>BUSCADOR</t>
  </si>
  <si>
    <t>ING HASTA DIA CERO</t>
  </si>
  <si>
    <t>% CUM DIA CERO</t>
  </si>
  <si>
    <t>% CUM ING</t>
  </si>
  <si>
    <t>EVAC HASTA DIA CERO PLUS</t>
  </si>
  <si>
    <t>% CUM DIA CERO PLUS</t>
  </si>
  <si>
    <t>% CUM EVAC</t>
  </si>
  <si>
    <t>INGRESADO</t>
  </si>
  <si>
    <t>EVACUADO</t>
  </si>
  <si>
    <t>Informacion Registrada por el Proveedor</t>
  </si>
  <si>
    <t>Concatenar: Ciudad, Codigo y Canal</t>
  </si>
  <si>
    <t>Es la foto de saldo de inventario un dia despues al dia cero</t>
  </si>
  <si>
    <t>Es la foto de saldo de inventario un dia despues al dia cero plus</t>
  </si>
  <si>
    <t>Registro de los recibos de materiales desde Proveedor</t>
  </si>
  <si>
    <t>Foto del inventario a la fecha en que se construye el informe</t>
  </si>
  <si>
    <t>Es la relacion entre lo ingresado hasta el dia cero y lo asignado</t>
  </si>
  <si>
    <t>Es la relacion entre lo evacuado hasta el dia cero plus y lo ingresado</t>
  </si>
  <si>
    <t>Es la relacion entre lo ingresado y lo asignado</t>
  </si>
  <si>
    <t>Es la relacion entre lo evacuado y lo ingresado</t>
  </si>
  <si>
    <t>Registro de las salidas de material</t>
  </si>
  <si>
    <t>PROVEEDOR</t>
  </si>
  <si>
    <r>
      <rPr>
        <b/>
        <sz val="11"/>
        <rFont val="Calibri"/>
        <family val="2"/>
        <scheme val="minor"/>
      </rPr>
      <t>Objetivo:</t>
    </r>
    <r>
      <rPr>
        <sz val="11"/>
        <rFont val="Calibri"/>
        <family val="2"/>
        <scheme val="minor"/>
      </rPr>
      <t xml:space="preserve"> Administarcion de la informacion logistica y el flujo de los materiales Trade de las IC por parte del operador logistico Eficacia</t>
    </r>
  </si>
  <si>
    <r>
      <rPr>
        <b/>
        <sz val="11"/>
        <color theme="1"/>
        <rFont val="Calibri"/>
        <family val="2"/>
        <scheme val="minor"/>
      </rPr>
      <t>Generalidades:</t>
    </r>
    <r>
      <rPr>
        <sz val="11"/>
        <color theme="1"/>
        <rFont val="Calibri"/>
        <family val="2"/>
        <scheme val="minor"/>
      </rPr>
      <t xml:space="preserve">
*Mapear todas las iniciativas comerciales.
*Conocimiento pleno del operador logistico de las iniciativas y sus materiales
*Informacion Oportuna (status 2 0 3 veces a la semana).
*Disminucion de errores en ingresos.
*Indicadores con informacion confiable y neutral de dia cero y dia cero plus</t>
    </r>
  </si>
  <si>
    <t>DESPACHO/DIA CERO</t>
  </si>
  <si>
    <t>TIPO</t>
  </si>
  <si>
    <t>MUEBLE EXHIBICION</t>
  </si>
  <si>
    <t>Asignado</t>
  </si>
  <si>
    <t>Ingresos</t>
  </si>
  <si>
    <t>% Ingresos</t>
  </si>
  <si>
    <t>(Todas)</t>
  </si>
  <si>
    <t>Concatenar</t>
  </si>
  <si>
    <t>punto</t>
  </si>
  <si>
    <t>recepcion</t>
  </si>
  <si>
    <t>proveedor</t>
  </si>
  <si>
    <t>nombre_proveedor</t>
  </si>
  <si>
    <t>fecha</t>
  </si>
  <si>
    <t>estado</t>
  </si>
  <si>
    <t>bodega</t>
  </si>
  <si>
    <t>muelle</t>
  </si>
  <si>
    <t>placa</t>
  </si>
  <si>
    <t>usuario_legaliza</t>
  </si>
  <si>
    <t>fecha_legaliza</t>
  </si>
  <si>
    <t>planilla</t>
  </si>
  <si>
    <t>numero_guia</t>
  </si>
  <si>
    <t>observacion</t>
  </si>
  <si>
    <t>tipo_producto</t>
  </si>
  <si>
    <t>articulo</t>
  </si>
  <si>
    <t>referencia_proveedor</t>
  </si>
  <si>
    <t>nombre</t>
  </si>
  <si>
    <t>presentacion</t>
  </si>
  <si>
    <t>codigo_barra</t>
  </si>
  <si>
    <t>cantidad</t>
  </si>
  <si>
    <t>cantidad_almacenada</t>
  </si>
  <si>
    <t>cantidad_por_almacenar</t>
  </si>
  <si>
    <t>serie</t>
  </si>
  <si>
    <t>lote</t>
  </si>
  <si>
    <t>documento1</t>
  </si>
  <si>
    <t>documento2</t>
  </si>
  <si>
    <t>estado_articulo</t>
  </si>
  <si>
    <t>fecha_vencimiento_ing</t>
  </si>
  <si>
    <t>fecha_fabricacion</t>
  </si>
  <si>
    <t>fecha_vencimiento</t>
  </si>
  <si>
    <t>sscc</t>
  </si>
  <si>
    <t>usuario_insercion</t>
  </si>
  <si>
    <t>fecha_insercion</t>
  </si>
  <si>
    <t>nombre_punto</t>
  </si>
  <si>
    <t>nombre_bodega</t>
  </si>
  <si>
    <t>equivalencia_uno</t>
  </si>
  <si>
    <t>nombre_articulo</t>
  </si>
  <si>
    <t>alterno1</t>
  </si>
  <si>
    <t>alterno2</t>
  </si>
  <si>
    <t>disponible</t>
  </si>
  <si>
    <t>por_alistar</t>
  </si>
  <si>
    <t>empacada</t>
  </si>
  <si>
    <t>valor_mercado</t>
  </si>
  <si>
    <t>valor_total</t>
  </si>
  <si>
    <t>fecha_vencimiento(A-M-D)</t>
  </si>
  <si>
    <t>fecha_detalle_articulos</t>
  </si>
  <si>
    <t>fecha_entrada</t>
  </si>
  <si>
    <t>fecha_salida</t>
  </si>
  <si>
    <t>fecha_ultimo_despacho</t>
  </si>
  <si>
    <t>nombre_grupo_linea</t>
  </si>
  <si>
    <t>nombre_tipo_linea</t>
  </si>
  <si>
    <t>nombre_linea</t>
  </si>
  <si>
    <t>nombre_sublinea</t>
  </si>
  <si>
    <t>interfaz</t>
  </si>
  <si>
    <t>Check List IC Iniciativas Comerciales</t>
  </si>
  <si>
    <t>Ver detalles</t>
  </si>
  <si>
    <t>Por Canal</t>
  </si>
  <si>
    <t>Total General</t>
  </si>
  <si>
    <t>Por Ciudad y tipo de material</t>
  </si>
  <si>
    <t>Base de Datos:</t>
  </si>
  <si>
    <t>largo</t>
  </si>
  <si>
    <t>ancho</t>
  </si>
  <si>
    <t>alto</t>
  </si>
  <si>
    <t>Volumen</t>
  </si>
  <si>
    <t>Volumen Total</t>
  </si>
  <si>
    <t>DIA INFO</t>
  </si>
  <si>
    <t>Calculo de posiciones</t>
  </si>
  <si>
    <t>Suma de cantidad</t>
  </si>
  <si>
    <t>Ultimos Ingresos</t>
  </si>
  <si>
    <t xml:space="preserve">Detalle Total Ingresos </t>
  </si>
  <si>
    <t>Últimos ingresos</t>
  </si>
  <si>
    <t>(en blanco)</t>
  </si>
  <si>
    <t>fecha_1_recep</t>
  </si>
  <si>
    <t>GUIA</t>
  </si>
  <si>
    <t>TRASPORTADORA</t>
  </si>
  <si>
    <t xml:space="preserve">FECHA LÍMITE DE INGRESO </t>
  </si>
  <si>
    <t>ALERTA</t>
  </si>
  <si>
    <t>Fecha hoy</t>
  </si>
  <si>
    <t>CÓDIGO</t>
  </si>
  <si>
    <t>ACT000035</t>
  </si>
  <si>
    <t>ACT000176</t>
  </si>
  <si>
    <t>ACT000075</t>
  </si>
  <si>
    <t>ACT000063</t>
  </si>
  <si>
    <t>ACT000225</t>
  </si>
  <si>
    <t>CRD008623</t>
  </si>
  <si>
    <t>DESCRIPCIÓN</t>
  </si>
  <si>
    <t>MATERIAL POP</t>
  </si>
  <si>
    <t>NUTRESA</t>
  </si>
  <si>
    <t>CRD014119</t>
  </si>
  <si>
    <t>Dias restantes</t>
  </si>
  <si>
    <t xml:space="preserve">  </t>
  </si>
  <si>
    <t xml:space="preserve"> </t>
  </si>
  <si>
    <t>ALTILLANO</t>
  </si>
  <si>
    <t>CRD016151</t>
  </si>
  <si>
    <t>CRD008430</t>
  </si>
  <si>
    <t>DOCUMENTO 2</t>
  </si>
  <si>
    <t>DUIT</t>
  </si>
  <si>
    <t>VILA</t>
  </si>
  <si>
    <t>CRD018325</t>
  </si>
  <si>
    <t>CRD018324</t>
  </si>
  <si>
    <t>CRD019868</t>
  </si>
  <si>
    <t>BODEGA</t>
  </si>
  <si>
    <t>ACT000300</t>
  </si>
  <si>
    <t>MUEBLE SNACKERO DE PISO</t>
  </si>
  <si>
    <t>CRD020854</t>
  </si>
  <si>
    <t>CRD011367</t>
  </si>
  <si>
    <t>CRD014424</t>
  </si>
  <si>
    <t>UND</t>
  </si>
  <si>
    <t>BPO</t>
  </si>
  <si>
    <t>BUEN</t>
  </si>
  <si>
    <t>PAQ</t>
  </si>
  <si>
    <t>I</t>
  </si>
  <si>
    <t>AVER</t>
  </si>
  <si>
    <t>IE</t>
  </si>
  <si>
    <t>MAQUINA EVA CAPSULAS EXPRESS NUTRESA</t>
  </si>
  <si>
    <t>M</t>
  </si>
  <si>
    <t>MD</t>
  </si>
  <si>
    <t>ME</t>
  </si>
  <si>
    <t>MP</t>
  </si>
  <si>
    <t>P</t>
  </si>
  <si>
    <t>NEVERA HACEB TD</t>
  </si>
  <si>
    <t>MUEBLE DEGUSTACION CAPSULAS CAF KIT 1.60</t>
  </si>
  <si>
    <t>COMPLETADO</t>
  </si>
  <si>
    <t>RECEPCIO</t>
  </si>
  <si>
    <t>NUTRESA - COMERCIAL NUTRESA SAS</t>
  </si>
  <si>
    <t>SBELLO</t>
  </si>
  <si>
    <t xml:space="preserve">TITULO </t>
  </si>
  <si>
    <t>CRD021331</t>
  </si>
  <si>
    <t>CRD017899</t>
  </si>
  <si>
    <t>CRD019238</t>
  </si>
  <si>
    <t>DEVOLUC</t>
  </si>
  <si>
    <t>OTROS</t>
  </si>
  <si>
    <t>%</t>
  </si>
  <si>
    <t>CEDIS BARRANQUILLA</t>
  </si>
  <si>
    <t>ALMACEN</t>
  </si>
  <si>
    <t>ALMACENAJE</t>
  </si>
  <si>
    <t>D</t>
  </si>
  <si>
    <t>BOLSO NUTRESA TRANSPARENTE MANOS LIBRES</t>
  </si>
  <si>
    <t>-</t>
  </si>
  <si>
    <t>COMERCIAL NUTRESA S A S</t>
  </si>
  <si>
    <t>MERCADEO</t>
  </si>
  <si>
    <t>GALLETAS</t>
  </si>
  <si>
    <t>GENERICO</t>
  </si>
  <si>
    <t>N</t>
  </si>
  <si>
    <t>TRADE</t>
  </si>
  <si>
    <t>PASTAS</t>
  </si>
  <si>
    <t>CNCH</t>
  </si>
  <si>
    <t>CAFE</t>
  </si>
  <si>
    <t>MATIZ</t>
  </si>
  <si>
    <t>SHAKER COLCAFE COLD TWIST</t>
  </si>
  <si>
    <t>DISPENSADOR DE CAPSULAS EXPRESS NUTRESA</t>
  </si>
  <si>
    <t>MUEBLE DEGUSTACION SINERGIA CHOCOLATES</t>
  </si>
  <si>
    <t>MUEBLE DEGUSTACION SINERGIA NUTRESA</t>
  </si>
  <si>
    <t>MUEBLE DEGUSTACION BENET</t>
  </si>
  <si>
    <t>VP NEVERA TERMOREFRIGERADA GOLOSINAS TD</t>
  </si>
  <si>
    <t>INCO</t>
  </si>
  <si>
    <t>VP NEVERA GOLOSINAS JET TRADICIONALa</t>
  </si>
  <si>
    <t>MINI NEVERA CON BASE GOLOSINAS</t>
  </si>
  <si>
    <t>NEVERA GOLOSINAS AU 1 CUERPO</t>
  </si>
  <si>
    <t>CENEFA DELIMITADORA MARCAS NUTRESA</t>
  </si>
  <si>
    <t>USAD</t>
  </si>
  <si>
    <t>PLEGADIZA MATIZ EBANO CPE</t>
  </si>
  <si>
    <t>ALTILLANO_BPO</t>
  </si>
  <si>
    <t>SET ENSALADERA MAS PINZAS PREMIOS TOMAS FDS</t>
  </si>
  <si>
    <t>PUESTO DE PAGO MINIMERCADO PARTE 2</t>
  </si>
  <si>
    <t>BAJA</t>
  </si>
  <si>
    <t>PUESTO DE PAGO MINIMERCADO PARTE 1</t>
  </si>
  <si>
    <t>NOVEDAD</t>
  </si>
  <si>
    <t xml:space="preserve">NOVEDADES DE ENTREGA </t>
  </si>
  <si>
    <t xml:space="preserve">FECHA DESPACHO </t>
  </si>
  <si>
    <t>DESPACHO/DIA</t>
  </si>
  <si>
    <t>CRD014120</t>
  </si>
  <si>
    <t>PLEGADIZA CORONA EXPRESS CPE</t>
  </si>
  <si>
    <t>ACT000434</t>
  </si>
  <si>
    <t>AMBIENTACION LINEAL COMPRA EN GRANDE</t>
  </si>
  <si>
    <t>FSANCHEZ</t>
  </si>
  <si>
    <t>CRD022897</t>
  </si>
  <si>
    <t>MUEBLE GENERICO BENET AU 2021</t>
  </si>
  <si>
    <t>ACT000441</t>
  </si>
  <si>
    <t>ACT000435</t>
  </si>
  <si>
    <t>MED02202022</t>
  </si>
  <si>
    <t>CRD023141</t>
  </si>
  <si>
    <t>PAS. PITA CHIPS TOSH CHAMPINON PIX26G</t>
  </si>
  <si>
    <t>CRD014116</t>
  </si>
  <si>
    <t>JCAMACHO</t>
  </si>
  <si>
    <t>ACT000496</t>
  </si>
  <si>
    <t>ACT000499</t>
  </si>
  <si>
    <t>ACT000502</t>
  </si>
  <si>
    <t>CRD023405</t>
  </si>
  <si>
    <t>RECETARIO CEN CAPSULAS EXPRESS</t>
  </si>
  <si>
    <t>ACT000466</t>
  </si>
  <si>
    <t>CRD023531</t>
  </si>
  <si>
    <t>CRD023535</t>
  </si>
  <si>
    <t>CRD023584</t>
  </si>
  <si>
    <t>PORTAPRECIO GENERICO NUTRESA KIT AU 2021</t>
  </si>
  <si>
    <t>CRD023585</t>
  </si>
  <si>
    <t>HABLADOR PORTAPRECIO KIT AU 2021</t>
  </si>
  <si>
    <t>CRD022273</t>
  </si>
  <si>
    <t>CRD023611</t>
  </si>
  <si>
    <t>CAPSULAS CAFE MATIZ EXPRESO AMBAR PLEGX10UND</t>
  </si>
  <si>
    <t>CRD023441</t>
  </si>
  <si>
    <t>MANI KRAKS LA ESPECIAL X12 UND X25G</t>
  </si>
  <si>
    <t>MUEBLE RECOLECTOR PTA GDE RETOMA NUTRESA</t>
  </si>
  <si>
    <t>REJILLA LATERAL LA BASTILLA KIT AU 2021</t>
  </si>
  <si>
    <t>BALCON CROSS DOBLE SELLO ROJO KIT AU 2021</t>
  </si>
  <si>
    <t>JAGIRALDO</t>
  </si>
  <si>
    <t>CRD016669</t>
  </si>
  <si>
    <t>PLEGADIZA CAPSULA EXPRESS CHOCOLYNE X 10 U</t>
  </si>
  <si>
    <t>MED06292022</t>
  </si>
  <si>
    <t>CAL02262023</t>
  </si>
  <si>
    <t>ACT000334</t>
  </si>
  <si>
    <t>REJILLA AUTOSOPORTADA LA ESPECIAL</t>
  </si>
  <si>
    <t>CRD023981</t>
  </si>
  <si>
    <t>WHRINCON</t>
  </si>
  <si>
    <t>MED05132022</t>
  </si>
  <si>
    <t>CRD024123</t>
  </si>
  <si>
    <t>NAVIDAD NOEL 2021</t>
  </si>
  <si>
    <t>CRD024124</t>
  </si>
  <si>
    <t>CRD024125</t>
  </si>
  <si>
    <t>CRD024126</t>
  </si>
  <si>
    <t>CRD024127</t>
  </si>
  <si>
    <t>CRD024128</t>
  </si>
  <si>
    <t>CRD024129</t>
  </si>
  <si>
    <t>CRD024130</t>
  </si>
  <si>
    <t>CRD024131</t>
  </si>
  <si>
    <t>ROLLO X 5 MT NAVIDAD NOEL 2021</t>
  </si>
  <si>
    <t>TCC</t>
  </si>
  <si>
    <t>JHESCOBAR</t>
  </si>
  <si>
    <t>MUEBLE RECOLECTOR DE BOTELLAS RETOMA NUTRESA</t>
  </si>
  <si>
    <t>VP MUEBLE SNACKERO PISO PEQUENO KIT 2021 TD TRADE</t>
  </si>
  <si>
    <t>BEBIDAS VEGETALES TOSH</t>
  </si>
  <si>
    <t>CRD024262</t>
  </si>
  <si>
    <t>TOALLA MICROFIBRA SUBLIMADA VERDE NOTORIEDAD DE MARCA TOSH</t>
  </si>
  <si>
    <t>ECOAVASM</t>
  </si>
  <si>
    <t>LJVELASQUEZ</t>
  </si>
  <si>
    <t>PARTES DE NEVERAS</t>
  </si>
  <si>
    <t>CRD021350</t>
  </si>
  <si>
    <t>PLEGADIZA CAPSULA EXPRESS COLCAFE CHAI LATTE 13G X 10 U</t>
  </si>
  <si>
    <t>BARRCRD011367TRADICIONALBPO</t>
  </si>
  <si>
    <t>MED09012022</t>
  </si>
  <si>
    <t>MED08092022</t>
  </si>
  <si>
    <t>CRD024350</t>
  </si>
  <si>
    <t>CRD024351</t>
  </si>
  <si>
    <t>CRD024352</t>
  </si>
  <si>
    <t>CRD024353</t>
  </si>
  <si>
    <t>ARBOL ÉXITO NAVIDAD NOEL 2021</t>
  </si>
  <si>
    <t>CRD024354</t>
  </si>
  <si>
    <t>PUENTE ÉXITO NAVIDAD NOEL 2021</t>
  </si>
  <si>
    <t>CRD023598</t>
  </si>
  <si>
    <t>PLEGADIZA MATRIMONIO NOEL 200 GR NAVIDAD 2021</t>
  </si>
  <si>
    <t>CRD023597</t>
  </si>
  <si>
    <t>PLEGADIZA MATRIMONIO CARAVANA 200 GR NAVIDAD 2021</t>
  </si>
  <si>
    <t>RCASTRO</t>
  </si>
  <si>
    <t>CRD021973</t>
  </si>
  <si>
    <t>PLEGADIZA CAPSULA EXPRESS SELLO ROJO VAINILLA X 6 GR X 10 UND</t>
  </si>
  <si>
    <t>CAL05132022</t>
  </si>
  <si>
    <t>CRD022670</t>
  </si>
  <si>
    <t>PLEGADIZA CAPSULA EXPRESS CHOCOLISTO 13.5G X 10 UDS</t>
  </si>
  <si>
    <t>CAL06022022</t>
  </si>
  <si>
    <t>CRD014118</t>
  </si>
  <si>
    <t>PLEGADIZA MATIZ ESCARLATA CPE</t>
  </si>
  <si>
    <t>CAL05222022</t>
  </si>
  <si>
    <t>CAL05182022</t>
  </si>
  <si>
    <t>JDOSORIO</t>
  </si>
  <si>
    <t>MED06022022</t>
  </si>
  <si>
    <t>BOG02062022</t>
  </si>
  <si>
    <t>CRD024366</t>
  </si>
  <si>
    <t>MED08062022</t>
  </si>
  <si>
    <t>EXHIBIDOR NAVIDAD LARGA VIDA 2021</t>
  </si>
  <si>
    <t>PENDIENTE</t>
  </si>
  <si>
    <t>CRD020181</t>
  </si>
  <si>
    <t>CRD023685</t>
  </si>
  <si>
    <t>BOLSA PLASTICA NAVIDAD NOEL 2021</t>
  </si>
  <si>
    <t>CRD000698</t>
  </si>
  <si>
    <t>SALCHICHA ZENU VIENA X 150 GR</t>
  </si>
  <si>
    <t>CRD024397</t>
  </si>
  <si>
    <t>PLAN CAJERO MONTBLANC</t>
  </si>
  <si>
    <t>TOSH INMUNIDAD</t>
  </si>
  <si>
    <t>CRD024162</t>
  </si>
  <si>
    <t>BURBUJA JET AREQUIPE COCO PI XQ 13.2 GR</t>
  </si>
  <si>
    <t>BOG11022022</t>
  </si>
  <si>
    <t>ACT000423</t>
  </si>
  <si>
    <t>ACT000091</t>
  </si>
  <si>
    <t>MUEBLE JET EXPANDIBLE SUPERETES</t>
  </si>
  <si>
    <t>IBA05182022</t>
  </si>
  <si>
    <t>AFANAYA</t>
  </si>
  <si>
    <t>COLOMBINA PREMIUMNAVIDAD NOEL 2021</t>
  </si>
  <si>
    <t>ACT000071</t>
  </si>
  <si>
    <t>VP VITRINA MOSTRADOR FESTIVAL/JET</t>
  </si>
  <si>
    <t>PREMEZ. JET TORTA X440G</t>
  </si>
  <si>
    <t>CRD024517</t>
  </si>
  <si>
    <t>GLINA. JUMBO FLOW BLANCA X18G</t>
  </si>
  <si>
    <t>CRD024590</t>
  </si>
  <si>
    <t>SHIPPER NAVIDAD CHOCOLATES 2021</t>
  </si>
  <si>
    <t>MUEBLE CAVA LA ESPECIAL</t>
  </si>
  <si>
    <t>NAVIDAD LARGA VIDA 2021</t>
  </si>
  <si>
    <t>ACT000436</t>
  </si>
  <si>
    <t>MUEBLE AUTODEGUSTADOR GENERICO</t>
  </si>
  <si>
    <t>CRD010924</t>
  </si>
  <si>
    <t>ARVEJAS CON ZANAHORIAS ZENU X 300 GR</t>
  </si>
  <si>
    <t>CRD009297</t>
  </si>
  <si>
    <t>GLINA GOL 48 BJA X 3UND X 31GR</t>
  </si>
  <si>
    <t>PER06082022</t>
  </si>
  <si>
    <t>CRD001185</t>
  </si>
  <si>
    <t>CHOCOLATINA JET BJA X 12 UND X 144 G</t>
  </si>
  <si>
    <t>CRD000911</t>
  </si>
  <si>
    <t>1001564 DUX ORIGINAL BOLSA 9 X 3</t>
  </si>
  <si>
    <t>ENVIA</t>
  </si>
  <si>
    <t>CRD002384</t>
  </si>
  <si>
    <t>1001568 GTA SALTIN NOEL TC X 3</t>
  </si>
  <si>
    <t>MUCHAS FORMAS DE DESPERTAR TU VIDA</t>
  </si>
  <si>
    <t>KIT TRADICIONAL CIERRE 2021</t>
  </si>
  <si>
    <t>CRD001182</t>
  </si>
  <si>
    <t>SPAGHETTI DORIA NUTRIVIT 250 GR</t>
  </si>
  <si>
    <t>CRD024443</t>
  </si>
  <si>
    <t>LA ESPECIAL KRAKS LIMON X 32G</t>
  </si>
  <si>
    <t>IBA08272022</t>
  </si>
  <si>
    <t>JZAMBRANO</t>
  </si>
  <si>
    <t>OGUZMAN</t>
  </si>
  <si>
    <t>CRD023690</t>
  </si>
  <si>
    <t>LOMO ATUN ZENU EN ACEITE GIRASOL X160G</t>
  </si>
  <si>
    <t>ACT000244</t>
  </si>
  <si>
    <t>VP MUEBLE SNACKERO DE PISO 2018</t>
  </si>
  <si>
    <t>EXHIBIDOR LA ESPECIAL CAVA OLÍMPICA BELÉN</t>
  </si>
  <si>
    <t>ACT000430</t>
  </si>
  <si>
    <t>EXHIBIDOR TORRE LA ESPECIAL TRADE</t>
  </si>
  <si>
    <t>MED05232022</t>
  </si>
  <si>
    <t>CRD024847</t>
  </si>
  <si>
    <t>BOLSAS DE SILICONA KIBO X3</t>
  </si>
  <si>
    <t>PLAN MATE LA ESPECIAL</t>
  </si>
  <si>
    <t>IMAGEN MUEBLE AUTODEGUSTADOR</t>
  </si>
  <si>
    <t>CRD024905</t>
  </si>
  <si>
    <t>MUEBLE NAVIDAD MULTIMARCA FARMATODO</t>
  </si>
  <si>
    <t>MUEBLES NAVIDAD FARMATODO</t>
  </si>
  <si>
    <t>FRODRIGUEZ</t>
  </si>
  <si>
    <t>CRD000245</t>
  </si>
  <si>
    <t>BOLSA CAFE SELLO ROJO 500GR</t>
  </si>
  <si>
    <t>PEDIDO KIT CAFE AU</t>
  </si>
  <si>
    <t>ACT000484</t>
  </si>
  <si>
    <t>ACT000550</t>
  </si>
  <si>
    <t>PORTABOLSAS SELLO ROJO KIT AU 2021</t>
  </si>
  <si>
    <t>CRD023546</t>
  </si>
  <si>
    <t>POP ADICIONAL AU</t>
  </si>
  <si>
    <t>CRD024648</t>
  </si>
  <si>
    <t>SET VASOS PARA JUGO X 4. LOGO UNA TINTA UNA PIEZA</t>
  </si>
  <si>
    <t>CRD022322</t>
  </si>
  <si>
    <t>PLEGADIZA Y CARTON FABRICA DE ANCHETAS NAVIDAD PAQ X 40 UND</t>
  </si>
  <si>
    <t>ARBOL EXITO NAVIDAD NOEL 2021</t>
  </si>
  <si>
    <t>CRD018765</t>
  </si>
  <si>
    <t>SET SARTEN 18 Y 20 CMS UNIVERSAL</t>
  </si>
  <si>
    <t>Información actualizada al corte de: 11 de Noviembre  2021</t>
  </si>
  <si>
    <t>INICIATIVAS COMERCIALES CON INGRESOS AL 100 % HASTA 11 de Noviembre 2021</t>
  </si>
  <si>
    <t>CARULLA EN FAMILIA</t>
  </si>
  <si>
    <t>CRD024951</t>
  </si>
  <si>
    <t>VESTIDO REJILLA REJILLAS BENET PANAMERICANA</t>
  </si>
  <si>
    <t>REJILLAS BENET PANAMERICANA</t>
  </si>
  <si>
    <t>CRD024952</t>
  </si>
  <si>
    <t>CHIMENEA CON 4 CUBOS BEBIDAS VEGETALES TOSH</t>
  </si>
  <si>
    <t>CRD024954</t>
  </si>
  <si>
    <t>RISTRA PLASTICA TOSH BEBIDAS TETRAPACK</t>
  </si>
  <si>
    <t>RISTRA BEBIDAS TOSH</t>
  </si>
  <si>
    <t>BOG08282022</t>
  </si>
  <si>
    <t>CAPP COLCAFE VAINI CAPEXP 10G 10CAP 8PQT</t>
  </si>
  <si>
    <t>DETALLE POR CANAL</t>
  </si>
  <si>
    <t>Instrucciones:</t>
  </si>
  <si>
    <t xml:space="preserve">1. Dar click en el boton "EJECUTAR" </t>
  </si>
  <si>
    <t>3. Esperar que termine la ejecucion</t>
  </si>
  <si>
    <t xml:space="preserve">2. Seleccionar el archivo cuando aparezca la ventana de selección </t>
  </si>
  <si>
    <t>Posiciones</t>
  </si>
  <si>
    <t>Tipologia</t>
  </si>
  <si>
    <t>Negocio</t>
  </si>
  <si>
    <t>% total Cum Ing</t>
  </si>
  <si>
    <t>Fecha despacho - Fecha hoy</t>
  </si>
  <si>
    <t>% totl cum evac</t>
  </si>
  <si>
    <t>Linea</t>
  </si>
  <si>
    <t>Canal</t>
  </si>
  <si>
    <t>año</t>
  </si>
  <si>
    <t xml:space="preserve">Validacion </t>
  </si>
  <si>
    <t>FABRICAS DE ANCHETAS CADENAS</t>
  </si>
  <si>
    <t>IMAGENES MUEBLES MATIZ</t>
  </si>
  <si>
    <t>CRD024883</t>
  </si>
  <si>
    <t>CRD024884</t>
  </si>
  <si>
    <t>RISTRA PLAN MATE LA ESPECIAL</t>
  </si>
  <si>
    <t>CRD024885</t>
  </si>
  <si>
    <t>SOLAPA PORTAPRECIO PLAN MATE LA ESPECIAL</t>
  </si>
  <si>
    <t>CRD024887</t>
  </si>
  <si>
    <t>TACKER PLAN MATE LA ESPECIAL</t>
  </si>
  <si>
    <t>CRD024889</t>
  </si>
  <si>
    <t>MONTICELLO FUNCIONAL</t>
  </si>
  <si>
    <t>COLDTWIST</t>
  </si>
  <si>
    <t>RECOMPRA NAVIDAD NOEL AU</t>
  </si>
  <si>
    <t>CRD024929</t>
  </si>
  <si>
    <t>VESTIDO REJILLA CARULLA MATIZ</t>
  </si>
  <si>
    <t>CRD024947</t>
  </si>
  <si>
    <t>CRD024945</t>
  </si>
  <si>
    <t>FRONTAL NAVIDAD CARULLA EN FAMILIA</t>
  </si>
  <si>
    <t>CRD024946</t>
  </si>
  <si>
    <t>CRD024953</t>
  </si>
  <si>
    <t>MUEBLE X 4 CAJAS EXPERIENCIA CAPSULAS EXPRESS</t>
  </si>
  <si>
    <t>CRD024788</t>
  </si>
  <si>
    <t>GTA. NAVIDAD 2021 DEGUSTACION P.I.</t>
  </si>
  <si>
    <t>ESTANDARTE TV NAVIDAD CARULLA EN FAMILIA</t>
  </si>
  <si>
    <t>SE RECIBE MATERIAL DE PROVEEDOR PAPEL CARD CON REMISION 2021-1639, S/N</t>
  </si>
  <si>
    <t>CHISPA NAVIDAD CARULLA EN FAMILIA</t>
  </si>
  <si>
    <t>DEVOLUCIÃ“N ATENTO COMERCIALIZADORA SA, RECOGIDA 3874, MUEBLE EN MAL ESTADO, PARA BAJA, INGRESO FUERA DE TIEMPO POR MODIFICACIONES WMS DE SISTEMA DE RECOGIDAS</t>
  </si>
  <si>
    <t>SE RECIBE MATERIAL DE PROVEEDOR IMPRESOS CON REMISION 23490, S/N</t>
  </si>
  <si>
    <t>CRD024842</t>
  </si>
  <si>
    <t>POSTAL COLCAFE DESCAFEINADO</t>
  </si>
  <si>
    <t>CRD024844</t>
  </si>
  <si>
    <t>POSTAL COLCAFE VAINILLA</t>
  </si>
  <si>
    <t>CRD024843</t>
  </si>
  <si>
    <t>CRD024845</t>
  </si>
  <si>
    <t>POSTAL COLCAFE GRANULADO</t>
  </si>
  <si>
    <t>DEVOLUCION DE AUTOSERVICIO LA 82, RECOGIDA 3866, S/N</t>
  </si>
  <si>
    <t>CRD024849</t>
  </si>
  <si>
    <t>BOLSA TROQUELADA PIGMENTADA IMPRESA - BOLSA NAVIDAD</t>
  </si>
  <si>
    <t>CRD025003</t>
  </si>
  <si>
    <t>SE RECIBE MATERIAL DE PROVEEDOR C I TIPISCA LTDA CON REMISION 1866, REPOSICION DE FALTANTES, SOBRAN 2 UND SEGUN AVISO DE LLEGADA YA QUE SOLO QUEDABAN PENDIENTES 10 UND</t>
  </si>
  <si>
    <t>DEVOLUCION DE SUPERMERCADO ROXIMAR. RECOGIDA 3865, MUEBLE SE RECOGE EMPACADO, SIN VERFIFICAR CONTENIDO, SE RETIRA EMBALAJE Y SE DETECTA PELADURAS CON OXIDO Y FISURAS EN ACRILICO</t>
  </si>
  <si>
    <t>SE RECIBE MATERIAL DE PROVEEDOR OPEN MIND CON REMISION 2852, S/N</t>
  </si>
  <si>
    <t>CRD025017</t>
  </si>
  <si>
    <t>NUEVO FRONTAL CARULLA MATIZ TENTACION</t>
  </si>
  <si>
    <t>SE RECIBE MATERIAL DE PROVEEDOR SILA GROUP SAS CON REMISION 42656, NOVEDAD DE FALTANTE DE 2 UND CRD024647, INGRESO FUERADE TIEMPO POR ESPERA EN ACTUALIZACION DE IMAGENES, YA QUE NO COINCIDIAN</t>
  </si>
  <si>
    <t>CRD024645</t>
  </si>
  <si>
    <t>RECIPIENTE ARUBA CARRO PROMOTORES</t>
  </si>
  <si>
    <t>CRD024644</t>
  </si>
  <si>
    <t>RECIPIENTE DESPENSA TAYRONA 1 LT CARRO PROMOTORES</t>
  </si>
  <si>
    <t>CRD024647</t>
  </si>
  <si>
    <t>RECIPIENTE REDONDO EASY 400ML CARRO PROMOTORES</t>
  </si>
  <si>
    <t>CRD024646</t>
  </si>
  <si>
    <t>RECIPIENTE RECTANGULAR VENECIA CARRO PROMOTORES</t>
  </si>
  <si>
    <t>SE RECIBE MATERIAL DE PROVEEDOR MARQUILLAS CON REMISION CRV-32275, S/N</t>
  </si>
  <si>
    <t>CRD025004</t>
  </si>
  <si>
    <t>CRD025008</t>
  </si>
  <si>
    <t>CRD025009</t>
  </si>
  <si>
    <t>CRD025010</t>
  </si>
  <si>
    <t>CRD025001</t>
  </si>
  <si>
    <t>CHISPA DOYPACK CAPPUCCINO</t>
  </si>
  <si>
    <t>CRD025002</t>
  </si>
  <si>
    <t>CHISPA DOYPACK 3 EN1</t>
  </si>
  <si>
    <t>CRD024643</t>
  </si>
  <si>
    <t>UTENSILIOS NYLON</t>
  </si>
  <si>
    <t>CRD024908</t>
  </si>
  <si>
    <t>TE. TOSH NEGRO 32G 20SOB 20UN</t>
  </si>
  <si>
    <t>CRD024997</t>
  </si>
  <si>
    <t>CRD024956</t>
  </si>
  <si>
    <t>CAPPUCCINO COLCAFE VAINI DOYPACK130G 1</t>
  </si>
  <si>
    <t>CRD024955</t>
  </si>
  <si>
    <t>SE RECIBE MATERIAL DE NUTRESA PARA INGRESO A INVENTARIO SEGUN REMI-21455</t>
  </si>
  <si>
    <t>SE RECIBE MATERIAL DE NUTRESA PARA INGRESO A INVENTARIO SEGUN REMI-23489</t>
  </si>
  <si>
    <t>SE RECIBE MATERIAL DE NUTRESA PARA INGRESO A INVENTARIO SEGUN RECO-12403</t>
  </si>
  <si>
    <t>ACT000120</t>
  </si>
  <si>
    <t>PUESTO DE PAGO FRONTAL SUPERETES</t>
  </si>
  <si>
    <t>COLGATE</t>
  </si>
  <si>
    <t>SE RECIBE MATERIAL DE NUTRESA PARA INGRESO A INVENTARIO SEGUN REMI 4587</t>
  </si>
  <si>
    <t>CRD014117</t>
  </si>
  <si>
    <t>PLEGADIZA SELLO ROJO CPE</t>
  </si>
  <si>
    <t>SE RECIBE MATERIAL DE NUTRESA PARA INGRESO A INVENTARIO SEGUN REMI-30645</t>
  </si>
  <si>
    <t>REMI-34850</t>
  </si>
  <si>
    <t>SE RECIBE MATERIAL DE NUTRESA PARA SU INGRESO A INVENTARIO SEGUN REMI-34850</t>
  </si>
  <si>
    <t>CRD024981</t>
  </si>
  <si>
    <t>PLEGADIZA WAFER SURTIDA SIN AZUCAR</t>
  </si>
  <si>
    <t>BOG06082022</t>
  </si>
  <si>
    <t>REMI-34851</t>
  </si>
  <si>
    <t>SE RECIBE MATERIAL DE NUTRESA PARA SU INGRESO A INVENTARIO SEGUN REMI-34851</t>
  </si>
  <si>
    <t>REMI-6313</t>
  </si>
  <si>
    <t>SE RECIBE MATERIAL DE NUTRESA PARA SU INGRESO A INVENTARIO SEGUN REMI-6313</t>
  </si>
  <si>
    <t>CRD012466</t>
  </si>
  <si>
    <t>COLCAFE CLASICO X 50 GR</t>
  </si>
  <si>
    <t>BOG11112023</t>
  </si>
  <si>
    <t>CRD023444</t>
  </si>
  <si>
    <t>MANI KRAKS LA ESPECIAL DOYPACK X140G</t>
  </si>
  <si>
    <t>BOG11232022</t>
  </si>
  <si>
    <t>CRD012726</t>
  </si>
  <si>
    <t>TORNILLO DORIA CLASICA X 250G</t>
  </si>
  <si>
    <t>BOG05082023</t>
  </si>
  <si>
    <t>CRD021829</t>
  </si>
  <si>
    <t>MAIZ DULCE ZENU X 241 G</t>
  </si>
  <si>
    <t>BOG09202024</t>
  </si>
  <si>
    <t>BOG08142022</t>
  </si>
  <si>
    <t>CRD012719</t>
  </si>
  <si>
    <t>TRADE GTA. DUCALES TC. X2</t>
  </si>
  <si>
    <t>BOG07242022</t>
  </si>
  <si>
    <t>CRD012721</t>
  </si>
  <si>
    <t>BOG07132022</t>
  </si>
  <si>
    <t>SE RECIBE MATERIAL DE NUTRESA PARA INGRESO A INVENTARIO SEGUN REMI-2852</t>
  </si>
  <si>
    <t>OC-4502198002</t>
  </si>
  <si>
    <t>SE RECIBE MATERIAL DE NUTRESA PROVEEDOR PLASTIPACK S.A CON REMISION-83136, SIN NOVEDAD</t>
  </si>
  <si>
    <t>SE RECIBE MATERIAL DE NUTRESA PROVEEDOR PLASTIPACK S.A CON REMISION-83137, SIN NOVEDAD</t>
  </si>
  <si>
    <t>REMI-4849</t>
  </si>
  <si>
    <t>SE RECIBE MATERIAL DE NUTRESA PARA SU INGRESO A INVENTARIO SEGUN REMI-4849</t>
  </si>
  <si>
    <t>CRD025007</t>
  </si>
  <si>
    <t>GTA. NAVIDAD MEGA SURTIDA SALADA 780G</t>
  </si>
  <si>
    <t>BOG04172022</t>
  </si>
  <si>
    <t>SE RECIBE MATERIAL DE NUTRESA PARA INGRESO A INVENTARIO SEGUN REMI-9914</t>
  </si>
  <si>
    <t>CRD024830</t>
  </si>
  <si>
    <t>SANDUCHERA KALLEY K-SM101. ACTIVIDAD MILLONES POR MONTONES</t>
  </si>
  <si>
    <t>SE RECIBE MATERIAL DE NUTRESA PARA INGRESOA INVENTARIO SEGUN DES-286111</t>
  </si>
  <si>
    <t>SE RECIBE MATERIAL DE NUTRESA PARA INGRESO A INVENTARIO SEGUN REMI32278</t>
  </si>
  <si>
    <t>SE RECIBE MATERIAL DE NUTRESA PARA INGRESO A INVENTARIO SEGUN REMI32276</t>
  </si>
  <si>
    <t>SE RECIBE MATERIAL DE NUTRESA PARA INGRESO A INVENTARIO SEGUN REMI32277</t>
  </si>
  <si>
    <t>SE RECIBE MATERIAL DE NUTRESA PARA INGRESO A INVENTARIO SEGUN REMI-2949</t>
  </si>
  <si>
    <t>CRD024971</t>
  </si>
  <si>
    <t>EXHIBIDOR ENLATADOS TIENDAS</t>
  </si>
  <si>
    <t>SE RECIBE MATERIAL DE NUTRESA PARA INGRESO A INVENTARIO SEGUN REMI-4971</t>
  </si>
  <si>
    <t>LNA1205247</t>
  </si>
  <si>
    <t>SE RECIBE MATERIAL DE NUTRESA PARA SU INGRESO A INVENTARIO SEGUN LNA1205247</t>
  </si>
  <si>
    <t>SE RECIBE MATERIAL DE NUTRESA PARA INGRESO A INVENTARIO SEGUN REMI-23791</t>
  </si>
  <si>
    <t>SE RECIBE MATERIAL DE NUTRESA PARA INGRESO A INVENTARIO SEGUN REMI-23779</t>
  </si>
  <si>
    <t>SE RECIBE MATERIAL DE NUTRESA PARA INGRESO A INVENTARIO SEGUN REMI-21493</t>
  </si>
  <si>
    <t>SE RECIBE MATERIAL DE NUTRESA PARA INGRESO A INVENTARIO SEGUN REMI-21495</t>
  </si>
  <si>
    <t>SE RECIBE MATERIAL DE NUTRESA PARA INGRESO A INVENTARIO SEGUN REMI-7164699237</t>
  </si>
  <si>
    <t>CRD025005</t>
  </si>
  <si>
    <t>GTA. TOSH MIEL TACO 209G</t>
  </si>
  <si>
    <t>BOG28082022</t>
  </si>
  <si>
    <t>SE RECIBE MATERIAL DE NUTRESA PARA INGRESO A INVENTARIO SEGUN REMI-7164540425</t>
  </si>
  <si>
    <t>SV-7164811172</t>
  </si>
  <si>
    <t>SE RECIBE MATERIAL DE NUTRESA PROVEEDOR COMPAÃ‘IA DE GALLETAS NOEL S.A.S CON SALIDA VARIA-7164811172, SIN NOVEDAD</t>
  </si>
  <si>
    <t>BOG10022022</t>
  </si>
  <si>
    <t>SE RECIBE MATERIAL DEL PROVEEDOR IMPRESOS CON REMISIÃ“N NÂ°23491 SIN NOVEDAD</t>
  </si>
  <si>
    <t>SE RECIBE MATERIAL DEL PROVEEDOR PLASTIPACK CON REMISIÃ“N NÂ°83115 SIN NOVEDAD</t>
  </si>
  <si>
    <t>SE RECIBE MATERIAL DEL PROVEEDOR SILA CON FACTURA NÂ°SG2067 CON NOVEDAD CRD024647 LLGAN 381 EN FISICO Y EN EL DOCUMENTO EN EL AVISO DICE QUE LLEGAN 400</t>
  </si>
  <si>
    <t>SE RECIBE MATERIAL DEL PROVEEDOR IMPRESOS CON REMISIÃ“N NÂ°23793 SIN NOVEDAD</t>
  </si>
  <si>
    <t>SE RECIBE MATERIAL DEL PROVEEDOR IMPRESOS CON REMISIÃ“N NÂ°23784 SIN NOVEDAD</t>
  </si>
  <si>
    <t>SE RECIBE MATERIAL DEL PROVEEDOR INCAMETAL CON FACTURA NÂ°LNA1205247 SIN NOVEDAD</t>
  </si>
  <si>
    <t>CMOSQUERA</t>
  </si>
  <si>
    <t>CRD025006</t>
  </si>
  <si>
    <t>C/N 11142-37-30-</t>
  </si>
  <si>
    <t>SE RECIBE MATERIAL DEL PROVEEDOR MERCICO CON REMISIONES N# 11142-11137-11130-11140-11122 CON LA NOVEDAD DE QUE EL CODIGO CRD024643 NO COINCIDIA CON EL FISICO Y SOBRENTE DE 400 UNIDADES DEL CRD012773</t>
  </si>
  <si>
    <t>CRD024642</t>
  </si>
  <si>
    <t>VASO COFFE 16OZ ACANALDO</t>
  </si>
  <si>
    <t>CRD024657</t>
  </si>
  <si>
    <t>EXPRIMIDOR DE LIMONES</t>
  </si>
  <si>
    <t>CRD012773</t>
  </si>
  <si>
    <t>CUCHARA MEDIDORA Y CIERRA BOLSA SELLO ROJO</t>
  </si>
  <si>
    <t>CRD008369</t>
  </si>
  <si>
    <t>JARRA SELLO ROJO</t>
  </si>
  <si>
    <t>CRD007133</t>
  </si>
  <si>
    <t>POCILLO MUG PLAN COSTA SR TIENDA</t>
  </si>
  <si>
    <t>SE RECIBE MATERIAL DEL PROVEEDOR OPEN MIND CON REMISION NÂ° 2852 SIN NOVEDAD</t>
  </si>
  <si>
    <t>DEV. DEL PDV PROVISION LM SAS CON RECOGIDA N# 1567 Y DEDSPACHO N# 37319 SIN NOVEDAD</t>
  </si>
  <si>
    <t>CRODRIGUEZ</t>
  </si>
  <si>
    <t>S/N CRV32284</t>
  </si>
  <si>
    <t>SE RECIBE MATERIAL DEL PROVEEDOR MARQUILLA S.A SIN NOVEDAD</t>
  </si>
  <si>
    <t>SE RECIBE MATERIAL DEL PROVEEDOR IMPRESOS CON REMISION NÂ° 23786 SIN NOVEDAD</t>
  </si>
  <si>
    <t>S/N 23799</t>
  </si>
  <si>
    <t>SE RECIBE MATERIAL DEL PROVEEDOR IMPRESOS CON REMISION NÂ° 23799 SIN NOVEDAD</t>
  </si>
  <si>
    <t>S/N 2949</t>
  </si>
  <si>
    <t>SE RECIBE MATERIAL DEL PROVEEDOR OPEN MIND CON REMISION NÂ° 2949 DEMORA EN INGRESO POR NOVEDAD CON AVISO DE LLEGADA</t>
  </si>
  <si>
    <t>COORDINADO</t>
  </si>
  <si>
    <t>CRD020909</t>
  </si>
  <si>
    <t>SALCH VIENA PARRILLADA ZENU X 160 G</t>
  </si>
  <si>
    <t>SE RECIBE DE ARCINIEGAS ROMERO IBAGUE CON RECO 892 SN</t>
  </si>
  <si>
    <t>SE RECIBE DE SERVITIENDAS NEIVA CON RECO 886 SN</t>
  </si>
  <si>
    <t>SE RECIBE DE SUPERMERCADO RUBIO PITALITO CON RECO 889 SN</t>
  </si>
  <si>
    <t>SE RECIBE DE SUPERMERCADO POPULAR CANAIMA CON RECO 890 SN</t>
  </si>
  <si>
    <t>SE RECIBE DE IMPRESOS CON REMI 23493 SN</t>
  </si>
  <si>
    <t>SE RECIBE DE TALLER A PUNTO IBAGUE CON RECO 897 SN</t>
  </si>
  <si>
    <t>SE RECIBE DE COMERCIAL NUTRESA FLORENCIA CON RECO 885 SN</t>
  </si>
  <si>
    <t>SE RECIBE DE COMERCIAL NUTRESA IBAGUE CON RECO 898 SN</t>
  </si>
  <si>
    <t>SE RECIBE DE VIALAMBRE CON REMI 048393 SN</t>
  </si>
  <si>
    <t>SE RECIBE DE EXITO UNICENTRO NEIVA CON RECO 899 SN</t>
  </si>
  <si>
    <t>KIT VESTIDO MUEBLE AUTODEGUSTADOR CD - JET COCO</t>
  </si>
  <si>
    <t>IBA070322</t>
  </si>
  <si>
    <t>SE RECIBE DE PLASTIPACK CON REMI 83114 SN</t>
  </si>
  <si>
    <t>JCUBIDES</t>
  </si>
  <si>
    <t>SE RECIBE DE MERCACENTRO 4 IBAGUE CON RECO 900 SE INGRESA EN AVERIA MUEBLE CON PINTURA DETERIORADA</t>
  </si>
  <si>
    <t>SE RECIBE DE MARQUILLAS SAS CON REMI 32283 SN</t>
  </si>
  <si>
    <t>CRD019458</t>
  </si>
  <si>
    <t>ARETE POCO CARGUE ZENU</t>
  </si>
  <si>
    <t>CRD024874</t>
  </si>
  <si>
    <t>DEV. SUPERMERCADO BOOM S.A FINALIAZCION DE EVENTO CON NOVEDAD ( MUEBLE LE FALTAN IMAGENES )</t>
  </si>
  <si>
    <t>SIN NOVEDAD SE RECIBE MATERIAL DEL PROVEEDOR IMPRESOS CON REMISION 23304</t>
  </si>
  <si>
    <t>CRD024388</t>
  </si>
  <si>
    <t>ESCUDO. DORIA TE TRAE LO QUE TANTO QUERIAS</t>
  </si>
  <si>
    <t>SIN NOVEDAD SE RECIBE MATERIAL DEL PROVEEDOR IMPRESOS CON REMISION 23305</t>
  </si>
  <si>
    <t>CRD024387</t>
  </si>
  <si>
    <t>ROMPETRAFICO. DORIA TE TRAE LO QUE TANTO QUERIAS</t>
  </si>
  <si>
    <t>ACT000377</t>
  </si>
  <si>
    <t>PUESTO DE PAGO PEQUENO AU IDEAL</t>
  </si>
  <si>
    <t>DEV. EURO SUPERMERCADO LA FLORIDA FINALIZACION DE EVENTO SIN NOVEDAD</t>
  </si>
  <si>
    <t>SIN NOVEDAD SE RECIBE MATERIAL DEL PROVEEDOR IMPRESOS CON REMISION 23505</t>
  </si>
  <si>
    <t>DEV. FYJ FINALIZACION DE EVENTO CON NOVEDAD ( EN MAL ESTADO )</t>
  </si>
  <si>
    <t>ACT000007</t>
  </si>
  <si>
    <t>VP EXHIBIDOR MOD GOLOSINAS</t>
  </si>
  <si>
    <t>CON NOVEDAD ( LLEGA UNA PLEGA POR 20 UNI Y ES POR 40 ESTA INCOMPLETA )SE RECIBE MATERIAL DEL PROVEEDOR INDUCARTO CON REMISION 74600</t>
  </si>
  <si>
    <t>MED092022</t>
  </si>
  <si>
    <t>SIN NOVEDAD SE RECIBE MATERIAL DEL PROVEEDOR PLASTIPACK S.A CON REMISION 83118</t>
  </si>
  <si>
    <t>SIN NOVEDAD SE RECIBE MATERIAL DEL PROVEEDOR PROPONEMOS CON REMISION 123</t>
  </si>
  <si>
    <t>CRD024999</t>
  </si>
  <si>
    <t>DESTAPADOR ECO WINE ACTIVACIONES PDV</t>
  </si>
  <si>
    <t>MED11222022</t>
  </si>
  <si>
    <t>MED09282022</t>
  </si>
  <si>
    <t>MED09042022</t>
  </si>
  <si>
    <t>MED11272023</t>
  </si>
  <si>
    <t>MED04022023</t>
  </si>
  <si>
    <t>MED09112022</t>
  </si>
  <si>
    <t>ACT000017</t>
  </si>
  <si>
    <t>VP TIBURON MULTICATEGORIA PARA SUPERETE</t>
  </si>
  <si>
    <t>ACT000378</t>
  </si>
  <si>
    <t>JET LIGHT AU IDEAL</t>
  </si>
  <si>
    <t>SIN NOVEDAD SE RECIBE MATERIAL DEL PROVEEDOR VILLEGAS PUBLICIDAD CON REMISION 2358</t>
  </si>
  <si>
    <t>CRD021334</t>
  </si>
  <si>
    <t>TABLA PARA PICAR PREMIOS TOMAS FDS</t>
  </si>
  <si>
    <t>SIN NOVEDAD SE RECIBE MATERIAL DEL PROVEEDOR OPEN MIND CON REMISIOM 2858</t>
  </si>
  <si>
    <t>DEV. MERCADOS LA GRAN SIMONA FINALIZACION DE EVENTO CON NOVEDAD ( EN MAL ESTADO )</t>
  </si>
  <si>
    <t>DEV. MINIMERCADOS DE LA ABUELA S.A.S FINALIZACION DE EVENTO CON NOVEDAD ( MUEBLES EN MAL ESTADO Y INCOMPLETOS )</t>
  </si>
  <si>
    <t>ACT000279</t>
  </si>
  <si>
    <t>SNACKERO AU MINIMERCADOS</t>
  </si>
  <si>
    <t>SE RECIBE MATERIAL DE NUTRESA MEDELLIN RECOGIDA 7430 SIN NOVEDAD</t>
  </si>
  <si>
    <t>MED10232022</t>
  </si>
  <si>
    <t>CRV-32281</t>
  </si>
  <si>
    <t>SIN NOVEDAD SE RECIBE MATERIAL DEL PROVEEDOR MARQUILLAS CON REMISION CRV-32281</t>
  </si>
  <si>
    <t>CRD024980</t>
  </si>
  <si>
    <t>SURTIDO LONCHERA TOSH</t>
  </si>
  <si>
    <t>MED03282022</t>
  </si>
  <si>
    <t>DEV. CARIBE S.A MARINILLA FINALIZACION DE EVENTO SIN NOVEDAD</t>
  </si>
  <si>
    <t>DEV. MEDINA GELVEZ DISTRIBUCIONES S.A.S FINALIZACION DE EVENTO DIFERENCIA DE CANTIDADES CON NOVEDAD ( VITRINAS EN MAL ESTADO Y SIN UNAS RUEDAS )</t>
  </si>
  <si>
    <t>DEV. SUPERMERCADO DINASTIA LA ABUNDANCIA FINALIZACION DE EVENTO CON NOVEDAD MUEBLE EN MAL ESTADO )</t>
  </si>
  <si>
    <t>SIN NOVEDAD SE RECIBE MATERIAL DEL PROVEEDOR LANDERS Y CIA S.A CON OC 4502230221</t>
  </si>
  <si>
    <t>DEV DEL PDV MERCALDAS VERSALLES CON RECO NÂ° 2795 POR FINALIZACION DEL EVENTO --- MUEBLE INGRESA EN ESTADO AVERIADO SE REPORTA A JULIANA BETANCUR</t>
  </si>
  <si>
    <t>ACT000027</t>
  </si>
  <si>
    <t>CUERPO DE GONDOLA EXPANDIBLE GOLOSINAS</t>
  </si>
  <si>
    <t>DEV DEL PDV MERCALDAS VERSALLES CON RECO NÂ° 2781 POR FINALIZACION DEL EVENTO --- MUEBLE INGRESA EN ESTADO AVERIADO SE REPORTA NOVEDAD A JULIANA BETANCUR</t>
  </si>
  <si>
    <t>SE RECIBE MATERIAL DEL PROVEEDOR C.NUTRESA CON RECO NÂ° 2805 POR FINALIZACION DEL EVENTO --- SIN NOVEDAD</t>
  </si>
  <si>
    <t>DEV DEL PDV ALMACEN LA CITA CON RECO NÂ° 2789 POR FINALIZACION DEL EVENTO --- SIN NOVEDAD</t>
  </si>
  <si>
    <t>DEV DEL PDV AUTOSERVICIO SUPERPLAZA CON RECO NÂ° 2791 POR FINALIZACION DEL EVENTO --- SIN NOVEDAD</t>
  </si>
  <si>
    <t>DEV DEL PDV AUTOSERVICIO NODIER NÂ°1 CON RECO NÂ° 74990 POR FINALIZACION DEL EVENTO --- SIN NOVEDAD</t>
  </si>
  <si>
    <t>DEV DEL PDV JULIAN ANDRES GARCIA CON RECO NÂ° 2804 POR FINALIZACION DEL EVENTO --- SIN NOVEDAD</t>
  </si>
  <si>
    <t>SE RECIBE MATERIAL DEL PROVEEDOR IMPRESOS CON REMISION NÂ° 23494 --- SIN NOVEDAD</t>
  </si>
  <si>
    <t>DEV DEL PDV SUPERMERCADO LOS OLIVOS CON RECO NÂ° 2807 POR FINALIZACION DEL EVENTO --- SE INGRESA EN ESTADO AVERIADO SE REPORTA A JULIANA BETANCUR</t>
  </si>
  <si>
    <t>SE RECIBE MATERIAL DEL PROVEEDOR PLASTIPACK CON REMISION NÂ° 83117 --- SIN NOVEDAD</t>
  </si>
  <si>
    <t>DEV DEL PDV BUSTOS Y CIA CON RECO NÂ° 2801 POR FINALIZACION DEL EVENTO --- SIN NOVEDAD</t>
  </si>
  <si>
    <t>DEV DEL PDV SUPERMERCADO CUCUTEÃ‘O PLAZA CON RECO NÂ° 75265 --- SIN NOVEDAD</t>
  </si>
  <si>
    <t>DEV DEL PDV SUPERMERCADO MERCA PLUS CON RECO NÂ° 2803 POR FINALIZACION DEL EVENTO --- SIN NOVEDAD</t>
  </si>
  <si>
    <t>SE RECIBE MATERIAL DEL PROVEEDOR OPEN MIND CON DOCUMENTO NÂ° 2852 --- SIN NOVEDAD</t>
  </si>
  <si>
    <t>SE RECOGE MATERIAL EN C.NUTRESA CON RECO NÂ° 2810 POR FINALIZACION DEL EVENTO --- SIN NOVEDAD</t>
  </si>
  <si>
    <t>PER05172023</t>
  </si>
  <si>
    <t>PER09042022</t>
  </si>
  <si>
    <t>PER11162022</t>
  </si>
  <si>
    <t>PER08212022</t>
  </si>
  <si>
    <t>PER05082023</t>
  </si>
  <si>
    <t>PER11022023</t>
  </si>
  <si>
    <t>PER07132022</t>
  </si>
  <si>
    <t>PER11242023</t>
  </si>
  <si>
    <t>PER05212023</t>
  </si>
  <si>
    <t>PER03282022</t>
  </si>
  <si>
    <t>PER10272022</t>
  </si>
  <si>
    <t>SE RECIBE MATERIAL DEL PROVEEDOR MARQUILLAS CON DOCUMENTO NÂ° CRV-32280 --- SIN NOVEDAD</t>
  </si>
  <si>
    <t>SE RECIBE MATERIAL DEL PROVEEDOR C.NUTRESA CON RECO NÂ° 2814 POR FINALIZACION DEL EVENTO --- SIN NOVEDAD</t>
  </si>
  <si>
    <t>PER04262023</t>
  </si>
  <si>
    <t>PER09142023</t>
  </si>
  <si>
    <t>SE RECIBE MATERIAL DEL PROVEEDOR IMPRESOS CON REMISION NÂ° 23795 --- SIN NOVEDAD</t>
  </si>
  <si>
    <t>SE RECIBE MATERIAL DEL PROVEEDOR IMPRESOS CON REMISION NÂ° 23789 --- SIN NOVEDAD</t>
  </si>
  <si>
    <t>SE RECIBE MATERIAL DE PROVEDOR DISEÃ‘O &amp; PRODUCCION S.A.S REM-21456 REPOSICION SN</t>
  </si>
  <si>
    <t>SE RECIBE MATERIAL DE PROVEDOR PLASTIPACK REM-83119 SN</t>
  </si>
  <si>
    <t>SE RECIBE MATERIAL DE PROVEDOR INDUCARTON OC-4502190132 SN</t>
  </si>
  <si>
    <t>CRD025018</t>
  </si>
  <si>
    <t>PLEGADIZA Y CARTON FABRICA DE ANCHETAS NAVIDAD X 1 UND</t>
  </si>
  <si>
    <t>SE RECIBE MATERIAL DE PROVEDOR INDUCARTON OC-4502193056 SN</t>
  </si>
  <si>
    <t>SE RECIBE MATERIAL DE PROVEDOR OPEN MIND OC-4502222981 SN</t>
  </si>
  <si>
    <t>SE RECIBE MATERIAL DE PROVEDOR IMPRESOS REM-23783 SN</t>
  </si>
  <si>
    <t>SE RECIBE MATERIAL DE PROVEDOR IMPRESOS REM-23797 SN</t>
  </si>
  <si>
    <t>ACT000444</t>
  </si>
  <si>
    <t>VP MUEBLE SNACKERO DE PISO MEDIANO KIT 2021 TD MDEO</t>
  </si>
  <si>
    <t>CRD003574</t>
  </si>
  <si>
    <t>GTA FESTIVAL VAINILLA BS 12X6</t>
  </si>
  <si>
    <t>CAL05222023</t>
  </si>
  <si>
    <t>CRD025039</t>
  </si>
  <si>
    <t>SALVAO DE TRIGO PULVERIZA DORIA X 300G</t>
  </si>
  <si>
    <t>INNERCIA</t>
  </si>
  <si>
    <t>BGTA ALT</t>
  </si>
  <si>
    <t>POP</t>
  </si>
  <si>
    <t>ACT000548</t>
  </si>
  <si>
    <t>EVOLUTION</t>
  </si>
  <si>
    <t>PAPELCARD</t>
  </si>
  <si>
    <t>GESTION Y MEDIOS</t>
  </si>
  <si>
    <t>COLOMBINA MASIVA NAVIDAD 2021</t>
  </si>
  <si>
    <t>QUADGRAPHICS</t>
  </si>
  <si>
    <t>COLOMBINA MASIVA + ROLLO 5 MTSNAVIDAD 2021</t>
  </si>
  <si>
    <t>COLOMBINA PREMIUM + ROLLO 5 MTS NAVIDAD 2021</t>
  </si>
  <si>
    <t>COLOMBINA PREMIUM NAVIDAD 2021</t>
  </si>
  <si>
    <t>PAREDON + ROLLO 8 MTS NAVIDAD NOEL 2021</t>
  </si>
  <si>
    <t>PUNTA SUPER NAVIDAD 2021</t>
  </si>
  <si>
    <t>ARRUME 2X1 NAVIDAD NOEL 2021 + ROLLO 7 MTS</t>
  </si>
  <si>
    <t>ARRUME 2X2 NAVIDAD NOEL 2021 + ROLLO 10 MTS</t>
  </si>
  <si>
    <t>ESCUDO GRANDE NAVIDAD NOEL 2021</t>
  </si>
  <si>
    <t>TV CARULLA NAVIDAD NOEL 2021</t>
  </si>
  <si>
    <t>ESCUDOS NAVIDAD NOEL 2021</t>
  </si>
  <si>
    <t>BANDEJA ORGANIZADORA SELLO ROJO</t>
  </si>
  <si>
    <t>BALCON CROSS DOBLE SELLO ROJO</t>
  </si>
  <si>
    <t>BALCON CROSS DOBLE LA BASTILLA</t>
  </si>
  <si>
    <t>PORTABOLSAS- PORTA BALANZA SELLO ROJO- CORONA</t>
  </si>
  <si>
    <t>PORTABOLSAS- PORTA BALANZA LA BASTILLA</t>
  </si>
  <si>
    <t>PORTACANASTILLAS SELLO ROJO</t>
  </si>
  <si>
    <t>PORTACANASTILLAS LA BASTILLA</t>
  </si>
  <si>
    <t>PARED FRUVER 3 CANASTILLASLA BASTILLA</t>
  </si>
  <si>
    <t>PARED FRUVER 3 CANASTILLAS SELLO ROJO</t>
  </si>
  <si>
    <t>PARED FRUVER 2 CANASTILLAS LA BASTILLA</t>
  </si>
  <si>
    <t>PARED FRUVER 2 CANASTILLAS SELLO ROJO</t>
  </si>
  <si>
    <t>REJILLA LATERAL SELLO ROJO</t>
  </si>
  <si>
    <t>ESTIBA DE COSECHA SELLO ROJO</t>
  </si>
  <si>
    <t>ARETE FRUVER SELLO ROJO- CORONA</t>
  </si>
  <si>
    <t>GROPIUS</t>
  </si>
  <si>
    <t>MARQUILLAS</t>
  </si>
  <si>
    <t>C</t>
  </si>
  <si>
    <t>A</t>
  </si>
  <si>
    <t>B</t>
  </si>
  <si>
    <t>DEVOLUCION DE MILENA PATRICIA BARRAZA, RECOGIDA 3890, S/N</t>
  </si>
  <si>
    <t>SE RECIBE MATERIAL DE PROVEEDOR OPEN MIND CON REMISION 2949, S/N</t>
  </si>
  <si>
    <t>SE RECIBE MATERIAL DE PROVEEDOR MARQUILLAS SA CON REMISION CRV-32501, S/N</t>
  </si>
  <si>
    <t>SE RECIBE MATERIAL DE NUTRESA PARA INGRESO A INVENTARIO SEGUN REMI-2992</t>
  </si>
  <si>
    <t>CRD025023</t>
  </si>
  <si>
    <t>BALCON COLCAFE 3 EN 1 MAS CREMOSO</t>
  </si>
  <si>
    <t>SE RECIBE MATERIAL DE NUTRESA PARA INGRESO A INVENTARIO SEGUN REMI-5023</t>
  </si>
  <si>
    <t>SE RECIBE MATERIAL DE NUTRESA PARA INGRESO A INVENTARIO SEGUN REMI-5022</t>
  </si>
  <si>
    <t>CRD025022</t>
  </si>
  <si>
    <t>MARCO DELIMITADOR COLCAFE 3 EN 1 MAS CREMOSO</t>
  </si>
  <si>
    <t>IGN-35147</t>
  </si>
  <si>
    <t>SE RECIBE MATERIAL DE NUTRESA PARA SU INGRESO A INVENTARIO SEGUN IGN-35147</t>
  </si>
  <si>
    <t>SE RECIBE MATERIAL DEL PROVEEDOR MARQUILLAS CON REMISIÃ“N NÂ°32279 SIN NOVEDAD</t>
  </si>
  <si>
    <t>SE RECIBE MATERIAL DEL PROVEEDOR OPEN MIND CON REMISIÃ“N NÂ°2992 SIN NOVEDAD</t>
  </si>
  <si>
    <t>SE RECIBE MATERIAL DEL PROVEEDOR MARQUILLAS CON REMISION NÂ° CRV-32502 SIN NOVEDAD</t>
  </si>
  <si>
    <t>SE RECIBE DE IMPRESOS CON REMI 23792 DEMORA EN EL INGRESO POR INVENTARIO FINAL DE AÃ‘O</t>
  </si>
  <si>
    <t>SE RECIBE DE IMPRESOS CON REMI 23787 DEMORA EN EL INGRESO POR INVENTARIO DE FIN DE AÃ‘O</t>
  </si>
  <si>
    <t>SE RECIBE DE COMERCIAL NUTRESA NEIVA CON RECO 908 DEMORA EN EL INGRESO POR INVENTARIO FINAL DE AÃ‘O</t>
  </si>
  <si>
    <t>ACT000433</t>
  </si>
  <si>
    <t>SNACKERO ABARROTERO MOSTRADOR</t>
  </si>
  <si>
    <t>SE RECIBE DE MERCAEXITO LA 20 PTO ASIS PUTUMAYO CON RECO 895 DEMORA EN EL INGRESO INVENTARIO FINAL DE AÃ‘O</t>
  </si>
  <si>
    <t>SE RECIBE DE MARQUILLAS CON REMI 32503 SN</t>
  </si>
  <si>
    <t>SE RECIBE DE LANDERS Y CIA CON REMI 21089514 DEMORA EN EL INGRESO POR INVENTARIO DE FIN DE AÃ‘O</t>
  </si>
  <si>
    <t>SE RECIBE DE LOGISTICA NUTRESA CON SALIDA VARIA 907 SN</t>
  </si>
  <si>
    <t>SE RECIBE DE VIALAMBRE CON REMI 048518 SN</t>
  </si>
  <si>
    <t>ACT000454</t>
  </si>
  <si>
    <t>ESTIBA MAKRO</t>
  </si>
  <si>
    <t>CRV-32504</t>
  </si>
  <si>
    <t>SIN NOVEDAD SE RECIBE MATERIAL DEL PROVEEDOR MARQUILLAS CON REMISION CRV-32504</t>
  </si>
  <si>
    <t>SE RECIBE MATERIAL DEL PROVEEDOR MARQUILLAS CON DOCUMENTO NÂ° CRV-32507 --- SIN NOVEDAD</t>
  </si>
  <si>
    <t>PER08072022</t>
  </si>
  <si>
    <t>CRD003576</t>
  </si>
  <si>
    <t>GTA FESTIVAL FRESA BS 12X6</t>
  </si>
  <si>
    <t>PER10202022</t>
  </si>
  <si>
    <t>PER08282022</t>
  </si>
  <si>
    <t>PER11262022</t>
  </si>
  <si>
    <t>CRD022568</t>
  </si>
  <si>
    <t>PER11132023</t>
  </si>
  <si>
    <t>CRD015482</t>
  </si>
  <si>
    <t>TARRO JET CREMA</t>
  </si>
  <si>
    <t>PER11242022</t>
  </si>
  <si>
    <t>CRD012718</t>
  </si>
  <si>
    <t>CRD003973</t>
  </si>
  <si>
    <t>1001482 SPAGUETTI MONTICELLO X 500 GR</t>
  </si>
  <si>
    <t>CRD003605</t>
  </si>
  <si>
    <t>1001602 GTA. SALTIN NOEL ROJO TC. X5</t>
  </si>
  <si>
    <t>PER07022022</t>
  </si>
  <si>
    <t>CRD013796</t>
  </si>
  <si>
    <t>CAFE LA BASTILLA X125 GR</t>
  </si>
  <si>
    <t>PER06012023</t>
  </si>
  <si>
    <t>CRD009805</t>
  </si>
  <si>
    <t>CHOCOLATE TESALIA X 250 G</t>
  </si>
  <si>
    <t>DEV DEL PDV EXITO PEREIRA CON RECO NÂ° 75669 POR FINALIZACION DEL EVENTO --- SIN NOVEDAD</t>
  </si>
  <si>
    <t>SE RECIBE MATERIAL DEL PROVEEDOR PAPELCARD CON REMISION NÂ° 2021/1665-1664 --- SIN NOVEDAD</t>
  </si>
  <si>
    <t>CRD025021</t>
  </si>
  <si>
    <t>CHISPA COLCAFE 3 EN 1 MAS CREMOSO</t>
  </si>
  <si>
    <t>CRD025020</t>
  </si>
  <si>
    <t>ROMPETRAFICO COLCAFE 3 EN 1 MAS CREMOSO</t>
  </si>
  <si>
    <t>SE RECIBE MATERIAL DE PROVEDOR PAPELCARD REM-2021-1657 SN</t>
  </si>
  <si>
    <t>MEDEACT000225TRADICIONALNUTRESA</t>
  </si>
  <si>
    <t>CARTACT000176AUTOSERVICIONUTRESA</t>
  </si>
  <si>
    <t>BARRACT000300TRADICIONALNUTRESA</t>
  </si>
  <si>
    <t>CALIACT000225TRADICIONALNUTRESA</t>
  </si>
  <si>
    <t>BARRCRD024648TRADICIONALNUTRESA</t>
  </si>
  <si>
    <t>BGTACRD024353CADENASNUTRESA</t>
  </si>
  <si>
    <t>CALIACT000035TRADICIONALNUTRESA</t>
  </si>
  <si>
    <t>IBA1ACT000063AUTOSERVICIONUTRESA</t>
  </si>
  <si>
    <t>IBA1ACT000436AUTOSERVICIOBPO</t>
  </si>
  <si>
    <t>BARRCRD024947CADENASNUTRESA</t>
  </si>
  <si>
    <t>BARRCRD024844CADENASBPO</t>
  </si>
  <si>
    <t>BARRCRD024842AUTOSERVICIOBPO</t>
  </si>
  <si>
    <t>BARRCRD024842CADENASBPO</t>
  </si>
  <si>
    <t>BARRCRD024843AUTOSERVICIOBPO</t>
  </si>
  <si>
    <t>BARRCRD024843CADENASBPO</t>
  </si>
  <si>
    <t>BARRCRD024845CADENASBPO</t>
  </si>
  <si>
    <t>BARRCRD024845AUTOSERVICIOBPO</t>
  </si>
  <si>
    <t>BARRCRD024844AUTOSERVICIOBPO</t>
  </si>
  <si>
    <t>BARRCRD024124CADENASNUTRESA</t>
  </si>
  <si>
    <t>BARRCRD024849AUTOSERVICIONUTRESA</t>
  </si>
  <si>
    <t>BARRCRD025003CADENASBPO</t>
  </si>
  <si>
    <t>BARRACT000436AUTOSERVICIOBPO</t>
  </si>
  <si>
    <t>BARRCRD025017CADENASNUTRESA</t>
  </si>
  <si>
    <t>BARRCRD024644TRADICIONALNUTRESA</t>
  </si>
  <si>
    <t>BARRCRD024646TRADICIONALNUTRESA</t>
  </si>
  <si>
    <t>BARRCRD024645TRADICIONALNUTRESA</t>
  </si>
  <si>
    <t>BARRCRD024647TRADICIONALNUTRESA</t>
  </si>
  <si>
    <t>BARRCRD025004TRADICIONALNUTRESA</t>
  </si>
  <si>
    <t>BARRCRD025008TRADICIONALNUTRESA</t>
  </si>
  <si>
    <t>BARRCRD025009TRADICIONALNUTRESA</t>
  </si>
  <si>
    <t>BARRCRD025001AUTOSERVICIONUTRESA</t>
  </si>
  <si>
    <t>BARRCRD025002AUTOSERVICIONUTRESA</t>
  </si>
  <si>
    <t>BARRCRD025010TRADICIONALNUTRESA</t>
  </si>
  <si>
    <t>BARRCRD024643TRADICIONALNUTRESA</t>
  </si>
  <si>
    <t>BARRCRD024847CADENASBPO</t>
  </si>
  <si>
    <t>BARRCRD024262CADENASBPO</t>
  </si>
  <si>
    <t>BARRCRD024971TRADICIONALNUTRESA</t>
  </si>
  <si>
    <t>BARRCRD025006TRADICIONALNUTRESA</t>
  </si>
  <si>
    <t>BGTACRD024945CADENASNUTRESA</t>
  </si>
  <si>
    <t>BGTACRD024946CADENASNUTRESA</t>
  </si>
  <si>
    <t>BGTACRD024842CADENASBPO</t>
  </si>
  <si>
    <t>BGTACRD024845CADENASBPO</t>
  </si>
  <si>
    <t>BGTACRD024844AUTOSERVICIOALTILLANO_BPO</t>
  </si>
  <si>
    <t>BGTACRD024844AUTOSERVICIOBPO</t>
  </si>
  <si>
    <t>BGTACRD024844CADENASBPO</t>
  </si>
  <si>
    <t>BGTACRD024843AUTOSERVICIOALTILLANO_BPO</t>
  </si>
  <si>
    <t>BGTACRD024843AUTOSERVICIOBPO</t>
  </si>
  <si>
    <t>BGTACRD024842AUTOSERVICIOBPO</t>
  </si>
  <si>
    <t>BGTACRD024842AUTOSERVICIOALTILLANO_BPO</t>
  </si>
  <si>
    <t>BGTACRD024845AUTOSERVICIOBPO</t>
  </si>
  <si>
    <t>BGTACRD024845AUTOSERVICIOALTILLANO_BPO</t>
  </si>
  <si>
    <t>BGTACRD024843CADENASBPO</t>
  </si>
  <si>
    <t>BGTAACT000120AUTOSERVICIONUTRESA</t>
  </si>
  <si>
    <t>BGTACRD014117CADENASBPO</t>
  </si>
  <si>
    <t>BGTACRD016151CADENASBPO</t>
  </si>
  <si>
    <t>BGTACRD022670CADENASBPO</t>
  </si>
  <si>
    <t>BGTACRD025003CADENASBPO</t>
  </si>
  <si>
    <t>BGTACRD024981AUTOSERVICIONUTRESA</t>
  </si>
  <si>
    <t>BGTACRD024981AUTOSERVICIOALTILLANO</t>
  </si>
  <si>
    <t>BGTACRD021829CADENASNUTRESA</t>
  </si>
  <si>
    <t>BGTACRD023444CADENASNUTRESA</t>
  </si>
  <si>
    <t>BGTACRD012466CADENASNUTRESA</t>
  </si>
  <si>
    <t>BGTACRD012726CADENASNUTRESA</t>
  </si>
  <si>
    <t>BGTACRD001185CADENASNUTRESA</t>
  </si>
  <si>
    <t>BGTACRD002384CADENASNUTRESA</t>
  </si>
  <si>
    <t>BGTACRD012719CADENASNUTRESA</t>
  </si>
  <si>
    <t>BGTACRD012721CADENASNUTRESA</t>
  </si>
  <si>
    <t>BGTACRD025017CADENASNUTRESA</t>
  </si>
  <si>
    <t>BGTACRD024849AUTOSERVICIONUTRESA</t>
  </si>
  <si>
    <t>BGTACRD025007CADENASNUTRESA</t>
  </si>
  <si>
    <t>BGTACRD024830AUTOSERVICIONUTRESA</t>
  </si>
  <si>
    <t>BGTACRD024126AUTOSERVICIONUTRESA</t>
  </si>
  <si>
    <t>BGTACRD025004TRADICIONALNUTRESA</t>
  </si>
  <si>
    <t>BGTACRD025004TRADICIONALALTILLANO</t>
  </si>
  <si>
    <t>BGTACRD024971TRADICIONALALTILLANO</t>
  </si>
  <si>
    <t>BGTACRD024971TRADICIONALNUTRESA</t>
  </si>
  <si>
    <t>BGTACRD018765CADENASBPO</t>
  </si>
  <si>
    <t>BGTACRD025009TRADICIONALNUTRESA</t>
  </si>
  <si>
    <t>BGTACRD025008TRADICIONALNUTRESA</t>
  </si>
  <si>
    <t>BGTACRD025010TRADICIONALNUTRESA</t>
  </si>
  <si>
    <t>BGTACRD025010TRADICIONALALTILLANO</t>
  </si>
  <si>
    <t>BGTACRD025009TRADICIONALALTILLANO</t>
  </si>
  <si>
    <t>BGTACRD025001AUTOSERVICIOALTILLANO</t>
  </si>
  <si>
    <t>BGTACRD025001AUTOSERVICIONUTRESA</t>
  </si>
  <si>
    <t>BGTACRD025002AUTOSERVICIONUTRESA</t>
  </si>
  <si>
    <t>BGTACRD025002AUTOSERVICIOALTILLANO</t>
  </si>
  <si>
    <t>BGTACRD025005TRADICIONALNUTRESA</t>
  </si>
  <si>
    <t>BGTACRD025005TRADICIONALALTILLANO</t>
  </si>
  <si>
    <t>BGTACRD024788AUTOSERVICIOBPO</t>
  </si>
  <si>
    <t>BGTACRD025023AUTOSERVICIOALTILLANO</t>
  </si>
  <si>
    <t>BGTACRD025023AUTOSERVICIONUTRESA</t>
  </si>
  <si>
    <t>BGTACRD025022AUTOSERVICIOALTILLANO</t>
  </si>
  <si>
    <t>BUCACRD024845AUTOSERVICIOBPO</t>
  </si>
  <si>
    <t>BUCACRD024845CADENASBPO</t>
  </si>
  <si>
    <t>BUCACRD024844CADENASBPO</t>
  </si>
  <si>
    <t>BUCACRD024844AUTOSERVICIOBPO</t>
  </si>
  <si>
    <t>BUCACRD024843CADENASBPO</t>
  </si>
  <si>
    <t>BUCACRD024843AUTOSERVICIOBPO</t>
  </si>
  <si>
    <t>BUCACRD024842CADENASBPO</t>
  </si>
  <si>
    <t>BUCACRD024842AUTOSERVICIOBPO</t>
  </si>
  <si>
    <t>BUCACRD024849AUTOSERVICIONUTRESA</t>
  </si>
  <si>
    <t>BUCACRD024645TRADICIONALNUTRESA</t>
  </si>
  <si>
    <t>BUCACRD024644TRADICIONALNUTRESA</t>
  </si>
  <si>
    <t>BUCACRD024647TRADICIONALNUTRESA</t>
  </si>
  <si>
    <t>BUCACRD024646TRADICIONALNUTRESA</t>
  </si>
  <si>
    <t>BUCACRD025008TRADICIONALNUTRESA</t>
  </si>
  <si>
    <t>BUCACRD025009TRADICIONALNUTRESA</t>
  </si>
  <si>
    <t>BUCACRD025010TRADICIONALNUTRESA</t>
  </si>
  <si>
    <t>BUCACRD025001AUTOSERVICIONUTRESA</t>
  </si>
  <si>
    <t>BUCACRD025002AUTOSERVICIONUTRESA</t>
  </si>
  <si>
    <t>BUCACRD018765CADENASBPO</t>
  </si>
  <si>
    <t>BUCACRD025004TRADICIONALNUTRESA</t>
  </si>
  <si>
    <t>BUCACRD025023AUTOSERVICIONUTRESA</t>
  </si>
  <si>
    <t>CALICRD024953CADENASNUTRESA</t>
  </si>
  <si>
    <t>CALICRD022322AUTOSERVICIOBPO</t>
  </si>
  <si>
    <t>CALIACT000436AUTOSERVICIOBPO</t>
  </si>
  <si>
    <t>CALICRD024844AUTOSERVICIOBPO</t>
  </si>
  <si>
    <t>CALICRD024843CADENASBPO</t>
  </si>
  <si>
    <t>CALICRD024842AUTOSERVICIOBPO</t>
  </si>
  <si>
    <t>CALICRD024843AUTOSERVICIOBPO</t>
  </si>
  <si>
    <t>CALICRD024844CADENASBPO</t>
  </si>
  <si>
    <t>CALICRD024845AUTOSERVICIOBPO</t>
  </si>
  <si>
    <t>CALICRD024845CADENASBPO</t>
  </si>
  <si>
    <t>CALICRD024842CADENASBPO</t>
  </si>
  <si>
    <t>CALICRD023535AUTOSERVICIONUTRESA</t>
  </si>
  <si>
    <t>CALICRD025003CADENASBPO</t>
  </si>
  <si>
    <t>CALICRD024849AUTOSERVICIONUTRESA</t>
  </si>
  <si>
    <t>CALICRD025004TRADICIONALNUTRESA</t>
  </si>
  <si>
    <t>CALICRD024971TRADICIONALNUTRESA</t>
  </si>
  <si>
    <t>CALICRD025001AUTOSERVICIONUTRESA</t>
  </si>
  <si>
    <t>CALICRD025002AUTOSERVICIONUTRESA</t>
  </si>
  <si>
    <t>CALICRD025009TRADICIONALNUTRESA</t>
  </si>
  <si>
    <t>CALICRD025010TRADICIONALNUTRESA</t>
  </si>
  <si>
    <t>CALICRD025008TRADICIONALNUTRESA</t>
  </si>
  <si>
    <t>CALICRD018325AUTOSERVICIONUTRESA</t>
  </si>
  <si>
    <t>CALICRD018324AUTOSERVICIONUTRESA</t>
  </si>
  <si>
    <t>CALICRD025006TRADICIONALNUTRESA</t>
  </si>
  <si>
    <t>CALICRD018765CADENASBPO</t>
  </si>
  <si>
    <t>CALICRD025023AUTOSERVICIONUTRESA</t>
  </si>
  <si>
    <t>CALICRD022670CADENASBPO</t>
  </si>
  <si>
    <t>CALICRD014117CADENASBPO</t>
  </si>
  <si>
    <t>CALICRD016151CADENASBPO</t>
  </si>
  <si>
    <t>CARTACT000225TRADICIONALNUTRESA</t>
  </si>
  <si>
    <t>CARTCRD024946CADENASNUTRESA</t>
  </si>
  <si>
    <t>CARTCRD024945CADENASNUTRESA</t>
  </si>
  <si>
    <t>CARTACT000063TRADICIONALNUTRESA</t>
  </si>
  <si>
    <t>CARTCRD008369TRADICIONALNUTRESA</t>
  </si>
  <si>
    <t>CARTCRD007133TRADICIONALNUTRESA</t>
  </si>
  <si>
    <t>CARTCRD024657TRADICIONALNUTRESA</t>
  </si>
  <si>
    <t>CARTCRD024643TRADICIONALNUTRESA</t>
  </si>
  <si>
    <t>CARTCRD024642TRADICIONALNUTRESA</t>
  </si>
  <si>
    <t>CARTCRD012773TRADICIONALNUTRESA</t>
  </si>
  <si>
    <t>CARTACT000436AUTOSERVICIOBPO</t>
  </si>
  <si>
    <t>CARTCRD024849AUTOSERVICIONUTRESA</t>
  </si>
  <si>
    <t>CARTCRD025017CADENASNUTRESA</t>
  </si>
  <si>
    <t>CARTCRD025004TRADICIONALNUTRESA</t>
  </si>
  <si>
    <t>CARTCRD024646TRADICIONALNUTRESA</t>
  </si>
  <si>
    <t>CARTCRD024647TRADICIONALNUTRESA</t>
  </si>
  <si>
    <t>CARTCRD024644TRADICIONALNUTRESA</t>
  </si>
  <si>
    <t>CARTCRD024645TRADICIONALNUTRESA</t>
  </si>
  <si>
    <t>CARTCRD025001AUTOSERVICIONUTRESA</t>
  </si>
  <si>
    <t>CARTCRD025002AUTOSERVICIONUTRESA</t>
  </si>
  <si>
    <t>CARTCRD025009TRADICIONALNUTRESA</t>
  </si>
  <si>
    <t>CARTCRD025010TRADICIONALNUTRESA</t>
  </si>
  <si>
    <t>CARTCRD025008TRADICIONALNUTRESA</t>
  </si>
  <si>
    <t>CARTCRD024971TRADICIONALNUTRESA</t>
  </si>
  <si>
    <t>CARTCRD025006TRADICIONALNUTRESA</t>
  </si>
  <si>
    <t>IBA1ACT000075AUTOSERVICIONUTRESA</t>
  </si>
  <si>
    <t>IBA1ACT000063TRADICIONALNUTRESA</t>
  </si>
  <si>
    <t>IBA1CRD024842AUTOSERVICIOBPO</t>
  </si>
  <si>
    <t>IBA1CRD024842CADENASBPO</t>
  </si>
  <si>
    <t>IBA1CRD024843AUTOSERVICIOBPO</t>
  </si>
  <si>
    <t>IBA1CRD024844CADENASBPO</t>
  </si>
  <si>
    <t>IBA1CRD024844AUTOSERVICIOBPO</t>
  </si>
  <si>
    <t>IBA1CRD024845AUTOSERVICIOBPO</t>
  </si>
  <si>
    <t>IBA1CRD024843CADENASBPO</t>
  </si>
  <si>
    <t>IBA1CRD024845CADENASBPO</t>
  </si>
  <si>
    <t>IBA1ACT000225AUTOSERVICIONUTRESA</t>
  </si>
  <si>
    <t>IBA1ACT000075TRADICIONALNUTRESA</t>
  </si>
  <si>
    <t>IBA1ACT000120AUTOSERVICIONUTRESA</t>
  </si>
  <si>
    <t>IBA1CRD023531AUTOSERVICIONUTRESA</t>
  </si>
  <si>
    <t>IBA1CRD023535AUTOSERVICIONUTRESA</t>
  </si>
  <si>
    <t>IBA1CRD024889CADENASNUTRESA</t>
  </si>
  <si>
    <t>IBA1CRD024162CADENASNUTRESA</t>
  </si>
  <si>
    <t>IBA1CRD023141CADENASBPO</t>
  </si>
  <si>
    <t>IBA1CRD024849AUTOSERVICIONUTRESA</t>
  </si>
  <si>
    <t>IBA1CRD019238AUTOSERVICIOBPO</t>
  </si>
  <si>
    <t>IBA1CRD025004TRADICIONALNUTRESA</t>
  </si>
  <si>
    <t>IBA1CRD022322TRADICIONALBPO</t>
  </si>
  <si>
    <t>IBA1CRD024971TRADICIONALNUTRESA</t>
  </si>
  <si>
    <t>IBA1ACT000434AUTOSERVICIONUTRESA</t>
  </si>
  <si>
    <t>IBA1CRD025008TRADICIONALNUTRESA</t>
  </si>
  <si>
    <t>IBA1CRD025010TRADICIONALNUTRESA</t>
  </si>
  <si>
    <t>IBA1CRD025009TRADICIONALNUTRESA</t>
  </si>
  <si>
    <t>IBA1CRD025002AUTOSERVICIONUTRESA</t>
  </si>
  <si>
    <t>IBA1CRD025001AUTOSERVICIONUTRESA</t>
  </si>
  <si>
    <t>IBA1ACT000433TRADICIONALNUTRESA</t>
  </si>
  <si>
    <t>IBA1CRD025006TRADICIONALNUTRESA</t>
  </si>
  <si>
    <t>IBA1CRD018765CADENASBPO</t>
  </si>
  <si>
    <t>IBA1ACT000454CADENASNUTRESA</t>
  </si>
  <si>
    <t>IBA1ACT000441AUTOSERVICIONUTRESA</t>
  </si>
  <si>
    <t>MEDEACT000436AUTOSERVICIONUTRESA</t>
  </si>
  <si>
    <t>MEDECRD019458AUTOSERVICIONUTRESA</t>
  </si>
  <si>
    <t>MEDECRD023981AUTOSERVICIONUTRESA</t>
  </si>
  <si>
    <t>MEDEACT000436AUTOSERVICIOBPO</t>
  </si>
  <si>
    <t>MEDECRD019238CADENASBPO</t>
  </si>
  <si>
    <t>MEDECRD019238AUTOSERVICIOBPO</t>
  </si>
  <si>
    <t>MEDECRD024388AUTOSERVICIONUTRESA</t>
  </si>
  <si>
    <t>MEDECRD024387AUTOSERVICIONUTRESA</t>
  </si>
  <si>
    <t>MEDECRD024953CADENASNUTRESA</t>
  </si>
  <si>
    <t>MEDEACT000377AUTOSERVICIONUTRESA</t>
  </si>
  <si>
    <t>MEDECRD024844CADENASBPO</t>
  </si>
  <si>
    <t>MEDECRD024844AUTOSERVICIOBPO</t>
  </si>
  <si>
    <t>MEDECRD024845CADENASBPO</t>
  </si>
  <si>
    <t>MEDECRD024845AUTOSERVICIOBPO</t>
  </si>
  <si>
    <t>MEDECRD024842CADENASBPO</t>
  </si>
  <si>
    <t>MEDECRD024842AUTOSERVICIOBPO</t>
  </si>
  <si>
    <t>MEDECRD024843CADENASBPO</t>
  </si>
  <si>
    <t>MEDECRD024843AUTOSERVICIOBPO</t>
  </si>
  <si>
    <t>MEDECRD022273AUTOSERVICIONUTRESA</t>
  </si>
  <si>
    <t>MEDEACT000007AUTOSERVICIONUTRESA</t>
  </si>
  <si>
    <t>MEDECRD022322AUTOSERVICIONUTRESA</t>
  </si>
  <si>
    <t>MEDECRD025003CADENASBPO</t>
  </si>
  <si>
    <t>MEDECRD014116CADENASBPO</t>
  </si>
  <si>
    <t>MEDECRD014424CADENASBPO</t>
  </si>
  <si>
    <t>MEDECRD014119CADENASBPO</t>
  </si>
  <si>
    <t>MEDECRD014120CADENASBPO</t>
  </si>
  <si>
    <t>MEDECRD019868CADENASBPO</t>
  </si>
  <si>
    <t>MEDECRD014118CADENASBPO</t>
  </si>
  <si>
    <t>MEDECRD024849AUTOSERVICIONUTRESA</t>
  </si>
  <si>
    <t>MEDECRD024999CADENASNUTRESA</t>
  </si>
  <si>
    <t>MEDECRD012466CADENASNUTRESA</t>
  </si>
  <si>
    <t>MEDECRD012719CADENASNUTRESA</t>
  </si>
  <si>
    <t>MEDECRD023444CADENASNUTRESA</t>
  </si>
  <si>
    <t>MEDECRD002384CADENASNUTRESA</t>
  </si>
  <si>
    <t>MEDECRD012726CADENASNUTRESA</t>
  </si>
  <si>
    <t>MEDECRD001185CADENASNUTRESA</t>
  </si>
  <si>
    <t>MEDEACT000244TRADICIONALNUTRESA</t>
  </si>
  <si>
    <t>MEDEACT000017AUTOSERVICIONUTRESA</t>
  </si>
  <si>
    <t>MEDEACT000378AUTOSERVICIONUTRESA</t>
  </si>
  <si>
    <t>MEDECRD021334CADENASNUTRESA</t>
  </si>
  <si>
    <t>MEDECRD025017CADENASNUTRESA</t>
  </si>
  <si>
    <t>MEDECRD021331CADENASNUTRESA</t>
  </si>
  <si>
    <t>MEDEACT000279AUTOSERVICIONUTRESA</t>
  </si>
  <si>
    <t>MEDEACT000430AUTOSERVICIONUTRESA</t>
  </si>
  <si>
    <t>MEDEACT000423AUTOSERVICIONUTRESA</t>
  </si>
  <si>
    <t>MEDECRD024847CADENASBPO</t>
  </si>
  <si>
    <t>MEDECRD024443AUTOSERVICIOBPO</t>
  </si>
  <si>
    <t>MEDECRD025004TRADICIONALNUTRESA</t>
  </si>
  <si>
    <t>MEDECRD024980AUTOSERVICIONUTRESA</t>
  </si>
  <si>
    <t>MEDECRD024981AUTOSERVICIONUTRESA</t>
  </si>
  <si>
    <t>MEDECRD020854AUTOSERVICIOBPO</t>
  </si>
  <si>
    <t>MEDECRD020181CADENASBPO</t>
  </si>
  <si>
    <t>MEDECRD008623CADENASBPO</t>
  </si>
  <si>
    <t>MEDEACT000071AUTOSERVICIONUTRESA</t>
  </si>
  <si>
    <t>MEDEACT000091AUTOSERVICIONUTRESA</t>
  </si>
  <si>
    <t>MEDECRD018765CADENASBPO</t>
  </si>
  <si>
    <t>MEDECRD025006TRADICIONALNUTRESA</t>
  </si>
  <si>
    <t>PEREACT000436AUTOSERVICIOBPO</t>
  </si>
  <si>
    <t>PERECRD023685AUTOSERVICIONUTRESA</t>
  </si>
  <si>
    <t>PERECRD023598AUTOSERVICIONUTRESA</t>
  </si>
  <si>
    <t>PERECRD023597AUTOSERVICIONUTRESA</t>
  </si>
  <si>
    <t>PEREACT000434AUTOSERVICIONUTRESA</t>
  </si>
  <si>
    <t>PEREACT000027AUTOSERVICIONUTRESA</t>
  </si>
  <si>
    <t>PERECRD022897AUTOSERVICIOBPO</t>
  </si>
  <si>
    <t>PERECRD019458AUTOSERVICIONUTRESA</t>
  </si>
  <si>
    <t>PEREACT000063TRADICIONALNUTRESA</t>
  </si>
  <si>
    <t>PERECRD024844CADENASBPO</t>
  </si>
  <si>
    <t>PERECRD024842AUTOSERVICIOBPO</t>
  </si>
  <si>
    <t>PERECRD024845CADENASBPO</t>
  </si>
  <si>
    <t>PERECRD024845AUTOSERVICIOBPO</t>
  </si>
  <si>
    <t>PERECRD024844AUTOSERVICIOBPO</t>
  </si>
  <si>
    <t>PERECRD024843CADENASBPO</t>
  </si>
  <si>
    <t>PERECRD024843AUTOSERVICIOBPO</t>
  </si>
  <si>
    <t>PERECRD024842CADENASBPO</t>
  </si>
  <si>
    <t>PEREACT000300AUTOSERVICIONUTRESA</t>
  </si>
  <si>
    <t>PERECRD024849AUTOSERVICIONUTRESA</t>
  </si>
  <si>
    <t>PERECRD025017CADENASNUTRESA</t>
  </si>
  <si>
    <t>PERECRD012466CADENASNUTRESA</t>
  </si>
  <si>
    <t>PERECRD001185CADENASNUTRESA</t>
  </si>
  <si>
    <t>PERECRD010924CADENASNUTRESA</t>
  </si>
  <si>
    <t>PERECRD000911CADENASNUTRESA</t>
  </si>
  <si>
    <t>PERECRD002384CADENASNUTRESA</t>
  </si>
  <si>
    <t>PERECRD024981AUTOSERVICIONUTRESA</t>
  </si>
  <si>
    <t>PERECRD020909TRADICIONALNUTRESA</t>
  </si>
  <si>
    <t>PERECRD012726CADENASNUTRESA</t>
  </si>
  <si>
    <t>PERECRD012719CADENASNUTRESA</t>
  </si>
  <si>
    <t>PERECRD024980AUTOSERVICIONUTRESA</t>
  </si>
  <si>
    <t>PERECRD001182CADENASNUTRESA</t>
  </si>
  <si>
    <t>PERECRD023444CADENASNUTRESA</t>
  </si>
  <si>
    <t>PERECRD025004TRADICIONALNUTRESA</t>
  </si>
  <si>
    <t>PERECRD024956AUTOSERVICIONUTRESA</t>
  </si>
  <si>
    <t>PERECRD024908AUTOSERVICIONUTRESA</t>
  </si>
  <si>
    <t>PERECRD024955AUTOSERVICIONUTRESA</t>
  </si>
  <si>
    <t>PERECRD024874AUTOSERVICIONUTRESA</t>
  </si>
  <si>
    <t>PERECRD025010TRADICIONALNUTRESA</t>
  </si>
  <si>
    <t>PERECRD025009TRADICIONALNUTRESA</t>
  </si>
  <si>
    <t>PERECRD025008TRADICIONALNUTRESA</t>
  </si>
  <si>
    <t>PERECRD025002AUTOSERVICIONUTRESA</t>
  </si>
  <si>
    <t>PERECRD025001AUTOSERVICIONUTRESA</t>
  </si>
  <si>
    <t>PERECRD025006TRADICIONALNUTRESA</t>
  </si>
  <si>
    <t>PERECRD024517TRADICIONALNUTRESA</t>
  </si>
  <si>
    <t>PERECRD003576TRADICIONALNUTRESA</t>
  </si>
  <si>
    <t>PERECRD003574TRADICIONALNUTRESA</t>
  </si>
  <si>
    <t>PERECRD025005TRADICIONALNUTRESA</t>
  </si>
  <si>
    <t>PERECRD023441TRADICIONALNUTRESA</t>
  </si>
  <si>
    <t>PERECRD022568TRADICIONALNUTRESA</t>
  </si>
  <si>
    <t>PERECRD015482TRADICIONALNUTRESA</t>
  </si>
  <si>
    <t>PERECRD012718TRADICIONALNUTRESA</t>
  </si>
  <si>
    <t>PERECRD003973TRADICIONALNUTRESA</t>
  </si>
  <si>
    <t>PERECRD003605TRADICIONALNUTRESA</t>
  </si>
  <si>
    <t>PERECRD000245TRADICIONALNUTRESA</t>
  </si>
  <si>
    <t>PERECRD013796TRADICIONALNUTRESA</t>
  </si>
  <si>
    <t>PERECRD009805TRADICIONALNUTRESA</t>
  </si>
  <si>
    <t>PERECRD022897CADENASBPO</t>
  </si>
  <si>
    <t>PERECRD025021AUTOSERVICIONUTRESA</t>
  </si>
  <si>
    <t>PERECRD025020AUTOSERVICIONUTRESA</t>
  </si>
  <si>
    <t>VILACRD024946CADENASNUTRESA</t>
  </si>
  <si>
    <t>VILACRD024849AUTOSERVICIONUTRESA</t>
  </si>
  <si>
    <t>VILACRD025018TRADICIONALNUTRESA</t>
  </si>
  <si>
    <t>VILACRD022322TRADICIONALNUTRESA</t>
  </si>
  <si>
    <t>VILACRD022322AUTOSERVICIONUTRESA</t>
  </si>
  <si>
    <t>VILACRD024971TRADICIONALNUTRESA</t>
  </si>
  <si>
    <t>VILACRD025002AUTOSERVICIONUTRESA</t>
  </si>
  <si>
    <t>VILACRD025001AUTOSERVICIONUTRESA</t>
  </si>
  <si>
    <t>VILACRD025008TRADICIONALNUTRESA</t>
  </si>
  <si>
    <t>VILACRD025009TRADICIONALNUTRESA</t>
  </si>
  <si>
    <t>VILACRD025010TRADICIONALNUTRESA</t>
  </si>
  <si>
    <t>VILACRD025021AUTOSERVICIONUTRESA</t>
  </si>
  <si>
    <t>VILACRD025020AUTOSERVICIONUTRESA</t>
  </si>
  <si>
    <t>BARRACT000225TRADICIONALNUTRESA</t>
  </si>
  <si>
    <t>BARRCRD008430CADENASBPO</t>
  </si>
  <si>
    <t>BARRCRD019238CADENASBPO</t>
  </si>
  <si>
    <t>CALICRD019868CADENASBPO</t>
  </si>
  <si>
    <t>CALICRD023611CADENASBPO</t>
  </si>
  <si>
    <t>CARTCRD008430CADENASBPO</t>
  </si>
  <si>
    <t>MEDECRD023611CADENASBPO</t>
  </si>
  <si>
    <t>CALICRD021350CADENASBPO</t>
  </si>
  <si>
    <t>CALICRD014118CADENASBPO</t>
  </si>
  <si>
    <t>CALICRD014120CADENASBPO</t>
  </si>
  <si>
    <t>CALICRD021973CADENASBPO</t>
  </si>
  <si>
    <t>MEDECRD022670CADENASBPO</t>
  </si>
  <si>
    <t>MEDECRD021350CADENASBPO</t>
  </si>
  <si>
    <t>MEDECRD021973CADENASBPO</t>
  </si>
  <si>
    <t>MEDECRD024997CADENASNUTRESA</t>
  </si>
  <si>
    <t>MEDECRD014117CADENASBPO</t>
  </si>
  <si>
    <t>Etiquetas de fila</t>
  </si>
  <si>
    <t>#N/A</t>
  </si>
  <si>
    <t>Mes</t>
  </si>
  <si>
    <t>CRD024492</t>
  </si>
  <si>
    <t>CAJERO VENDEDOR MONTBLANC NAVIDAD 2021</t>
  </si>
  <si>
    <t>CRD024886</t>
  </si>
  <si>
    <t>AFICHE PLAN MATE LA ESPECIAL</t>
  </si>
  <si>
    <t>CRD024888</t>
  </si>
  <si>
    <t>BANDERINES PLAN MATE LA ESPECIAL</t>
  </si>
  <si>
    <t>BALCÓN PLAN MATE LA ESPECIAL</t>
  </si>
  <si>
    <t>KIT VESTIDO MUEBLE AUTO DEGUSTADOR CD - JET COCO</t>
  </si>
  <si>
    <t>CRD024906</t>
  </si>
  <si>
    <t>VESTIDOS MUEBLES CORONA /MAGDE</t>
  </si>
  <si>
    <t>INBIMA</t>
  </si>
  <si>
    <t>CRD024936</t>
  </si>
  <si>
    <t>OPEN MIND</t>
  </si>
  <si>
    <t>CRD023562</t>
  </si>
  <si>
    <t>VIALAMBRE</t>
  </si>
  <si>
    <t>ACT000481</t>
  </si>
  <si>
    <t>ACT000489</t>
  </si>
  <si>
    <t>ACT000549</t>
  </si>
  <si>
    <t>ACT000460</t>
  </si>
  <si>
    <t>ACT000465</t>
  </si>
  <si>
    <t>ACT000467</t>
  </si>
  <si>
    <t>CHISPAS NAVIDAD CARULLA EN FAMILIA</t>
  </si>
  <si>
    <t>TV NAVIDAD CARULLA EN FAMILIA</t>
  </si>
  <si>
    <t>NO</t>
  </si>
  <si>
    <t>CRD025035</t>
  </si>
  <si>
    <t>PUNTA DE GÓNDOLA CON FRONTAL CHOCOLISTO MÁS CONTENIDO GRATIS</t>
  </si>
  <si>
    <t>CHOCOLISTO MAS CONTENIDO GRATIS</t>
  </si>
  <si>
    <t>CRD025032</t>
  </si>
  <si>
    <t>EXHIBIDOR CHOCOLISTO MÁS CONTENIDO GRATIS</t>
  </si>
  <si>
    <t>CRD025033</t>
  </si>
  <si>
    <t>SHIPPER SOLO CHOCOLISTO MÁS CONTENIDO GRATIS</t>
  </si>
  <si>
    <t>CRD025034</t>
  </si>
  <si>
    <t>SHIPPER COMBINADO FESTIVAL CHOCOLISTO MÁS CONTENIDO GRATIS</t>
  </si>
  <si>
    <t>CRD025036</t>
  </si>
  <si>
    <t>VESTIDO DE REJILLA CHOCOLISTO MÁS CONTENIDO GRATIS</t>
  </si>
  <si>
    <t>CRD025037</t>
  </si>
  <si>
    <t>ESCUDO CHOCOLISTO MÁS CONTENIDO GRATIS</t>
  </si>
  <si>
    <t>ACT000554</t>
  </si>
  <si>
    <t>ESTIBA AUTOMUESTREO</t>
  </si>
  <si>
    <t>2021-11-27 10:36:56.801008</t>
  </si>
  <si>
    <t>0.000000</t>
  </si>
  <si>
    <t>2021-11-27 08:48:41.689326</t>
  </si>
  <si>
    <t>2021-12-01 09:48:42.608709</t>
  </si>
  <si>
    <t>2021-11-30 09:37:31.901578</t>
  </si>
  <si>
    <t>2021-12-01 14:34:27.266316</t>
  </si>
  <si>
    <t>POSTAL COLCAFE CLASICO</t>
  </si>
  <si>
    <t>2021-12-01 13:22:19.492605</t>
  </si>
  <si>
    <t>2021-12-01 13:22:34.27143</t>
  </si>
  <si>
    <t>2021-12-01 13:22:32.704793</t>
  </si>
  <si>
    <t>2021-12-01 13:22:25.993803</t>
  </si>
  <si>
    <t>2021-12-01 13:22:27.472502</t>
  </si>
  <si>
    <t>2021-12-01 13:22:14.430259</t>
  </si>
  <si>
    <t>2021-12-01 13:22:21.138958</t>
  </si>
  <si>
    <t>2021-12-01 13:22:12.903009</t>
  </si>
  <si>
    <t>2021-12-02 09:36:27.603979</t>
  </si>
  <si>
    <t>COLOMBINA MASIVA 80 CMS ROLLO 5 MTS NAVIDAD NOEL 2021</t>
  </si>
  <si>
    <t>2021-12-02 08:30:51.083786</t>
  </si>
  <si>
    <t>2021-12-05 21:21:39.568164</t>
  </si>
  <si>
    <t>SE RECIBE MATERIAL DE PROVEEDOR PLASTIPACK SA CON REMISION RM 83113, S/N</t>
  </si>
  <si>
    <t>2021-12-02 10:54:24.465432</t>
  </si>
  <si>
    <t>2021-12-06 22:08:49.836323</t>
  </si>
  <si>
    <t>SE RECIBE MATERIAL DE PROVEEDOR SOUVENIR MARKETING PROMOCIONAL SAS CON REMISION 30651, INGRESO FUERA DE TIEMPO POR ESPERA EN CARGUE DE AVISO DE LLEGADA</t>
  </si>
  <si>
    <t>BOLSA CEN</t>
  </si>
  <si>
    <t>2021-12-06 14:38:48.19462</t>
  </si>
  <si>
    <t>2021-12-07 10:44:32.617295</t>
  </si>
  <si>
    <t>2021-12-06 16:18:31.286557</t>
  </si>
  <si>
    <t>2021-12-07 10:45:27.504728</t>
  </si>
  <si>
    <t>2021-12-07 09:28:04.324147</t>
  </si>
  <si>
    <t>2021-12-09 07:30:33.908703</t>
  </si>
  <si>
    <t>2021-12-07 11:40:57.29872</t>
  </si>
  <si>
    <t>2021-12-13 10:35:23.338693</t>
  </si>
  <si>
    <t>2021-12-10 09:12:23.177526</t>
  </si>
  <si>
    <t>2021-12-10 09:13:17.488946</t>
  </si>
  <si>
    <t>2021-12-10 09:12:01.122205</t>
  </si>
  <si>
    <t>2021-12-10 09:12:56.818782</t>
  </si>
  <si>
    <t>2021-12-13 10:36:23.00436</t>
  </si>
  <si>
    <t>AYUDAVENTAS TACO DIA MIEL</t>
  </si>
  <si>
    <t>2021-12-10 09:21:35.900082</t>
  </si>
  <si>
    <t>2021-12-14 07:25:05.982018</t>
  </si>
  <si>
    <t>SE RECIBE MATERIAL DE PROVEEDOR IMPRESOS CON REMISIONES 23778 Y 23790, S/N</t>
  </si>
  <si>
    <t>2021-12-13 16:47:02.719505</t>
  </si>
  <si>
    <t>2021-12-13 16:47:09.001652</t>
  </si>
  <si>
    <t>MOVIL CAPPUCCINOS MAS BENEFICIOS</t>
  </si>
  <si>
    <t>2021-12-13 16:47:15.092331</t>
  </si>
  <si>
    <t>CHISPA CAPPUCCINOS MAS BENEFICIOS</t>
  </si>
  <si>
    <t>2021-12-13 16:47:20.134501</t>
  </si>
  <si>
    <t>AFICHE CAPPUCCINOS MAS BENEFICIOS</t>
  </si>
  <si>
    <t>2021-12-13 16:47:26.372333</t>
  </si>
  <si>
    <t>2021-12-17 08:10:45.834501</t>
  </si>
  <si>
    <t>SE RECIBE MATERIAL DE PROVEEDOR MERCICO CON REMISION 11138, FALTANTE DE 4 UND CRD024643 SEGUN REMISION. SOBRANTE DE 398 SEGUN AVISO DE LLEGADA CRD024643. PENDIENTE POR LLEGA DEMAS CODIGOS SEGUN AVISO</t>
  </si>
  <si>
    <t>2021-12-14 15:51:23.683573</t>
  </si>
  <si>
    <t>2021-12-17 08:22:57.206628</t>
  </si>
  <si>
    <t>2021-12-15 13:23:05.010951</t>
  </si>
  <si>
    <t>2021-12-15 13:22:58.492743</t>
  </si>
  <si>
    <t>2021-12-17 08:23:40.049046</t>
  </si>
  <si>
    <t>2021-12-15 14:09:07.214968</t>
  </si>
  <si>
    <t>2021-12-17 08:24:15.824055</t>
  </si>
  <si>
    <t>AYUDAVENTAS BUBRUJAS CC</t>
  </si>
  <si>
    <t>2021-12-15 15:30:58.982406</t>
  </si>
  <si>
    <t>2021-12-20 10:08:14.444942</t>
  </si>
  <si>
    <t>DEVOLUCION DE SAO 93 AUTOSERVICIO, RECOGIDA 3898, MUEBLE USADO CON PELADURAS, SIN CANDADO NI LLAVE</t>
  </si>
  <si>
    <t>KIT IMAGEN MUEBLE SINERGIA KIBO</t>
  </si>
  <si>
    <t>2021-12-17 16:50:30.080358</t>
  </si>
  <si>
    <t>2021-12-17 16:50:23.75194</t>
  </si>
  <si>
    <t>2021-12-20 10:08:21.466734</t>
  </si>
  <si>
    <t>DEVOLUCION DE SAO 094 VILLA CAROLINA, RECOGIA 3895, MUEBLE USADO CON PELADURAS Y QUEMADURA EN LA BANDEJA SUPERIOR</t>
  </si>
  <si>
    <t>2021-12-17 16:50:43.009835</t>
  </si>
  <si>
    <t>2021-12-17 16:50:56.071558</t>
  </si>
  <si>
    <t>2021-12-20 22:21:37.676929</t>
  </si>
  <si>
    <t>SE RECIBE MATERIAL DE PROVEEDOR OPEN MIND CON REMISION 3006, S/N</t>
  </si>
  <si>
    <t>CRD025013</t>
  </si>
  <si>
    <t>VESTIDO REJILLA SELLO ROJO CARNAVAL DE BARRANQUILLA 2021</t>
  </si>
  <si>
    <t>2021-12-20 22:22:17.817175</t>
  </si>
  <si>
    <t>CRD025015</t>
  </si>
  <si>
    <t>COLOMBINA/ROLLO SELLO ROJO CARNAVAL DE BARRANQUILLA 2021</t>
  </si>
  <si>
    <t>2021-12-20 22:22:29.403146</t>
  </si>
  <si>
    <t>CRD025014</t>
  </si>
  <si>
    <t>CABEZOTE CHIMENEA SELLO ROJO CARNAVAL DE BARRANQUILLA 2021</t>
  </si>
  <si>
    <t>2021-12-20 22:22:24.145138</t>
  </si>
  <si>
    <t>CRD025012</t>
  </si>
  <si>
    <t>PUNTA SENCILLA SELLO ROJO CARNAVAL DE BARRANQUILLA 2021</t>
  </si>
  <si>
    <t>2021-12-20 22:22:10.216434</t>
  </si>
  <si>
    <t>2021-12-20 22:35:38.185139</t>
  </si>
  <si>
    <t>SE RECIBE MATERIAL DE PROVEEDOR OPEN MIND CON REMISION 2992, S/N</t>
  </si>
  <si>
    <t>2021-12-20 22:35:57.222442</t>
  </si>
  <si>
    <t>2021-12-21 06:05:50.208484</t>
  </si>
  <si>
    <t>DEVOLUCION DE OLIMPICA AUTOSERVICIO CL 76, RECOGIDA 3896, MUEBLE EN MAL ESTADO, OXIDADO, ZONAS DOBLADAS, SIN CAMDADO NI LLAVES</t>
  </si>
  <si>
    <t>2021-12-21 07:45:26.589894</t>
  </si>
  <si>
    <t>2021-12-21 06:07:56.659742</t>
  </si>
  <si>
    <t>DEVOLUCION DE SUPERDROGUERIA OLIMPICA 53, RECOGIDA 3897, MUEBLE EN MAL ESTADO, OXIDADO, ZONAS DOBLADAS, SIN CAMDADO NI LLAVES</t>
  </si>
  <si>
    <t>2021-12-21 07:45:02.928789</t>
  </si>
  <si>
    <t>2021-12-21 06:10:20.901011</t>
  </si>
  <si>
    <t>DEVOLUCION DE CONFITERIAS DULCES Y GOLLSINAS JC, RECOGIDA 3891, NEVERA CON ALGUNOS RAYONES, NO LE FINCIONA TEMPPRIZADOR MEDIDOR DE TEMPERATURA</t>
  </si>
  <si>
    <t>2021-12-21 07:44:17.421542</t>
  </si>
  <si>
    <t>2021-12-21 06:13:00.151361</t>
  </si>
  <si>
    <t>SE RECIBE MATERIAL DE PROVEEDOR PAPEL CARD CON REMISION 2021-1651 S/N</t>
  </si>
  <si>
    <t>CRD025016</t>
  </si>
  <si>
    <t>ESCUDO SELLO ROJO CARNAVAL DE BARRANQUILLA 2021</t>
  </si>
  <si>
    <t>2021-12-21 07:57:12.672966</t>
  </si>
  <si>
    <t>2021-12-21 06:15:08.908565</t>
  </si>
  <si>
    <t>SE RECIBE MATERIAL DE PROVEEDOR PAPEL CARD CON REMISION 2021-1652 S/N</t>
  </si>
  <si>
    <t>2021-12-21 07:56:20.203695</t>
  </si>
  <si>
    <t>2021-12-21 21:21:02.006914</t>
  </si>
  <si>
    <t>SE RECIBE MATERIAL DE PROVEEDOR CREATING IDEAS CON REMISION 48867, S/N</t>
  </si>
  <si>
    <t>CRD019356</t>
  </si>
  <si>
    <t>MODULAR LEGO JUMBO CAD</t>
  </si>
  <si>
    <t>2021-12-21 21:22:36.653021</t>
  </si>
  <si>
    <t>CRD019355</t>
  </si>
  <si>
    <t>MODULAR LEGO JET CAD</t>
  </si>
  <si>
    <t>2021-12-21 21:22:24.939005</t>
  </si>
  <si>
    <t>CRD019354</t>
  </si>
  <si>
    <t>MODULAR LEGO LA ESPECIAL CAD</t>
  </si>
  <si>
    <t>2021-12-21 21:22:08.154225</t>
  </si>
  <si>
    <t>CRD019353</t>
  </si>
  <si>
    <t>MODULAR LEGO TOSH CAD</t>
  </si>
  <si>
    <t>2021-12-21 21:21:55.121158</t>
  </si>
  <si>
    <t>2021-12-22 07:12:36.245441</t>
  </si>
  <si>
    <t>SE RECIBE MATERIAL DE PROVEEDOR INNERCIA CON REMISION</t>
  </si>
  <si>
    <t>CRD025041</t>
  </si>
  <si>
    <t>EXHIBIDOR DE MOSTRADOR INFUSIONES TOSH</t>
  </si>
  <si>
    <t>2021-12-21 22:11:42.76123</t>
  </si>
  <si>
    <t>2021-11-30 15:27:28.761851</t>
  </si>
  <si>
    <t>2021-11-30 11:28:45.292337</t>
  </si>
  <si>
    <t>2021-11-30 15:27:00.806847</t>
  </si>
  <si>
    <t>2021-11-30 11:54:50.920906</t>
  </si>
  <si>
    <t>2021-11-30 11:54:01.573037</t>
  </si>
  <si>
    <t>2021-11-30 11:54:10.835316</t>
  </si>
  <si>
    <t>2021-11-30 11:55:14.844662</t>
  </si>
  <si>
    <t>2021-11-30 11:54:23.868971</t>
  </si>
  <si>
    <t>2021-11-30 11:53:15.017853</t>
  </si>
  <si>
    <t>2021-11-30 11:52:53.041185</t>
  </si>
  <si>
    <t>2021-11-30 11:53:31.514825</t>
  </si>
  <si>
    <t>2021-11-30 11:52:15.825162</t>
  </si>
  <si>
    <t>2021-11-30 11:55:02.853083</t>
  </si>
  <si>
    <t>2021-11-30 11:53:44.125836</t>
  </si>
  <si>
    <t>2021-11-30 11:52:39.565849</t>
  </si>
  <si>
    <t>2021-11-30 15:45:48.584062</t>
  </si>
  <si>
    <t>2021-11-30 14:36:01.508102</t>
  </si>
  <si>
    <t>2021-12-01 15:15:30.261861</t>
  </si>
  <si>
    <t>2021-12-01 11:47:17.160499</t>
  </si>
  <si>
    <t>2021-12-01 11:45:21.694754</t>
  </si>
  <si>
    <t>2021-12-01 11:45:01.840222</t>
  </si>
  <si>
    <t>2021-12-02 12:41:15.30052</t>
  </si>
  <si>
    <t>2021-12-02 11:37:59.396574</t>
  </si>
  <si>
    <t>2021-12-03 09:34:18.032823</t>
  </si>
  <si>
    <t>2021-12-03 06:33:47.84983</t>
  </si>
  <si>
    <t>2021-12-03 09:35:10.648957</t>
  </si>
  <si>
    <t>2021-12-03 06:44:17.511862</t>
  </si>
  <si>
    <t>2021-12-03 09:34:08.06956</t>
  </si>
  <si>
    <t>2021-12-03 07:36:13.933537</t>
  </si>
  <si>
    <t>TRADE GTA. DUX INTEGRAL BS. 9X3</t>
  </si>
  <si>
    <t>2021-12-03 07:31:12.20041</t>
  </si>
  <si>
    <t>2021-12-03 07:30:35.21705</t>
  </si>
  <si>
    <t>2021-12-03 07:29:19.955209</t>
  </si>
  <si>
    <t>2021-12-03 07:28:34.198725</t>
  </si>
  <si>
    <t>2021-12-03 07:37:01.356683</t>
  </si>
  <si>
    <t>2021-12-03 07:29:53.285</t>
  </si>
  <si>
    <t>2021-12-03 07:37:59.040838</t>
  </si>
  <si>
    <t>2021-12-04 13:21:05.504301</t>
  </si>
  <si>
    <t>2021-12-03 11:42:39.572424</t>
  </si>
  <si>
    <t>2021-12-04 13:22:50.235164</t>
  </si>
  <si>
    <t>2021-12-03 11:49:57.813911</t>
  </si>
  <si>
    <t>2021-12-04 13:22:13.04903</t>
  </si>
  <si>
    <t>2021-12-03 12:00:32.876474</t>
  </si>
  <si>
    <t>2021-12-04 12:19:29.632738</t>
  </si>
  <si>
    <t>2021-12-04 11:01:04.435447</t>
  </si>
  <si>
    <t>2021-12-06 17:07:55.399984</t>
  </si>
  <si>
    <t>2021-12-06 13:38:12.458248</t>
  </si>
  <si>
    <t>2021-12-07 16:38:56.440116</t>
  </si>
  <si>
    <t>2021-12-07 12:19:55.053448</t>
  </si>
  <si>
    <t>2021-12-09 12:18:02.546856</t>
  </si>
  <si>
    <t>2021-12-07 16:21:24.940062</t>
  </si>
  <si>
    <t>2021-12-09 12:18:19.27758</t>
  </si>
  <si>
    <t>2021-12-07 16:23:35.217639</t>
  </si>
  <si>
    <t>2021-12-09 12:18:32.962182</t>
  </si>
  <si>
    <t>2021-12-07 16:26:50.279739</t>
  </si>
  <si>
    <t>2021-12-09 17:20:58.161135</t>
  </si>
  <si>
    <t>2021-12-09 10:45:55.428277</t>
  </si>
  <si>
    <t>2021-12-09 17:20:32.370633</t>
  </si>
  <si>
    <t>2021-12-09 10:50:04.228667</t>
  </si>
  <si>
    <t>2021-12-11 12:56:35.196149</t>
  </si>
  <si>
    <t>2021-12-11 10:55:30.256177</t>
  </si>
  <si>
    <t>2021-12-13 18:01:09.436312</t>
  </si>
  <si>
    <t>2021-12-13 12:26:35.165929</t>
  </si>
  <si>
    <t>2021-12-13 12:26:56.228056</t>
  </si>
  <si>
    <t>2021-12-13 12:27:03.21046</t>
  </si>
  <si>
    <t>2021-12-13 12:26:18.591535</t>
  </si>
  <si>
    <t>2021-12-13 12:26:41.607533</t>
  </si>
  <si>
    <t>2021-12-13 18:01:18.628152</t>
  </si>
  <si>
    <t>2021-12-13 12:29:53.445555</t>
  </si>
  <si>
    <t>2021-12-13 12:29:38.737628</t>
  </si>
  <si>
    <t>2021-12-13 12:29:44.745308</t>
  </si>
  <si>
    <t>2021-12-13 12:29:58.62799</t>
  </si>
  <si>
    <t>2021-12-14 12:57:14.612316</t>
  </si>
  <si>
    <t>2021-12-13 16:24:26.562112</t>
  </si>
  <si>
    <t>2021-12-14 12:56:47.319457</t>
  </si>
  <si>
    <t>2021-12-13 16:29:19.702686</t>
  </si>
  <si>
    <t>2021-12-14 12:56:17.737847</t>
  </si>
  <si>
    <t>2021-12-13 17:36:35.536802</t>
  </si>
  <si>
    <t>2021-12-14 12:55:54.192842</t>
  </si>
  <si>
    <t>2021-12-13 17:39:51.371049</t>
  </si>
  <si>
    <t>2021-12-14 12:52:11.129672</t>
  </si>
  <si>
    <t>2021-12-14 10:13:17.078698</t>
  </si>
  <si>
    <t>2021-12-16 16:39:50.418247</t>
  </si>
  <si>
    <t>2021-12-16 11:38:16.114599</t>
  </si>
  <si>
    <t>2021-12-16 16:39:08.186621</t>
  </si>
  <si>
    <t>2021-12-16 11:44:56.844635</t>
  </si>
  <si>
    <t>2021-12-16 16:40:18.673799</t>
  </si>
  <si>
    <t>2021-12-16 11:48:23.595496</t>
  </si>
  <si>
    <t>2021-12-17 13:18:02.332036</t>
  </si>
  <si>
    <t>2021-12-16 17:14:14.078114</t>
  </si>
  <si>
    <t>2021-12-20 12:59:56.482213</t>
  </si>
  <si>
    <t>GUIA-1267</t>
  </si>
  <si>
    <t>SE RECIBE MATERIAL DE NUTRESA PARA SU INGRESO A INVENTARIO SEGUN GUIA-1267</t>
  </si>
  <si>
    <t>2021-12-20 07:51:58.019697</t>
  </si>
  <si>
    <t>2021-12-20 12:58:20.451238</t>
  </si>
  <si>
    <t>IDR-18225</t>
  </si>
  <si>
    <t>SE RECIBE MATERIAL DE NUTRESA PARA SU INGRESO A INVENTARIO SEGUN IDR-18225</t>
  </si>
  <si>
    <t>BOG10192022</t>
  </si>
  <si>
    <t>2021-12-20 11:15:21.896258</t>
  </si>
  <si>
    <t>2021-12-20 12:58:26.382082</t>
  </si>
  <si>
    <t>IDR-18227</t>
  </si>
  <si>
    <t>SE RECIBE MATERIAL DE NUTRESA PARA SU INGRESO A INVENTARIO SEGUN IDR-18227</t>
  </si>
  <si>
    <t>2021-12-20 11:23:43.595115</t>
  </si>
  <si>
    <t>2021-12-21 10:00:13.06772</t>
  </si>
  <si>
    <t>SE RECIBE MATERIAL DE NUTRESA PARA INGRESO A INVENTARIO SEGUN REMI-1655</t>
  </si>
  <si>
    <t>2021-12-20 17:39:21.036378</t>
  </si>
  <si>
    <t>2021-12-20 17:39:06.481707</t>
  </si>
  <si>
    <t>2021-12-21 10:48:57.903509</t>
  </si>
  <si>
    <t>SE RECIBE MATERIAL DE NUTRESA PARA INGRESO A INVENTARIO SEGUN REMI-1653</t>
  </si>
  <si>
    <t>2021-12-20 17:42:02.193786</t>
  </si>
  <si>
    <t>2021-12-20 17:42:10.953148</t>
  </si>
  <si>
    <t>2021-12-21 10:51:08.778822</t>
  </si>
  <si>
    <t>SE RECIBE MATERIAL DE NUTRESA PARA INGRESO A INVENTARIO SEGUN REMI-1653SE RECIBE MATERIAL DE NUTRESA PARA INGRESO A INVENTARIO SEGUN REMI-1654</t>
  </si>
  <si>
    <t>2021-12-20 17:45:00.557454</t>
  </si>
  <si>
    <t>2021-12-20 17:44:51.237496</t>
  </si>
  <si>
    <t>2021-12-21 10:54:14.176453</t>
  </si>
  <si>
    <t>2021-12-20 17:48:28.424327</t>
  </si>
  <si>
    <t>2021-12-21 10:55:37.601529</t>
  </si>
  <si>
    <t>SE RECIBE MATERIAL DE NUTRESA PARA INGRESO A INVENTARIO SEGUN REMI-1653SE RECIBE MATERIAL DE NUTRESA PARA INGRESO A INVENTARIO SEGUN REMI-32498</t>
  </si>
  <si>
    <t>2021-12-20 17:50:42.781628</t>
  </si>
  <si>
    <t>2021-12-21 10:52:59.626324</t>
  </si>
  <si>
    <t>SE RECIBE MATERIAL DE NUTRESA PARA INGRESO A INVENTARIO SEGUN REMI-1653SE RECIBE MATERIAL DE NUTRESA PARA INGRESO A INVENTARIO SEGUN REMI-32499</t>
  </si>
  <si>
    <t>2021-12-20 17:57:01.101708</t>
  </si>
  <si>
    <t>2021-12-21 16:12:13.670168</t>
  </si>
  <si>
    <t>SE RECIBE MATERIAL DE NUTRESA PARA INGRESO A INVENTARIO SEGUN REMI-38965</t>
  </si>
  <si>
    <t>2021-12-21 12:38:00.481621</t>
  </si>
  <si>
    <t>2021-12-21 16:12:30.628545</t>
  </si>
  <si>
    <t>SE RECIBE MATERIAL DE NUTRESA PARA INGRESO A INVENTARIO SEGUN REMI-38960</t>
  </si>
  <si>
    <t>2021-12-21 12:40:38.359836</t>
  </si>
  <si>
    <t>2021-12-21 16:12:44.629195</t>
  </si>
  <si>
    <t>SE RECIBE MATERIAL DE NUTRESA PARA INGRESO A INVENTARIO SEGUN REMI-1203</t>
  </si>
  <si>
    <t>CRD025040</t>
  </si>
  <si>
    <t>SHIPPER INFUSIONES TOSH</t>
  </si>
  <si>
    <t>2021-12-21 12:44:04.262017</t>
  </si>
  <si>
    <t>2021-12-21 16:13:03.947799</t>
  </si>
  <si>
    <t>2965.</t>
  </si>
  <si>
    <t>SE RECIBE MATERIAL DE NUTRESA PARA INGRESO A INVENTARIO SEGUN REMI-2965.</t>
  </si>
  <si>
    <t>2021-12-21 12:48:48.333922</t>
  </si>
  <si>
    <t>2021-12-21 16:13:38.945467</t>
  </si>
  <si>
    <t>SE RECIBE MATERIAL DE NUTRESA PARA INGRESO A INVENTARIO SEGUN REMI-38964</t>
  </si>
  <si>
    <t>2021-12-21 12:51:18.251911</t>
  </si>
  <si>
    <t>2021-12-21 16:14:03.311602</t>
  </si>
  <si>
    <t>SE RECIBE MATERIAL DE NUTRESA PARA INGRESO A INVENTARIO SEGUN REMI-38959</t>
  </si>
  <si>
    <t>2021-12-21 12:55:21.790056</t>
  </si>
  <si>
    <t>2021-11-30 11:56:37.168826</t>
  </si>
  <si>
    <t>2021-11-30 11:54:59.477688</t>
  </si>
  <si>
    <t>2021-11-30 11:55:05.811402</t>
  </si>
  <si>
    <t>2021-11-30 11:54:56.396066</t>
  </si>
  <si>
    <t>2021-11-30 11:54:55.211374</t>
  </si>
  <si>
    <t>2021-11-30 11:55:00.818597</t>
  </si>
  <si>
    <t>2021-11-30 11:54:47.591861</t>
  </si>
  <si>
    <t>2021-11-30 11:54:48.737557</t>
  </si>
  <si>
    <t>2021-11-30 11:55:04.782355</t>
  </si>
  <si>
    <t>2021-12-02 13:17:49.85344</t>
  </si>
  <si>
    <t>2021-12-02 13:17:01.29646</t>
  </si>
  <si>
    <t>2021-12-06 16:45:02.909406</t>
  </si>
  <si>
    <t>2021-12-06 16:43:40.013265</t>
  </si>
  <si>
    <t>2021-12-06 16:43:36.349341</t>
  </si>
  <si>
    <t>2021-12-06 16:43:33.163974</t>
  </si>
  <si>
    <t>2021-12-06 16:43:44.155998</t>
  </si>
  <si>
    <t>2021-12-14 09:20:53.887555</t>
  </si>
  <si>
    <t>2021-12-14 09:13:01.119318</t>
  </si>
  <si>
    <t>2021-12-14 09:13:05.148344</t>
  </si>
  <si>
    <t>2021-12-14 09:12:57.616299</t>
  </si>
  <si>
    <t>2021-12-14 09:00:54.038449</t>
  </si>
  <si>
    <t>2021-12-14 09:00:17.051335</t>
  </si>
  <si>
    <t>2021-12-14 09:00:13.940566</t>
  </si>
  <si>
    <t>2021-12-14 09:36:07.741805</t>
  </si>
  <si>
    <t>2021-12-14 09:35:48.693055</t>
  </si>
  <si>
    <t>2021-12-16 11:11:35.531817</t>
  </si>
  <si>
    <t>2021-12-16 11:11:15.135137</t>
  </si>
  <si>
    <t>2021-12-17 13:48:03.200326</t>
  </si>
  <si>
    <t>2021-12-17 13:47:08.231291</t>
  </si>
  <si>
    <t>2021-12-17 16:48:54.584517</t>
  </si>
  <si>
    <t>SE RECIBE MATERIAL DEL PROVEEDOR PAPELCARD CON REMISIÃ“N NÂ°1658 SIN NOVEDAD</t>
  </si>
  <si>
    <t>2021-12-17 16:47:20.629794</t>
  </si>
  <si>
    <t>2021-12-17 16:47:23.959703</t>
  </si>
  <si>
    <t>2021-12-17 16:45:29.641784</t>
  </si>
  <si>
    <t>SE RECIBE MATERIAL DEL PROVEEDOR MARQUILLAS CON REMISIÃ“N NÂ°CRV-32505 SIN NOVEDAD</t>
  </si>
  <si>
    <t>2021-12-17 16:45:09.901222</t>
  </si>
  <si>
    <t>2021-12-21 10:56:30.64789</t>
  </si>
  <si>
    <t>SE RECIBE MATERIAL DEL PROVEEDOR INNERCIA CON REMISIÃ“N NÂ°38953 SIN NOVEDAD</t>
  </si>
  <si>
    <t>2021-12-21 10:55:36.746493</t>
  </si>
  <si>
    <t>2021-12-21 10:55:24.870161</t>
  </si>
  <si>
    <t>SE RECIBE MATERIAL DEL PROVEEDOR INNERCIA CON REMISIÃ“N NÂ°38950 SIN NOVEDAD</t>
  </si>
  <si>
    <t>2021-12-21 10:54:34.716708</t>
  </si>
  <si>
    <t>2021-12-21 10:55:28.668799</t>
  </si>
  <si>
    <t>2021-12-21 10:54:45.403719</t>
  </si>
  <si>
    <t>2021-12-21 10:28:02.747539</t>
  </si>
  <si>
    <t>2021-12-21 10:55:43.976082</t>
  </si>
  <si>
    <t>2021-11-29 13:17:35.623217</t>
  </si>
  <si>
    <t>DEV. DEL PDV "SURTIALAMEDA" CON RECOGIDA NÂ°190648 -</t>
  </si>
  <si>
    <t>2021-11-29 12:03:29.202509</t>
  </si>
  <si>
    <t>2021-11-29 13:15:00.630082</t>
  </si>
  <si>
    <t>SE RECIBE MATERIAL DEL PROVEEDOR "IMPRESOS" CON REMISIÃ“N NÂ° 23492</t>
  </si>
  <si>
    <t>2021-11-29 12:13:59.833506</t>
  </si>
  <si>
    <t>2021-11-29 12:14:11.256407</t>
  </si>
  <si>
    <t>2021-11-29 12:14:09.449507</t>
  </si>
  <si>
    <t>2021-11-29 12:13:58.464484</t>
  </si>
  <si>
    <t>2021-11-29 12:13:47.947971</t>
  </si>
  <si>
    <t>2021-11-29 12:13:46.396179</t>
  </si>
  <si>
    <t>2021-11-29 12:12:21.431513</t>
  </si>
  <si>
    <t>2021-11-29 12:12:43.292509</t>
  </si>
  <si>
    <t>2021-12-01 07:06:39.006231</t>
  </si>
  <si>
    <t>SE RECIBE MATERIAL DEL PROVEEDOR "CARTONERIA INDUSTRIAL" CON REMISIÃ“N NÂ° - 74598</t>
  </si>
  <si>
    <t>2021-11-30 18:14:33.253598</t>
  </si>
  <si>
    <t>2021-12-01 15:14:05.908272</t>
  </si>
  <si>
    <t>SE RECIBE MATERIAL DEL PROVEEDOR "NUTREASA" CON GUIA NÂ° - 700065170456</t>
  </si>
  <si>
    <t>2021-12-01 11:18:34.981269</t>
  </si>
  <si>
    <t>2021-12-01 15:09:45.791572</t>
  </si>
  <si>
    <t>SE RECIBE MATERIAL DEL PROVEEDOR "SOUVENIR" CON REMISIÃ“N NÂ° - 30648</t>
  </si>
  <si>
    <t>2021-12-01 14:10:39.648867</t>
  </si>
  <si>
    <t>2021-12-02 18:02:57.205803</t>
  </si>
  <si>
    <t>SE RECIBE MATERIAL DEL PROVEEDOR "PLASTIPACK" CON REMISIÃ“N NÂ° - 83116</t>
  </si>
  <si>
    <t>2021-12-02 09:09:43.864978</t>
  </si>
  <si>
    <t>2021-12-06 09:53:49.87044</t>
  </si>
  <si>
    <t>DEV. DEL PDV "TALLER APUNTO" CON RECOGIDA NÂ° -5356</t>
  </si>
  <si>
    <t>2021-12-02 07:44:29.406664</t>
  </si>
  <si>
    <t>2021-12-06 09:28:03.482276</t>
  </si>
  <si>
    <t>DEV. DEL PDV "OPERAR CALI" CON RECOGIDA NÂ° 5367-</t>
  </si>
  <si>
    <t>2021-12-04 08:18:26.849431</t>
  </si>
  <si>
    <t>2021-12-13 10:35:48.454479</t>
  </si>
  <si>
    <t>SE RECIBE MATERIAL DEL PROVEEDOR "MARQUILLAS" CON REMISIÃ“N NÂ° - CRV-32282</t>
  </si>
  <si>
    <t>2021-12-11 08:47:02.099651</t>
  </si>
  <si>
    <t>2021-12-13 11:24:57.10179</t>
  </si>
  <si>
    <t>SE RECIBE MATERIAL DEL PROVEEDOR "OPENMINDS" CON REMISIÃ“N NÂ° - 2949</t>
  </si>
  <si>
    <t>2021-12-13 10:59:12.798912</t>
  </si>
  <si>
    <t>2021-12-14 15:38:40.793214</t>
  </si>
  <si>
    <t>SE RECIBE MATERIAL DEL PROVEEDOR "IMPRESOS" CON REMISIÃ“N NÂ° - 23785</t>
  </si>
  <si>
    <t>2021-12-14 08:10:40.813479</t>
  </si>
  <si>
    <t>2021-12-14 08:10:28.850199</t>
  </si>
  <si>
    <t>2021-12-15 10:33:09.693161</t>
  </si>
  <si>
    <t>SE RECIBE MATERIAL DEL PROVEEDOR "IMPRESOS" CON REMISIÃ“N NÂ° - 23794</t>
  </si>
  <si>
    <t>2021-12-14 16:53:47.61816</t>
  </si>
  <si>
    <t>2021-12-14 16:53:24.948328</t>
  </si>
  <si>
    <t>2021-12-14 16:53:37.355994</t>
  </si>
  <si>
    <t>2021-12-15 10:33:48.140742</t>
  </si>
  <si>
    <t>DEV. DEL PDV "GARCIA GIRALDO" CON RECOGIDA NÂ°5421 -</t>
  </si>
  <si>
    <t>2021-12-14 16:49:04.159761</t>
  </si>
  <si>
    <t>2021-12-14 16:48:42.739716</t>
  </si>
  <si>
    <t>2021-12-15 10:31:05.605781</t>
  </si>
  <si>
    <t>SE RECIBE MATERIAL DEL PROVEEDOR "MARQUILLAS" CON REMISIÃ“N NÂ° - 4502232635</t>
  </si>
  <si>
    <t>2021-12-15 07:54:14.995414</t>
  </si>
  <si>
    <t>2021-12-15 10:29:37.529185</t>
  </si>
  <si>
    <t>SE RECIBE MATERIAL DEL PROVEEDOR "LANDERS" CON FACTURA NÂ° 1205247-</t>
  </si>
  <si>
    <t>2021-12-15 08:05:23.632131</t>
  </si>
  <si>
    <t>2021-12-16 15:04:50.072997</t>
  </si>
  <si>
    <t>SE RECIBE MATERIAL DEL PROVEEDOR "OPEN MINDS" CON REMISIÃ“N NÂ° 2992</t>
  </si>
  <si>
    <t>2021-12-16 14:50:15.518272</t>
  </si>
  <si>
    <t>2021-12-17 11:30:11.343361</t>
  </si>
  <si>
    <t>DEV. DEL PDV "PRICESMART CALI" CON RECOGIDA NÂ°5433-</t>
  </si>
  <si>
    <t>2021-12-17 11:21:50.814617</t>
  </si>
  <si>
    <t>2021-12-17 11:21:40.420161</t>
  </si>
  <si>
    <t>2021-12-17 11:22:25.509284</t>
  </si>
  <si>
    <t>2021-12-17 11:19:37.603546</t>
  </si>
  <si>
    <t>2021-12-17 14:18:34.679827</t>
  </si>
  <si>
    <t>DEV. DEL PDV "PRICESMART CALI MENGA" CON RECOGIDA NÂ° 5432- MUEBLE PELADO</t>
  </si>
  <si>
    <t>2021-12-17 13:42:58.495158</t>
  </si>
  <si>
    <t>2021-12-17 14:47:56.941658</t>
  </si>
  <si>
    <t>SE RECIBE MATERIAL DEL PROVEEDOR "PAPELCARD" CON REMISIÃ“N NÂ° 2021-1660-</t>
  </si>
  <si>
    <t>2021-12-17 14:42:51.538401</t>
  </si>
  <si>
    <t>2021-12-17 14:42:42.011993</t>
  </si>
  <si>
    <t>2021-12-17 14:48:31.409483</t>
  </si>
  <si>
    <t>SE RECIBE MATERIAL DEL PROVEEDOR "PAPELCARD" CON REMISIÃ“N NÂ° 2021-1659-</t>
  </si>
  <si>
    <t>2021-12-17 14:41:40.334797</t>
  </si>
  <si>
    <t>2021-12-17 14:41:30.390212</t>
  </si>
  <si>
    <t>2021-12-17 16:23:07.501224</t>
  </si>
  <si>
    <t>DEV. DEL PDV "PRICESMART CALI MENGA" CON RECOGIDA NÂ° - 5433</t>
  </si>
  <si>
    <t>2021-12-17 15:58:18.462676</t>
  </si>
  <si>
    <t>2021-12-17 15:58:35.84309</t>
  </si>
  <si>
    <t>2021-12-17 16:04:19.967245</t>
  </si>
  <si>
    <t>2021-12-17 16:03:34.089795</t>
  </si>
  <si>
    <t>CAL03042022</t>
  </si>
  <si>
    <t>2021-12-17 16:02:46.719203</t>
  </si>
  <si>
    <t>2021-12-17 16:01:31.797454</t>
  </si>
  <si>
    <t>2021-12-17 16:01:20.949851</t>
  </si>
  <si>
    <t>2021-12-17 16:01:05.490518</t>
  </si>
  <si>
    <t>2021-12-17 16:00:23.437745</t>
  </si>
  <si>
    <t>2021-12-17 15:57:35.40702</t>
  </si>
  <si>
    <t>2021-12-17 15:59:27.819067</t>
  </si>
  <si>
    <t>2021-12-20 12:53:17.340992</t>
  </si>
  <si>
    <t>SE RECIBE MATERIAL DEL PROVEEDOR "INBIMA" CON REMISIÃ“N NÂ° - 47942</t>
  </si>
  <si>
    <t>CRD025026</t>
  </si>
  <si>
    <t>KIT DE IMAGENES PARA ESTIBA MULTIMARCA KIT 2021</t>
  </si>
  <si>
    <t>HMCAMPO</t>
  </si>
  <si>
    <t>2021-12-20 12:10:53.641084</t>
  </si>
  <si>
    <t>2021-11-30 08:44:47.968402</t>
  </si>
  <si>
    <t>C/N 21438</t>
  </si>
  <si>
    <t>SE RECIBE MATERIAL DEL PROVEEDOR POP DISEÃ‘O Y PRODUCCION SAS CON REMISION N# 21438 CON NOVEDAD DE QUE LLEGARON 2 UNIDADES DEL CODIGO CRD024946 AVERIADAS</t>
  </si>
  <si>
    <t>2021-11-30 08:43:32.033072</t>
  </si>
  <si>
    <t>2021-11-30 08:43:34.054398</t>
  </si>
  <si>
    <t>2021-11-30 08:43:19.013899</t>
  </si>
  <si>
    <t>2021-11-30 10:53:41.239736</t>
  </si>
  <si>
    <t>C/N 1549</t>
  </si>
  <si>
    <t>DEV. DEL PDV 10518231 MEGA TIENDAS OLAYA HERRERA POR FINALIZACION O CANCELACION DEL EVENTO DEPACHO N# 36965 CON NOVEDAD</t>
  </si>
  <si>
    <t>2021-11-30 10:52:41.07763</t>
  </si>
  <si>
    <t>2021-11-30 14:03:26.517366</t>
  </si>
  <si>
    <t>C/N 1535</t>
  </si>
  <si>
    <t>DEV. DEL PDV 10198400 DISTRUBUCIONES RIO GRANDE POR FINALIZACION O CANCELACION DEL EVENTO CON RECOGIDA N# 1535 CON NOVEDAD</t>
  </si>
  <si>
    <t>2021-11-30 14:02:23.349496</t>
  </si>
  <si>
    <t>2021-12-02 13:58:23.281018</t>
  </si>
  <si>
    <t>2021-12-02 13:50:25.12103</t>
  </si>
  <si>
    <t>2021-12-02 13:51:08.298427</t>
  </si>
  <si>
    <t>2021-12-02 13:50:57.402396</t>
  </si>
  <si>
    <t>2021-12-02 13:50:14.681876</t>
  </si>
  <si>
    <t>2021-12-02 13:51:21.646683</t>
  </si>
  <si>
    <t>2021-12-02 13:51:16.094579</t>
  </si>
  <si>
    <t>2021-12-06 15:10:54.362214</t>
  </si>
  <si>
    <t>C/N 37230</t>
  </si>
  <si>
    <t>DEV. DEL PDV DE MEGATIENDAS PRADO FINALIZACION Y/O CANCELACION DEL EVENTO CON DESPACHO N# 37230 CON NOVEDAD AVERIADO ACRILICO RAYADO Y MANCHADO</t>
  </si>
  <si>
    <t>2021-12-06 15:09:46.212914</t>
  </si>
  <si>
    <t>2021-12-06 15:16:09.076304</t>
  </si>
  <si>
    <t>S/N 83112</t>
  </si>
  <si>
    <t>SE RECIBE MATERIAL DEL PROVEEDOR PLASTIPACK S.A.S CON REMISION N# 83112 SIN NOVEDAD</t>
  </si>
  <si>
    <t>2021-12-06 15:15:20.158619</t>
  </si>
  <si>
    <t>2021-12-07 15:20:51.094266</t>
  </si>
  <si>
    <t>S/N 2852</t>
  </si>
  <si>
    <t>2021-12-07 15:19:50.46958</t>
  </si>
  <si>
    <t>2021-12-10 08:36:08.649115</t>
  </si>
  <si>
    <t>S/N 37319</t>
  </si>
  <si>
    <t>2021-12-10 08:34:20.539163</t>
  </si>
  <si>
    <t>2021-12-10 10:54:40.810127</t>
  </si>
  <si>
    <t>2021-12-10 10:53:50.672887</t>
  </si>
  <si>
    <t>2021-12-10 14:21:23.51769</t>
  </si>
  <si>
    <t>C/N 42657</t>
  </si>
  <si>
    <t>SE RECIBE MATERIAL DEL PROVEEDOR SILA GROUP S.A.S CON REMISION N# 42657 CON NOVEDAD DE QUE LAS IMAGENES FISICAS NO COINCIDEN CON LA DEL SISITEMA Y FALTANTE DE 2 UNIDADES CODIGO CRD024647</t>
  </si>
  <si>
    <t>2021-12-10 14:19:10.834412</t>
  </si>
  <si>
    <t>2021-12-10 14:19:03.278672</t>
  </si>
  <si>
    <t>2021-12-10 14:18:48.915169</t>
  </si>
  <si>
    <t>2021-12-10 14:18:44.336219</t>
  </si>
  <si>
    <t>2021-12-14 14:26:25.19867</t>
  </si>
  <si>
    <t>S/N 23786</t>
  </si>
  <si>
    <t>2021-12-14 14:24:54.914306</t>
  </si>
  <si>
    <t>2021-12-14 14:24:29.841842</t>
  </si>
  <si>
    <t>2021-12-14 15:04:56.173093</t>
  </si>
  <si>
    <t>2021-12-14 15:02:48.933325</t>
  </si>
  <si>
    <t>2021-12-14 15:02:25.363</t>
  </si>
  <si>
    <t>2021-12-14 15:02:04.608105</t>
  </si>
  <si>
    <t>2021-12-15 07:41:15.135567</t>
  </si>
  <si>
    <t>2021-12-15 07:39:28.211937</t>
  </si>
  <si>
    <t>2021-12-17 09:48:33.285977</t>
  </si>
  <si>
    <t>S/N CRV32502</t>
  </si>
  <si>
    <t>2021-12-17 09:46:52.382995</t>
  </si>
  <si>
    <t>2021-12-20 11:43:13.614183</t>
  </si>
  <si>
    <t>S/N 2992</t>
  </si>
  <si>
    <t>SE RECIBE MATERIAL DEL PROVEEDOR OPEN MIND CON REMISION N# 2992 SIN NOVEDAD</t>
  </si>
  <si>
    <t>2021-12-20 11:42:41.141433</t>
  </si>
  <si>
    <t>2021-12-20 11:46:52.687066</t>
  </si>
  <si>
    <t>S/N 2021-1661</t>
  </si>
  <si>
    <t>SE RECIBE MATERIAL DEL PROVEEDOR PAPELCARD SAS CON REMISION N# 2021-1661 SIN NOVEDAD</t>
  </si>
  <si>
    <t>2021-12-20 11:46:20.379797</t>
  </si>
  <si>
    <t>2021-12-20 14:09:13.952488</t>
  </si>
  <si>
    <t>C/N 1573</t>
  </si>
  <si>
    <t>DEV. DEL PDV JUMBO CARTAGENA CARIBE POR FINALIZACION O CANCELACION DEL EVENTO DEPACHO N# 37499 CON NOVEDAD IMAGEN RAYADA</t>
  </si>
  <si>
    <t>2021-12-20 14:07:09.11764</t>
  </si>
  <si>
    <t>2021-12-20 14:07:37.563483</t>
  </si>
  <si>
    <t>2021-12-20 14:15:31.45414</t>
  </si>
  <si>
    <t>C/N 1574</t>
  </si>
  <si>
    <t>DEV. DEL PDV DE MEGATIENDAS BOCAGRANDE POR FINALIZACION O CANCELACION DEL EVENTO DEPACHO N# 37500 CON NOVEDAD MUEBLE SUCIO, GOPEADO, OXIDO</t>
  </si>
  <si>
    <t>2021-12-20 14:14:24.927673</t>
  </si>
  <si>
    <t>2021-12-20 14:27:40.23624</t>
  </si>
  <si>
    <t>S/N 1570</t>
  </si>
  <si>
    <t>DEV. DEL PDV DE CARULLA CASTILLOGRANDE POR FINALIZACION O CANCELACION DEL EVENTO DEPACHO N# 37497 SIN NOVEDAD</t>
  </si>
  <si>
    <t>RALLADOR IMPULSO MONTICELLO</t>
  </si>
  <si>
    <t>2021-12-20 14:26:36.315611</t>
  </si>
  <si>
    <t>2021-12-20 16:38:20.919998</t>
  </si>
  <si>
    <t>S/N 1547</t>
  </si>
  <si>
    <t>DEV. DEL PDV 10734652 GRANOS Y LEGUMBRES EL BARATON POR FINALIZACION Y/O CANCELACION DEL EVENTO CON RECOGIDA N# 1547 SE INGRESA MATERIAL EN ESTADO DE USADO</t>
  </si>
  <si>
    <t>NEVERA GOLOSINAS TRADICIONAL COMPRESOR</t>
  </si>
  <si>
    <t>2021-12-20 16:37:31.938301</t>
  </si>
  <si>
    <t>2021-12-21 11:34:51.036754</t>
  </si>
  <si>
    <t>S/N 48868</t>
  </si>
  <si>
    <t>SE RECIBE MATERIAL DEL PROVEEDOR CREATINFG IDEAS CON REMISIÃ“N N# 48868-1 SIN NOVEDAD</t>
  </si>
  <si>
    <t>2021-12-21 11:33:21.915999</t>
  </si>
  <si>
    <t>2021-12-21 11:33:16.866281</t>
  </si>
  <si>
    <t>2021-12-21 11:33:31.96723</t>
  </si>
  <si>
    <t>2021-12-22 11:26:10.876049</t>
  </si>
  <si>
    <t>S/N 0C2</t>
  </si>
  <si>
    <t>SE RECIBE MATERIAL DEL PROVEEDOR INNERCIA CON REMISION N# 38951 SIN NOVEDAD</t>
  </si>
  <si>
    <t>2021-12-22 11:23:59.617188</t>
  </si>
  <si>
    <t>2021-11-27 08:31:48.234781</t>
  </si>
  <si>
    <t>2021-11-27 08:30:59.229067</t>
  </si>
  <si>
    <t>2021-11-27 11:11:47.833294</t>
  </si>
  <si>
    <t>2021-11-27 11:07:22.818133</t>
  </si>
  <si>
    <t>2021-11-29 16:56:54.177413</t>
  </si>
  <si>
    <t>2021-11-29 16:55:21.673081</t>
  </si>
  <si>
    <t>2021-11-29 17:03:22.140181</t>
  </si>
  <si>
    <t>2021-11-29 17:02:41.639014</t>
  </si>
  <si>
    <t>2021-11-30 15:59:00.207726</t>
  </si>
  <si>
    <t>2021-11-30 15:55:22.013951</t>
  </si>
  <si>
    <t>2021-11-30 15:55:11.680209</t>
  </si>
  <si>
    <t>2021-11-30 15:55:13.189912</t>
  </si>
  <si>
    <t>2021-11-30 15:55:30.303221</t>
  </si>
  <si>
    <t>2021-11-30 15:55:20.691302</t>
  </si>
  <si>
    <t>2021-11-30 15:55:04.157024</t>
  </si>
  <si>
    <t>2021-11-30 15:55:29.017538</t>
  </si>
  <si>
    <t>2021-11-30 15:55:02.689491</t>
  </si>
  <si>
    <t>2021-12-01 14:16:04.348913</t>
  </si>
  <si>
    <t>2021-12-01 14:14:08.50771</t>
  </si>
  <si>
    <t>2021-12-01 14:14:27.280254</t>
  </si>
  <si>
    <t>2021-12-01 14:13:44.898114</t>
  </si>
  <si>
    <t>2021-12-01 14:13:23.073449</t>
  </si>
  <si>
    <t>2021-12-01 14:24:10.13513</t>
  </si>
  <si>
    <t>2021-12-01 14:23:32.186095</t>
  </si>
  <si>
    <t>2021-12-01 14:31:09.158164</t>
  </si>
  <si>
    <t>2021-12-01 14:29:59.773475</t>
  </si>
  <si>
    <t>2021-12-01 14:29:33.414584</t>
  </si>
  <si>
    <t>2021-12-02 14:58:41.668546</t>
  </si>
  <si>
    <t>SE RECIBE DE VIALAMBRE CON REMI 048392 SN</t>
  </si>
  <si>
    <t>BALCON CROSS DOBLE LA BASTILLA KIT AU 2021</t>
  </si>
  <si>
    <t>2021-12-02 14:57:54.884043</t>
  </si>
  <si>
    <t>2021-12-02 15:08:03.972142</t>
  </si>
  <si>
    <t>2021-12-02 15:05:17.26648</t>
  </si>
  <si>
    <t>2021-12-02 15:05:24.574767</t>
  </si>
  <si>
    <t>2021-12-02 15:17:13.077762</t>
  </si>
  <si>
    <t>2021-12-02 15:16:32.09419</t>
  </si>
  <si>
    <t>2021-12-02 15:15:05.547914</t>
  </si>
  <si>
    <t>2021-12-02 15:21:47.505113</t>
  </si>
  <si>
    <t>SE RECIBE DE METRO SANTA LUCIA NEIVA CON RECO 896 SN</t>
  </si>
  <si>
    <t>2021-12-02 15:20:39.868795</t>
  </si>
  <si>
    <t>2021-12-03 12:52:02.974561</t>
  </si>
  <si>
    <t>2021-12-03 12:51:16.915401</t>
  </si>
  <si>
    <t>2021-12-04 12:24:08.682618</t>
  </si>
  <si>
    <t>2021-12-03 12:55:16.875173</t>
  </si>
  <si>
    <t>2021-12-03 13:00:03.857174</t>
  </si>
  <si>
    <t>SE RECIBE DE MERCACENTRO 10 IBAGUE CON RECO 901 SE INGRESA MUEBLE EN AVERIA PINTURA DETERIORADA</t>
  </si>
  <si>
    <t>2021-12-03 12:59:28.807632</t>
  </si>
  <si>
    <t>2021-12-10 13:49:50.077501</t>
  </si>
  <si>
    <t>2021-12-10 13:48:18.909476</t>
  </si>
  <si>
    <t>2021-12-10 14:26:38.725179</t>
  </si>
  <si>
    <t>SE RECIBE DE CARTONERIA INDUSTRIAL CON REMI 74772 SN</t>
  </si>
  <si>
    <t>2021-12-10 14:25:02.397714</t>
  </si>
  <si>
    <t>2021-12-10 16:10:08.282837</t>
  </si>
  <si>
    <t>SE RECIBE DE OPEN MIND CON REMI 2949 LLEGAN 453 UNI</t>
  </si>
  <si>
    <t>2021-12-10 16:09:26.775317</t>
  </si>
  <si>
    <t>2021-12-15 10:20:32.850091</t>
  </si>
  <si>
    <t>SE RECIBE DESURTIPLAZA IBAGUE CON RECO 906 DEMORA EN EL INGRESO POR INVENTARIO FINAL DE AÃ‘O</t>
  </si>
  <si>
    <t>2021-12-15 10:17:46.053942</t>
  </si>
  <si>
    <t>2021-12-15 10:18:03.114343</t>
  </si>
  <si>
    <t>2021-12-15 10:18:30.781709</t>
  </si>
  <si>
    <t>2021-12-15 10:33:46.431479</t>
  </si>
  <si>
    <t>2021-12-15 10:32:03.25049</t>
  </si>
  <si>
    <t>2021-12-15 10:32:12.9902</t>
  </si>
  <si>
    <t>2021-12-15 10:32:21.383983</t>
  </si>
  <si>
    <t>2021-12-15 10:49:56.341042</t>
  </si>
  <si>
    <t>2021-12-15 10:48:14.240403</t>
  </si>
  <si>
    <t>2021-12-15 10:48:32.256597</t>
  </si>
  <si>
    <t>2021-12-15 10:59:27.412906</t>
  </si>
  <si>
    <t>2021-12-15 10:58:09.338555</t>
  </si>
  <si>
    <t>2021-12-15 10:58:28.804316</t>
  </si>
  <si>
    <t>2021-12-15 11:05:57.54715</t>
  </si>
  <si>
    <t>2021-12-15 11:05:15.063799</t>
  </si>
  <si>
    <t>2021-12-15 11:21:38.525272</t>
  </si>
  <si>
    <t>2021-12-15 11:20:54.262102</t>
  </si>
  <si>
    <t>2021-12-15 11:30:12.314598</t>
  </si>
  <si>
    <t>2021-12-15 11:29:33.076268</t>
  </si>
  <si>
    <t>2021-12-16 11:32:55.877252</t>
  </si>
  <si>
    <t>2021-12-16 11:32:19.129023</t>
  </si>
  <si>
    <t>2021-12-16 11:45:13.956727</t>
  </si>
  <si>
    <t>2021-12-16 11:43:49.935607</t>
  </si>
  <si>
    <t>2021-12-16 11:44:08.03105</t>
  </si>
  <si>
    <t>2021-12-16 14:36:37.560211</t>
  </si>
  <si>
    <t>SE RECIBE DE COMERCIAL NUTRESA IBAGUE CON RECO 913 LLEGA SERIAL DIFERENTE FRENTE A DOCUMENTO</t>
  </si>
  <si>
    <t>2021-12-16 14:34:51.853025</t>
  </si>
  <si>
    <t>2021-12-17 14:37:57.579175</t>
  </si>
  <si>
    <t>SE RECIBE DE VISION COMERCIAL GIRARDOT CON RECO 911 SN</t>
  </si>
  <si>
    <t>2021-12-17 14:36:59.337642</t>
  </si>
  <si>
    <t>2021-12-17 14:36:45.796775</t>
  </si>
  <si>
    <t>2021-12-17 14:45:06.678986</t>
  </si>
  <si>
    <t>SE RECIBE DE PAPELCARD CON REMI 1662 SN</t>
  </si>
  <si>
    <t>2021-12-17 14:44:31.600814</t>
  </si>
  <si>
    <t>2021-12-18 10:37:26.5678</t>
  </si>
  <si>
    <t>SE RECIBE DE LOGISTICA NUTRESA CON RECO 915 SN</t>
  </si>
  <si>
    <t>CRD021225</t>
  </si>
  <si>
    <t>GLINA. JET BURBUJAS CYC X12UNDX14G</t>
  </si>
  <si>
    <t>2021-12-18 10:12:25.905976</t>
  </si>
  <si>
    <t>CRD020036</t>
  </si>
  <si>
    <t>MEZCLA MANI CON PASAS DOYPACK X 200 GR</t>
  </si>
  <si>
    <t>IBA11242022</t>
  </si>
  <si>
    <t>2021-12-18 10:11:38.197733</t>
  </si>
  <si>
    <t>CRD017903</t>
  </si>
  <si>
    <t>CAFE MATIZ ESCARLATA MOLIDO 340G</t>
  </si>
  <si>
    <t>IBA06072023</t>
  </si>
  <si>
    <t>2021-12-18 10:11:02.244098</t>
  </si>
  <si>
    <t>CRD015545</t>
  </si>
  <si>
    <t>CHOCOLATE CORONA CLAVOS Y CANELA X 500 GR</t>
  </si>
  <si>
    <t>IBA12112023</t>
  </si>
  <si>
    <t>2021-12-18 10:10:19.808319</t>
  </si>
  <si>
    <t>IBA09112022</t>
  </si>
  <si>
    <t>2021-12-18 10:09:40.033169</t>
  </si>
  <si>
    <t>CRD022526</t>
  </si>
  <si>
    <t>FIDEO DORIA CLASICA X 250G</t>
  </si>
  <si>
    <t>IBA05252023</t>
  </si>
  <si>
    <t>2021-12-18 10:13:21.913485</t>
  </si>
  <si>
    <t>TRADE GTA. FESTIVAL CHOCOLATE BS. 12X6</t>
  </si>
  <si>
    <t>IBA11032022</t>
  </si>
  <si>
    <t>2021-12-18 10:08:54.545588</t>
  </si>
  <si>
    <t>CRD012660</t>
  </si>
  <si>
    <t>GTA SALTIN NOEL QUESO Y MANTEQUILLA TACOX3</t>
  </si>
  <si>
    <t>2021-12-18 10:08:10.293431</t>
  </si>
  <si>
    <t>IBA12052023</t>
  </si>
  <si>
    <t>2021-12-18 10:07:24.20582</t>
  </si>
  <si>
    <t>IBA05182023</t>
  </si>
  <si>
    <t>2021-12-18 10:05:33.231573</t>
  </si>
  <si>
    <t>CRD010050</t>
  </si>
  <si>
    <t>CHOCOLISTO CHOCOLATE TARRO X 300G</t>
  </si>
  <si>
    <t>IBA11172023</t>
  </si>
  <si>
    <t>2021-12-18 10:04:12.938942</t>
  </si>
  <si>
    <t>IBA08102022</t>
  </si>
  <si>
    <t>2021-12-18 10:03:11.718799</t>
  </si>
  <si>
    <t>CRD003938</t>
  </si>
  <si>
    <t>ZENU POLLO CON CHAMPINONES AL VINO X 160 GR</t>
  </si>
  <si>
    <t>IBA09212023</t>
  </si>
  <si>
    <t>2021-12-18 10:01:29.20007</t>
  </si>
  <si>
    <t>CRD003573</t>
  </si>
  <si>
    <t>1001614 GTA FESTIVAL VAINILLA BS 12X4</t>
  </si>
  <si>
    <t>IBA09222022</t>
  </si>
  <si>
    <t>2021-12-18 09:58:26.309504</t>
  </si>
  <si>
    <t>IBA11022023</t>
  </si>
  <si>
    <t>2021-12-18 09:54:29.548785</t>
  </si>
  <si>
    <t>IBA08112025</t>
  </si>
  <si>
    <t>2021-12-18 10:16:04.481407</t>
  </si>
  <si>
    <t>2021-12-18 09:57:33.521846</t>
  </si>
  <si>
    <t>CRD001544</t>
  </si>
  <si>
    <t>PASTA MONTICELLO FUSILLI BOLSA X 500 GR</t>
  </si>
  <si>
    <t>IBA06042023</t>
  </si>
  <si>
    <t>2021-12-18 09:56:20.814747</t>
  </si>
  <si>
    <t>IBA11132022</t>
  </si>
  <si>
    <t>2021-12-18 10:33:04.050162</t>
  </si>
  <si>
    <t>CRD023781</t>
  </si>
  <si>
    <t>TOSH CREMA DE MANI TARRO X 300G</t>
  </si>
  <si>
    <t>IBA11152022</t>
  </si>
  <si>
    <t>2021-12-18 10:31:22.849169</t>
  </si>
  <si>
    <t>IBA05222023</t>
  </si>
  <si>
    <t>2021-12-18 09:55:27.742152</t>
  </si>
  <si>
    <t>2021-12-20 11:06:58.292398</t>
  </si>
  <si>
    <t>SE RECIBE DE COMERCIAL NUTRESA FLORENCIA CON RECO 909 SN</t>
  </si>
  <si>
    <t>CRD004411</t>
  </si>
  <si>
    <t>VITRINA TIPO COLUMNA CORONA/SALTIN EN VIDRIO</t>
  </si>
  <si>
    <t>2021-12-20 11:05:15.551551</t>
  </si>
  <si>
    <t>2021-12-20 11:05:08.223415</t>
  </si>
  <si>
    <t>2021-12-20 11:02:04.31625</t>
  </si>
  <si>
    <t>2021-12-20 11:24:55.694244</t>
  </si>
  <si>
    <t>SE RECIBE DE MAKRO IBAGUE CON ALGUNOS RAYONES EN LA PARTE LATERAL IZQUIERDA SE INGRESA EN USADO</t>
  </si>
  <si>
    <t>CRD024979</t>
  </si>
  <si>
    <t>ESTIBA VIVE TOSH MAKRO IBAGUE</t>
  </si>
  <si>
    <t>2021-12-20 11:22:54.507638</t>
  </si>
  <si>
    <t>2021-12-20 15:18:35.952073</t>
  </si>
  <si>
    <t>SE RECIBE DE INERCIA CON REMI 38958 Y 38956 SN</t>
  </si>
  <si>
    <t>2021-12-20 15:15:58.739802</t>
  </si>
  <si>
    <t>2021-12-20 15:15:55.688075</t>
  </si>
  <si>
    <t>2021-12-20 15:16:07.155746</t>
  </si>
  <si>
    <t>2021-12-20 15:16:10.441983</t>
  </si>
  <si>
    <t>JPENAGOS</t>
  </si>
  <si>
    <t>2021-12-22 14:17:19.425354</t>
  </si>
  <si>
    <t>SE RECIBE DE POP DISEÃ‘OS CON REMISION 21547</t>
  </si>
  <si>
    <t>CRD023414</t>
  </si>
  <si>
    <t>ESTIBA SENCILLA OLIMPICA /SALTIN Y DUCALES</t>
  </si>
  <si>
    <t>2021-12-22 14:14:43.870772</t>
  </si>
  <si>
    <t>2021-12-22 14:28:25.365762</t>
  </si>
  <si>
    <t>SE RECIBE DE OPEN MIND CON REMISION 2992</t>
  </si>
  <si>
    <t>2021-12-22 14:27:31.910545</t>
  </si>
  <si>
    <t>2021-12-10 11:56:07.058931</t>
  </si>
  <si>
    <t>DEV. EXITO POBLADO FINALIZACION DE EVENTO SIN NOVEDAD</t>
  </si>
  <si>
    <t>2021-11-27 08:19:32.811679</t>
  </si>
  <si>
    <t>2021-12-10 11:39:16.680213</t>
  </si>
  <si>
    <t>DEV. EURO PALMA GRANDE FINALIZACION DE EVENTO SIN NOVEDAD</t>
  </si>
  <si>
    <t>2021-11-27 08:22:05.387482</t>
  </si>
  <si>
    <t>2021-12-10 11:56:59.37433</t>
  </si>
  <si>
    <t>2021-11-27 10:51:58.942806</t>
  </si>
  <si>
    <t>2021-12-10 11:38:00.866294</t>
  </si>
  <si>
    <t>DEV. DEPARTAMENTO DE PROVEEDURIA FINALIZACION DE EVENTO SIN NOVEDAD</t>
  </si>
  <si>
    <t>2021-11-27 10:54:09.191392</t>
  </si>
  <si>
    <t>2021-12-10 11:39:01.300807</t>
  </si>
  <si>
    <t>2021-11-29 09:07:39.638135</t>
  </si>
  <si>
    <t>2021-12-13 15:50:08.271312</t>
  </si>
  <si>
    <t>2021-11-29 09:10:16.312558</t>
  </si>
  <si>
    <t>2021-12-10 12:21:33.917885</t>
  </si>
  <si>
    <t>SIN NOVEDAD SE RECIBE MATERIAL DEL PROVEEDOR PROPONEMOS SIN NOVEDAD</t>
  </si>
  <si>
    <t>2021-11-30 14:13:24.734289</t>
  </si>
  <si>
    <t>2021-12-14 15:28:04.084534</t>
  </si>
  <si>
    <t>DEV. MY TIENDA GROUP BELEN FINALIZACION DE EVENTO SIN NOVEDAD</t>
  </si>
  <si>
    <t>2021-11-30 17:02:58.434752</t>
  </si>
  <si>
    <t>2021-12-10 12:19:29.803116</t>
  </si>
  <si>
    <t>2021-11-30 17:13:26.715275</t>
  </si>
  <si>
    <t>2021-12-13 15:54:24.693928</t>
  </si>
  <si>
    <t>2021-12-01 08:44:31.566705</t>
  </si>
  <si>
    <t>2021-12-01 08:43:14.280767</t>
  </si>
  <si>
    <t>2021-12-01 08:44:19.192882</t>
  </si>
  <si>
    <t>2021-12-01 08:44:24.36377</t>
  </si>
  <si>
    <t>2021-12-01 08:44:40.646341</t>
  </si>
  <si>
    <t>2021-12-01 08:44:42.57767</t>
  </si>
  <si>
    <t>2021-12-01 08:44:33.259882</t>
  </si>
  <si>
    <t>2021-12-01 08:44:25.683104</t>
  </si>
  <si>
    <t>2021-12-13 16:43:38.628117</t>
  </si>
  <si>
    <t>DEV. MERKEPAISA TERRACINA FINALIZACION DE EVENTO CON NOVEDAD ( EN MAL ESTADO )</t>
  </si>
  <si>
    <t>2021-12-01 12:00:09.229081</t>
  </si>
  <si>
    <t>2021-12-13 16:43:27.861557</t>
  </si>
  <si>
    <t>2021-12-01 12:30:43.778565</t>
  </si>
  <si>
    <t>2021-12-01 12:29:33.187737</t>
  </si>
  <si>
    <t>2021-12-01 12:29:11.449091</t>
  </si>
  <si>
    <t>2021-12-14 15:26:30.905443</t>
  </si>
  <si>
    <t>2021-12-01 15:58:05.008056</t>
  </si>
  <si>
    <t>2021-12-01 15:57:59.838032</t>
  </si>
  <si>
    <t>2021-12-13 16:42:56.982906</t>
  </si>
  <si>
    <t>SIN NOVEDAD SE RECIBE MATERIAL DEL PROVEEDOR SOUVENIR CON REMISION 30646</t>
  </si>
  <si>
    <t>2021-12-01 16:02:18.357095</t>
  </si>
  <si>
    <t>2021-12-14 16:08:02.408698</t>
  </si>
  <si>
    <t>DEV. CARULLA SAO PAULO FINALIZACION DE EVENTO CON NOVEDAD PLEGAS INCOMPLETAS ) *</t>
  </si>
  <si>
    <t>2021-12-01 16:24:25.635855</t>
  </si>
  <si>
    <t>2021-12-01 16:26:14.630987</t>
  </si>
  <si>
    <t>2021-12-01 16:25:22.207937</t>
  </si>
  <si>
    <t>2021-12-01 16:26:05.201951</t>
  </si>
  <si>
    <t>2021-12-01 16:23:38.899454</t>
  </si>
  <si>
    <t>2021-12-01 16:22:16.589171</t>
  </si>
  <si>
    <t>2021-12-13 15:49:26.831293</t>
  </si>
  <si>
    <t>2021-12-03 07:57:59.202551</t>
  </si>
  <si>
    <t>2021-12-13 15:42:51.499434</t>
  </si>
  <si>
    <t>2021-12-03 08:02:43.394804</t>
  </si>
  <si>
    <t>2021-12-14 16:08:50.850729</t>
  </si>
  <si>
    <t>DEV. NUTRESA MEDELLIN RECOGIDA 7455 SIN NOVEDAD</t>
  </si>
  <si>
    <t>2021-12-03 08:28:51.534261</t>
  </si>
  <si>
    <t>2021-12-03 08:33:43.984481</t>
  </si>
  <si>
    <t>2021-12-03 08:29:42.897637</t>
  </si>
  <si>
    <t>2021-12-03 08:33:00.119805</t>
  </si>
  <si>
    <t>2021-12-03 08:28:04.24751</t>
  </si>
  <si>
    <t>2021-12-03 08:27:33.671871</t>
  </si>
  <si>
    <t>2021-12-13 15:42:37.444416</t>
  </si>
  <si>
    <t>DEV. NUTRESA MEDELLIN RECOGIDA 7454 SIN NOVEDAD</t>
  </si>
  <si>
    <t>2021-12-03 10:37:01.733405</t>
  </si>
  <si>
    <t>2021-12-13 15:42:19.225188</t>
  </si>
  <si>
    <t>DEV. MERKEPAISA MANRIQUE FINALIZACION DE EVENTO</t>
  </si>
  <si>
    <t>2021-12-03 10:47:38.394663</t>
  </si>
  <si>
    <t>2021-12-03 10:47:31.606665</t>
  </si>
  <si>
    <t>2021-12-03 10:47:13.967911</t>
  </si>
  <si>
    <t>2021-12-03 10:47:26.47556</t>
  </si>
  <si>
    <t>2021-12-14 15:59:30.652292</t>
  </si>
  <si>
    <t>2021-12-03 15:04:29.019548</t>
  </si>
  <si>
    <t>2021-12-14 16:01:32.240756</t>
  </si>
  <si>
    <t>2021-12-03 16:18:45.428243</t>
  </si>
  <si>
    <t>2021-12-14 16:04:17.926876</t>
  </si>
  <si>
    <t>2021-12-04 09:12:03.474822</t>
  </si>
  <si>
    <t>2021-12-14 16:04:33.588458</t>
  </si>
  <si>
    <t>DEV. IDEMA S.A.S 3 FINALIZACION DE EVENTO SIN NOVEDAD</t>
  </si>
  <si>
    <t>2021-12-04 09:57:47.686791</t>
  </si>
  <si>
    <t>2021-12-14 16:21:43.447128</t>
  </si>
  <si>
    <t>SIN NOVEDAD SE RECIBE MATERIAL DEL PROVEEDOR MULTI-IDEAS CON OC 4502221679</t>
  </si>
  <si>
    <t>2021-12-07 10:18:33.747807</t>
  </si>
  <si>
    <t>2021-12-14 16:23:00.154985</t>
  </si>
  <si>
    <t>2021-12-07 15:00:44.291218</t>
  </si>
  <si>
    <t>2021-12-07 15:01:33.15027</t>
  </si>
  <si>
    <t>MUEBLE SNACKERO TIPO MINI CON CARGUE DE NUECES</t>
  </si>
  <si>
    <t>2021-12-07 15:01:15.204194</t>
  </si>
  <si>
    <t>2021-12-14 16:24:05.232269</t>
  </si>
  <si>
    <t>DEV. EXITO COLOMBIA FINALIZACION DE EVENTO SIN NOVEDAD</t>
  </si>
  <si>
    <t>2021-12-07 15:21:49.571613</t>
  </si>
  <si>
    <t>2021-12-14 15:58:50.31466</t>
  </si>
  <si>
    <t>2021-12-07 16:20:03.346435</t>
  </si>
  <si>
    <t>2021-12-14 16:23:43.701032</t>
  </si>
  <si>
    <t>2021-12-07 16:31:18.404552</t>
  </si>
  <si>
    <t>2021-12-14 16:22:43.326516</t>
  </si>
  <si>
    <t>DEV. NUTRESA MEDELLIN RECOGIDA 7471 SIN NOVEDAD</t>
  </si>
  <si>
    <t>2021-12-10 12:51:46.742439</t>
  </si>
  <si>
    <t>2021-12-10 12:49:22.519067</t>
  </si>
  <si>
    <t>2021-12-14 16:22:08.029596</t>
  </si>
  <si>
    <t>2021-12-10 12:56:39.485783</t>
  </si>
  <si>
    <t>2021-12-14 16:22:33.918212</t>
  </si>
  <si>
    <t>DEV. SUPERMERCADO LA VAQUITA RIONEGRO FINALIZACION DE EVENTO SIN NOVEDAD</t>
  </si>
  <si>
    <t>2021-12-10 14:32:52.445624</t>
  </si>
  <si>
    <t>2021-12-14 15:50:41.628615</t>
  </si>
  <si>
    <t>DEV. EXITO DEL ESTE FINALIZACION DE EVENTO SIN NOVEDAD</t>
  </si>
  <si>
    <t>2021-12-11 08:35:38.848574</t>
  </si>
  <si>
    <t>2021-12-11 08:35:35.24939</t>
  </si>
  <si>
    <t>2021-12-16 16:31:14.694646</t>
  </si>
  <si>
    <t>2021-12-14 15:14:35.830836</t>
  </si>
  <si>
    <t>2021-12-14 15:14:28.093805</t>
  </si>
  <si>
    <t>2021-12-16 16:33:16.749309</t>
  </si>
  <si>
    <t>2021-12-13 14:25:43.250654</t>
  </si>
  <si>
    <t>2021-12-16 16:28:51.335105</t>
  </si>
  <si>
    <t>2021-12-14 07:50:07.918425</t>
  </si>
  <si>
    <t>2021-12-21 16:34:00.250226</t>
  </si>
  <si>
    <t>2021-12-15 16:01:19.254746</t>
  </si>
  <si>
    <t>2021-12-21 16:38:11.28479</t>
  </si>
  <si>
    <t>DEV. VAQUITA EL POBLODO FINALIZACION DE EVENTO SIN NOVEDAD</t>
  </si>
  <si>
    <t>2021-12-16 12:16:32.84781</t>
  </si>
  <si>
    <t>2021-12-21 16:45:27.741605</t>
  </si>
  <si>
    <t>SIN NOVEDAD SE RECIBE MATERIAL DEL PROVEEDOR PAPEL CARD CON REMISION 1663</t>
  </si>
  <si>
    <t>2021-12-17 15:59:05.652933</t>
  </si>
  <si>
    <t>2021-12-21 16:41:23.324276</t>
  </si>
  <si>
    <t>SIN NOVEDAD SE RECIBE MATERIAL DEL PROVEEDOR IMPRESOS CON REMISION 23796</t>
  </si>
  <si>
    <t>2021-12-17 16:49:28.877215</t>
  </si>
  <si>
    <t>2021-12-17 16:49:18.549738</t>
  </si>
  <si>
    <t>2021-12-17 16:49:24.475342</t>
  </si>
  <si>
    <t>2021-12-21 16:41:10.050432</t>
  </si>
  <si>
    <t>SIN NOVEDAD SE RECIBE MATERIAL DEL PROVEEDOR IMPRESOS CON REMISION 23788</t>
  </si>
  <si>
    <t>2021-12-17 16:51:55.699841</t>
  </si>
  <si>
    <t>2021-12-17 16:51:50.476732</t>
  </si>
  <si>
    <t>2021-12-21 16:40:56.833723</t>
  </si>
  <si>
    <t>DEV. PRICESMART RECO 7492 FINALIZACION EVENTO - DIFERENCIA EN CANTIDADDES</t>
  </si>
  <si>
    <t>OALVARADO</t>
  </si>
  <si>
    <t>2021-12-18 08:59:48.363713</t>
  </si>
  <si>
    <t>2021-12-18 08:58:25.150504</t>
  </si>
  <si>
    <t>MED05222022</t>
  </si>
  <si>
    <t>2021-12-18 08:56:38.858269</t>
  </si>
  <si>
    <t>2021-12-18 08:57:11.572134</t>
  </si>
  <si>
    <t>2021-12-18 08:59:19.648457</t>
  </si>
  <si>
    <t>2021-12-18 09:01:12.922933</t>
  </si>
  <si>
    <t>2021-12-18 09:00:29.692912</t>
  </si>
  <si>
    <t>2021-12-18 09:02:03.618597</t>
  </si>
  <si>
    <t>2021-12-18 08:59:05.222004</t>
  </si>
  <si>
    <t>MED02052023</t>
  </si>
  <si>
    <t>2021-12-18 09:01:50.4262</t>
  </si>
  <si>
    <t>2021-12-18 08:58:38.843934</t>
  </si>
  <si>
    <t>2021-12-18 08:57:49.597938</t>
  </si>
  <si>
    <t>2021-12-21 16:48:28.866237</t>
  </si>
  <si>
    <t>DEV. JUMBO RIONEGRO RECO 7501 FINALIZACION EVENTO SIN NOVEDAD</t>
  </si>
  <si>
    <t>ACT000451</t>
  </si>
  <si>
    <t>MUEBLE INTERCAMBIABLE TOSH MIX VEGETALES CENCOSUD</t>
  </si>
  <si>
    <t>2021-12-20 15:28:07.648325</t>
  </si>
  <si>
    <t>2021-12-21 16:44:15.135767</t>
  </si>
  <si>
    <t>DEV. LUIS IGNACIO MEJIA RECO 7500 FINALIZACION EVENTO- NEVERA NO ENFRIA</t>
  </si>
  <si>
    <t>2021-12-18 09:07:51.660424</t>
  </si>
  <si>
    <t>2021-12-21 16:41:44.394894</t>
  </si>
  <si>
    <t>DEV. OFICINAS EFICACIA RECO 7493 FINALIZACION EVENTO SIN NOVEDAD</t>
  </si>
  <si>
    <t>PENDON MONTICELLO</t>
  </si>
  <si>
    <t>2021-12-18 09:15:34.957824</t>
  </si>
  <si>
    <t>CRD024895</t>
  </si>
  <si>
    <t>PENDON NAVIDAD NOEL 2021</t>
  </si>
  <si>
    <t>2021-12-18 09:15:22.563251</t>
  </si>
  <si>
    <t>2021-12-21 16:48:50.410433</t>
  </si>
  <si>
    <t>SIN NOVEDAD SE RECIBE MATERIAL DEL PROVEEDOR OPEN MIND CON REMISIOM 2992</t>
  </si>
  <si>
    <t>2021-12-20 16:50:39.165559</t>
  </si>
  <si>
    <t>2021-12-21 16:49:25.455234</t>
  </si>
  <si>
    <t>FE24700</t>
  </si>
  <si>
    <t>SIN NOVEDAD SE RECIBE MATERIAL DEL PROVEEDOR PLASTICOS INTEGRALES</t>
  </si>
  <si>
    <t>CRD025011</t>
  </si>
  <si>
    <t>JARRA RECTANGULAR 2LTS</t>
  </si>
  <si>
    <t>2021-12-21 11:35:24.862065</t>
  </si>
  <si>
    <t>CRD024994</t>
  </si>
  <si>
    <t>RECIPIENTE PARA PASTAS (ESPAGUETIS)</t>
  </si>
  <si>
    <t>2021-12-21 11:35:07.082762</t>
  </si>
  <si>
    <t>CRD024995</t>
  </si>
  <si>
    <t>SET X TRES COLADORES FLOR</t>
  </si>
  <si>
    <t>2021-12-21 11:35:12.686791</t>
  </si>
  <si>
    <t>CRD024993</t>
  </si>
  <si>
    <t>SET X 4 ENSALADERAS 400 CC C7U</t>
  </si>
  <si>
    <t>2021-12-21 11:35:02.209225</t>
  </si>
  <si>
    <t>CRD024996</t>
  </si>
  <si>
    <t>ENSALADERA PRIMACERA 2300CC</t>
  </si>
  <si>
    <t>2021-12-21 11:35:19.407575</t>
  </si>
  <si>
    <t>2021-12-22 12:42:41.045448</t>
  </si>
  <si>
    <t>DEV. MERCALDA EL MAS BARATO S.A. FINALIZACION DE EVENTO CON NOVEDAD ( MUEBLES EN MAL ESTADO</t>
  </si>
  <si>
    <t>CRD023301</t>
  </si>
  <si>
    <t>MUEBLE CHOCOTERA</t>
  </si>
  <si>
    <t>2021-12-22 12:43:53.89563</t>
  </si>
  <si>
    <t>2021-12-22 12:43:41.9859</t>
  </si>
  <si>
    <t>2021-11-29 17:15:01.430212</t>
  </si>
  <si>
    <t>DEV DEL PDV MUÃ‘OZ FERNAN ANDRES CON RECO NÂ° 2799 POR FINALIZACION DEL EVENTO --- SIN NOVEDAD</t>
  </si>
  <si>
    <t>2021-11-29 16:59:08.275939</t>
  </si>
  <si>
    <t>2021-11-29 17:15:07.151262</t>
  </si>
  <si>
    <t>2021-11-29 17:02:30.139059</t>
  </si>
  <si>
    <t>2021-11-29 17:15:12.972161</t>
  </si>
  <si>
    <t>2021-11-29 17:05:22.435112</t>
  </si>
  <si>
    <t>2021-12-01 16:32:33.439778</t>
  </si>
  <si>
    <t>2021-12-01 15:24:07.650254</t>
  </si>
  <si>
    <t>2021-12-01 15:24:02.377903</t>
  </si>
  <si>
    <t>2021-12-01 16:32:39.380529</t>
  </si>
  <si>
    <t>2021-12-01 15:45:31.640586</t>
  </si>
  <si>
    <t>2021-12-01 16:32:47.974619</t>
  </si>
  <si>
    <t>2021-12-01 15:55:07.423612</t>
  </si>
  <si>
    <t>2021-12-01 16:37:46.277538</t>
  </si>
  <si>
    <t>2021-12-01 16:37:14.530343</t>
  </si>
  <si>
    <t>2021-12-02 14:34:52.771081</t>
  </si>
  <si>
    <t>2021-12-02 14:30:48.95647</t>
  </si>
  <si>
    <t>2021-12-02 14:30:37.589079</t>
  </si>
  <si>
    <t>2021-12-02 14:31:01.357136</t>
  </si>
  <si>
    <t>2021-12-02 15:07:29.883246</t>
  </si>
  <si>
    <t>2021-12-02 15:02:57.06774</t>
  </si>
  <si>
    <t>2021-12-02 15:02:27.737282</t>
  </si>
  <si>
    <t>2021-12-02 15:02:36.025438</t>
  </si>
  <si>
    <t>2021-12-02 15:02:34.437325</t>
  </si>
  <si>
    <t>2021-12-02 15:02:46.868583</t>
  </si>
  <si>
    <t>2021-12-02 15:02:45.002981</t>
  </si>
  <si>
    <t>2021-12-02 15:02:25.930577</t>
  </si>
  <si>
    <t>2021-12-02 15:02:55.575716</t>
  </si>
  <si>
    <t>2021-12-02 17:07:43.060109</t>
  </si>
  <si>
    <t>2021-12-02 17:06:25.847514</t>
  </si>
  <si>
    <t>2021-12-03 08:32:27.050637</t>
  </si>
  <si>
    <t>2021-12-03 08:03:04.340431</t>
  </si>
  <si>
    <t>2021-12-03 11:39:15.026078</t>
  </si>
  <si>
    <t>2021-12-03 11:14:49.331612</t>
  </si>
  <si>
    <t>2021-12-03 11:39:30.528542</t>
  </si>
  <si>
    <t>2021-12-03 11:37:33.854293</t>
  </si>
  <si>
    <t>2021-12-03 11:43:52.388072</t>
  </si>
  <si>
    <t>2021-12-03 11:43:14.468536</t>
  </si>
  <si>
    <t>2021-12-04 11:16:39.038993</t>
  </si>
  <si>
    <t>2021-12-04 11:02:01.261455</t>
  </si>
  <si>
    <t>2021-12-06 14:25:28.47856</t>
  </si>
  <si>
    <t>2021-12-06 14:11:53.21257</t>
  </si>
  <si>
    <t>2021-12-06 14:19:20.628301</t>
  </si>
  <si>
    <t>2021-12-06 14:19:40.508979</t>
  </si>
  <si>
    <t>2021-12-06 14:20:15.24385</t>
  </si>
  <si>
    <t>2021-12-06 14:21:50.693199</t>
  </si>
  <si>
    <t>2021-12-06 14:20:57.379929</t>
  </si>
  <si>
    <t>2021-12-06 14:18:45.881547</t>
  </si>
  <si>
    <t>2021-12-06 14:17:41.103587</t>
  </si>
  <si>
    <t>2021-12-06 14:18:17.188075</t>
  </si>
  <si>
    <t>2021-12-06 14:17:59.391483</t>
  </si>
  <si>
    <t>2021-12-06 14:16:48.296137</t>
  </si>
  <si>
    <t>2021-12-06 14:21:20.183332</t>
  </si>
  <si>
    <t>2021-12-07 16:35:13.11437</t>
  </si>
  <si>
    <t>2021-12-07 15:46:02.655653</t>
  </si>
  <si>
    <t>2021-12-07 16:45:25.558686</t>
  </si>
  <si>
    <t>2021-12-07 16:42:49.564531</t>
  </si>
  <si>
    <t>3 EN 1 COLCAFE DOYPACK 192G</t>
  </si>
  <si>
    <t>2021-12-07 16:41:56.781446</t>
  </si>
  <si>
    <t>2021-12-07 16:43:12.265553</t>
  </si>
  <si>
    <t>2021-12-11 09:15:15.062189</t>
  </si>
  <si>
    <t>SE RECIBE MATERIAL DESDE EL CEDIS BOGOTA CON DESPACHO NÂ° 286431 --- SIN NOVEDAD</t>
  </si>
  <si>
    <t>ESTUFA ROMERO - DORIA TE TRAE LO QUE TANTO QUERIAS</t>
  </si>
  <si>
    <t>2021-12-11 09:14:26.907471</t>
  </si>
  <si>
    <t>2021-12-14 16:34:37.244774</t>
  </si>
  <si>
    <t>2021-12-14 15:21:05.279255</t>
  </si>
  <si>
    <t>2021-12-14 15:21:17.123869</t>
  </si>
  <si>
    <t>2021-12-14 15:21:10.247139</t>
  </si>
  <si>
    <t>2021-12-14 16:34:53.553506</t>
  </si>
  <si>
    <t>2021-12-14 15:28:02.035091</t>
  </si>
  <si>
    <t>2021-12-14 15:27:49.388678</t>
  </si>
  <si>
    <t>2021-12-15 15:14:34.982611</t>
  </si>
  <si>
    <t>2021-12-15 13:59:16.999406</t>
  </si>
  <si>
    <t>2021-12-15 15:14:48.937787</t>
  </si>
  <si>
    <t>SE RECOGE MATERIAL EN C.NUTRESA CON RECO NÂ° 75658 POR FINALIZACION DEL EVENTO --- SIN NOVEDAD</t>
  </si>
  <si>
    <t>2021-12-15 14:23:10.311183</t>
  </si>
  <si>
    <t>2021-12-15 14:24:19.607558</t>
  </si>
  <si>
    <t>PLEG. COLCAFE CLASICO 1.5G X 48 SOBRES</t>
  </si>
  <si>
    <t>2021-12-15 14:25:11.929346</t>
  </si>
  <si>
    <t>2021-12-15 14:17:31.409074</t>
  </si>
  <si>
    <t>2021-12-15 14:23:47.857212</t>
  </si>
  <si>
    <t>2021-12-15 14:26:04.693354</t>
  </si>
  <si>
    <t>2021-12-15 14:27:39.769065</t>
  </si>
  <si>
    <t>2021-12-15 14:18:32.380824</t>
  </si>
  <si>
    <t>2021-12-15 14:18:58.24074</t>
  </si>
  <si>
    <t>2021-12-15 14:27:09.153154</t>
  </si>
  <si>
    <t>2021-12-15 14:21:44.365246</t>
  </si>
  <si>
    <t>2021-12-15 14:20:39.663645</t>
  </si>
  <si>
    <t>2021-12-15 14:19:39.290336</t>
  </si>
  <si>
    <t>2021-12-16 16:17:07.59807</t>
  </si>
  <si>
    <t>2021-12-16 16:12:57.204533</t>
  </si>
  <si>
    <t>2021-12-17 14:27:21.914921</t>
  </si>
  <si>
    <t>2021-12-17 14:05:19.479004</t>
  </si>
  <si>
    <t>2021-12-17 14:05:13.586368</t>
  </si>
  <si>
    <t>2021-12-17 14:27:41.730947</t>
  </si>
  <si>
    <t>DEV DEL PDV SANTILLANA DISTRIBUCIONES CON RECO NÂ° 2812 POR FINALIZACION DEL EVENTO --- SIN NOVEDAD</t>
  </si>
  <si>
    <t>2021-12-17 14:23:39.90205</t>
  </si>
  <si>
    <t>2021-12-18 10:57:39.255133</t>
  </si>
  <si>
    <t>SE RECIBE MATERIAL DEL PROVEEDOR OPEN MIND CON DOCUMENTO NÂ° 2992 --- SIN NOVEDAD</t>
  </si>
  <si>
    <t>2021-12-18 10:48:32.630549</t>
  </si>
  <si>
    <t>2021-12-20 08:13:57.880978</t>
  </si>
  <si>
    <t>DEV DEL PDV C.NUTRESA CON RECO NÂ° 2830 POR SOLICITUD DE JULIANA BETANCUR --- LA ESTUFA SE RECOGE CON LAS OBSERVACIONES DE AVERIA POR VIDRIO ROTO</t>
  </si>
  <si>
    <t>2021-12-20 08:12:35.554807</t>
  </si>
  <si>
    <t>2021-12-20 16:23:53.776283</t>
  </si>
  <si>
    <t>SE RECIBE MATERIAL DEL PROVEEDOR INNERCIA CON REMISION NÂ° 38957 --- SIN NOVEDAD</t>
  </si>
  <si>
    <t>2021-12-20 16:23:22.486496</t>
  </si>
  <si>
    <t>2021-12-20 16:23:16.177679</t>
  </si>
  <si>
    <t>2021-12-22 11:09:58.797842</t>
  </si>
  <si>
    <t>SE RECOGE MATERIAL EN C.NUTRESA CON RECO NÂ° 2832 POR FINALIZACION DEL EVENTO --- SIN NOVEDAD</t>
  </si>
  <si>
    <t>PER10192022</t>
  </si>
  <si>
    <t>2021-12-22 11:10:56.097356</t>
  </si>
  <si>
    <t>2021-11-30 14:59:38.341219</t>
  </si>
  <si>
    <t>2021-11-30 14:58:44.225401</t>
  </si>
  <si>
    <t>2021-12-02 10:14:04.778942</t>
  </si>
  <si>
    <t>2021-12-02 10:13:13.011818</t>
  </si>
  <si>
    <t>2021-12-03 09:32:37.051712</t>
  </si>
  <si>
    <t>2021-12-03 09:31:35.126338</t>
  </si>
  <si>
    <t>2021-12-03 09:31:14.187225</t>
  </si>
  <si>
    <t>2021-12-03 09:36:20.729364</t>
  </si>
  <si>
    <t>2021-12-03 09:35:36.329081</t>
  </si>
  <si>
    <t>2021-12-11 10:10:18.865237</t>
  </si>
  <si>
    <t>2021-12-11 10:09:37.808316</t>
  </si>
  <si>
    <t>2021-12-14 10:22:18.505554</t>
  </si>
  <si>
    <t>2021-12-14 10:21:09.444508</t>
  </si>
  <si>
    <t>2021-12-14 10:21:22.331133</t>
  </si>
  <si>
    <t>2021-12-14 10:30:10.942474</t>
  </si>
  <si>
    <t>2021-12-14 10:29:04.837142</t>
  </si>
  <si>
    <t>2021-12-14 10:28:56.384833</t>
  </si>
  <si>
    <t>2021-12-14 10:28:46.255945</t>
  </si>
  <si>
    <t>2021-12-17 11:19:44.593228</t>
  </si>
  <si>
    <t>2021-12-17 11:18:14.888429</t>
  </si>
  <si>
    <t>2021-12-17 11:17:59.727747</t>
  </si>
  <si>
    <t>2021-12-21 16:32:21.202784</t>
  </si>
  <si>
    <t>SE RECIBE MATERIAL DE PROVEDOR OPEN MIND OC-4502233169 SN</t>
  </si>
  <si>
    <t>2021-12-21 16:14:30.854926</t>
  </si>
  <si>
    <t>2021-12-21 16:15:23.078513</t>
  </si>
  <si>
    <t>2021-12-21 16:36:33.022184</t>
  </si>
  <si>
    <t>SE RECIBE MATERIAL DE PROVEDOR INNERCIA REM-38952 SNSE RECIBE MATERIAL DE PROVEDOR INNERCIA REM-38952 SN</t>
  </si>
  <si>
    <t>2021-12-21 16:35:41.996032</t>
  </si>
  <si>
    <t>2021-12-21 16:41:01.569713</t>
  </si>
  <si>
    <t>SE RECIBE MATERIAL DE PROVEDOR INNERCIA REM-38949 SN</t>
  </si>
  <si>
    <t>2021-12-21 16:40:15.588544</t>
  </si>
  <si>
    <t>2021-12-21 16:45:07.466338</t>
  </si>
  <si>
    <t>SE RECIBE MATERIAL DE PROVEDOR INNERCIA REM-38952 SN</t>
  </si>
  <si>
    <t>2021-12-21 16:44:23.391186</t>
  </si>
  <si>
    <t>BARRCRD020181CADENASBPO</t>
  </si>
  <si>
    <t>BARRCRD025013CADENASNUTRESA</t>
  </si>
  <si>
    <t>BARRCRD025015CADENASNUTRESA</t>
  </si>
  <si>
    <t>BARRCRD025014CADENASNUTRESA</t>
  </si>
  <si>
    <t>BARRCRD025012CADENASNUTRESA</t>
  </si>
  <si>
    <t>BARRCRD025023AUTOSERVICIONUTRESA</t>
  </si>
  <si>
    <t>BARRCRD025016AUTOSERVICIONUTRESA</t>
  </si>
  <si>
    <t>BARRCRD025021AUTOSERVICIONUTRESA</t>
  </si>
  <si>
    <t>BARRCRD019356CADENASNUTRESA</t>
  </si>
  <si>
    <t>BARRCRD019355CADENASNUTRESA</t>
  </si>
  <si>
    <t>BARRCRD019354CADENASNUTRESA</t>
  </si>
  <si>
    <t>BARRCRD019353CADENASNUTRESA</t>
  </si>
  <si>
    <t>BARRCRD025041TRADICIONALNUTRESA</t>
  </si>
  <si>
    <t>BGTACRD025039AUTOSERVICIONUTRESA</t>
  </si>
  <si>
    <t>BGTACRD025039AUTOSERVICIOALTILLANO</t>
  </si>
  <si>
    <t>BGTACRD025021AUTOSERVICIOALTILLANO</t>
  </si>
  <si>
    <t>BGTACRD025020AUTOSERVICIOALTILLANO</t>
  </si>
  <si>
    <t>BGTACRD025020AUTOSERVICIONUTRESA</t>
  </si>
  <si>
    <t>BGTACRD025021AUTOSERVICIONUTRESA</t>
  </si>
  <si>
    <t>BGTACRD025006TRADICIONALNUTRESA</t>
  </si>
  <si>
    <t>BGTACRD025006TRADICIONALALTILLANO</t>
  </si>
  <si>
    <t>BGTACRD025041AUTOSERVICIOALTILLANO</t>
  </si>
  <si>
    <t>BGTACRD025041TRADICIONALALTILLANO</t>
  </si>
  <si>
    <t>BGTACRD025040TRADICIONALALTILLANO</t>
  </si>
  <si>
    <t>BGTACRD025040AUTOSERVICIOALTILLANO</t>
  </si>
  <si>
    <t>BGTACRD025041AUTOSERVICIONUTRESA</t>
  </si>
  <si>
    <t>BGTACRD025041TRADICIONALNUTRESA</t>
  </si>
  <si>
    <t>BUCACRD025020AUTOSERVICIONUTRESA</t>
  </si>
  <si>
    <t>BUCACRD025021AUTOSERVICIONUTRESA</t>
  </si>
  <si>
    <t>BUCACRD025006TRADICIONALNUTRESA</t>
  </si>
  <si>
    <t>BUCACRD025041AUTOSERVICIONUTRESA</t>
  </si>
  <si>
    <t>BUCACRD025041TRADICIONALNUTRESA</t>
  </si>
  <si>
    <t>BUCACRD025040TRADICIONALNUTRESA</t>
  </si>
  <si>
    <t>BUCACRD025040AUTOSERVICIONUTRESA</t>
  </si>
  <si>
    <t>CALICRD025020AUTOSERVICIONUTRESA</t>
  </si>
  <si>
    <t>CALICRD025021AUTOSERVICIONUTRESA</t>
  </si>
  <si>
    <t>CALICRD023405CADENASBPO</t>
  </si>
  <si>
    <t>CALICRD025026CADENASNUTRESA</t>
  </si>
  <si>
    <t>CARTCRD025023AUTOSERVICIONUTRESA</t>
  </si>
  <si>
    <t>CARTCRD025021AUTOSERVICIONUTRESA</t>
  </si>
  <si>
    <t>CARTCRD020181CADENASBPO</t>
  </si>
  <si>
    <t>CARTCRD019238AUTOSERVICIOBPO</t>
  </si>
  <si>
    <t>CARTCRD024397CADENASBPO</t>
  </si>
  <si>
    <t>CARTACT000435TRADICIONALNUTRESA</t>
  </si>
  <si>
    <t>CARTCRD019355CADENASNUTRESA</t>
  </si>
  <si>
    <t>CARTCRD019354CADENASNUTRESA</t>
  </si>
  <si>
    <t>CARTCRD019356CADENASNUTRESA</t>
  </si>
  <si>
    <t>CARTCRD025041TRADICIONALNUTRESA</t>
  </si>
  <si>
    <t>IBA1ACT000444TRADICIONALNUTRESA</t>
  </si>
  <si>
    <t>IBA1CRD025021AUTOSERVICIONUTRESA</t>
  </si>
  <si>
    <t>IBA1CRD021225TRADICIONALNUTRESA</t>
  </si>
  <si>
    <t>IBA1CRD020036TRADICIONALNUTRESA</t>
  </si>
  <si>
    <t>IBA1CRD017903TRADICIONALNUTRESA</t>
  </si>
  <si>
    <t>IBA1CRD015545TRADICIONALNUTRESA</t>
  </si>
  <si>
    <t>IBA1CRD012719TRADICIONALNUTRESA</t>
  </si>
  <si>
    <t>IBA1CRD022526TRADICIONALNUTRESA</t>
  </si>
  <si>
    <t>IBA1CRD012718TRADICIONALNUTRESA</t>
  </si>
  <si>
    <t>IBA1CRD012660TRADICIONALNUTRESA</t>
  </si>
  <si>
    <t>IBA1CRD012466TRADICIONALNUTRESA</t>
  </si>
  <si>
    <t>IBA1CRD010924TRADICIONALNUTRESA</t>
  </si>
  <si>
    <t>IBA1CRD010050TRADICIONALNUTRESA</t>
  </si>
  <si>
    <t>IBA1CRD009297TRADICIONALNUTRESA</t>
  </si>
  <si>
    <t>IBA1CRD003938TRADICIONALNUTRESA</t>
  </si>
  <si>
    <t>IBA1CRD003573TRADICIONALNUTRESA</t>
  </si>
  <si>
    <t>IBA1CRD000698TRADICIONALNUTRESA</t>
  </si>
  <si>
    <t>IBA1CRD023690TRADICIONALNUTRESA</t>
  </si>
  <si>
    <t>IBA1CRD002384TRADICIONALNUTRESA</t>
  </si>
  <si>
    <t>IBA1CRD001544TRADICIONALNUTRESA</t>
  </si>
  <si>
    <t>IBA1CRD024366TRADICIONALNUTRESA</t>
  </si>
  <si>
    <t>IBA1CRD023781TRADICIONALNUTRESA</t>
  </si>
  <si>
    <t>IBA1CRD001182TRADICIONALNUTRESA</t>
  </si>
  <si>
    <t>IBA1CRD004411TRADICIONALNUTRESA</t>
  </si>
  <si>
    <t>IBA1ACT000071TRADICIONALNUTRESA</t>
  </si>
  <si>
    <t>IBA1CRD024979CADENASNUTRESA</t>
  </si>
  <si>
    <t>IBA1CRD025040AUTOSERVICIONUTRESA</t>
  </si>
  <si>
    <t>IBA1CRD025040TRADICIONALNUTRESA</t>
  </si>
  <si>
    <t>IBA1CRD025041TRADICIONALNUTRESA</t>
  </si>
  <si>
    <t>IBA1CRD025041AUTOSERVICIONUTRESA</t>
  </si>
  <si>
    <t>IBA1CRD023414CADENASNUTRESA</t>
  </si>
  <si>
    <t>IBA1CRD025023AUTOSERVICIONUTRESA</t>
  </si>
  <si>
    <t>MEDECRD025021AUTOSERVICIONUTRESA</t>
  </si>
  <si>
    <t>MEDECRD025010TRADICIONALNUTRESA</t>
  </si>
  <si>
    <t>MEDECRD025008TRADICIONALNUTRESA</t>
  </si>
  <si>
    <t>MEDECRD025009TRADICIONALNUTRESA</t>
  </si>
  <si>
    <t>MEDECRD025002AUTOSERVICIONUTRESA</t>
  </si>
  <si>
    <t>MEDECRD025001AUTOSERVICIONUTRESA</t>
  </si>
  <si>
    <t>MEDECRD024953CADENASBPO</t>
  </si>
  <si>
    <t>MEDECRD016669CADENASBPO</t>
  </si>
  <si>
    <t>MEDECRD016151CADENASBPO</t>
  </si>
  <si>
    <t>MEDEACT000451CADENASNUTRESA</t>
  </si>
  <si>
    <t>MEDECRD024895CADENASNUTRESA</t>
  </si>
  <si>
    <t>MEDECRD025023AUTOSERVICIONUTRESA</t>
  </si>
  <si>
    <t>MEDECRD025011AUTOSERVICIONUTRESA</t>
  </si>
  <si>
    <t>MEDECRD024994AUTOSERVICIONUTRESA</t>
  </si>
  <si>
    <t>MEDECRD024995AUTOSERVICIONUTRESA</t>
  </si>
  <si>
    <t>MEDECRD024993AUTOSERVICIONUTRESA</t>
  </si>
  <si>
    <t>MEDECRD024996AUTOSERVICIONUTRESA</t>
  </si>
  <si>
    <t>MEDECRD023301AUTOSERVICIONUTRESA</t>
  </si>
  <si>
    <t>MEDEACT000499AUTOSERVICIONUTRESA</t>
  </si>
  <si>
    <t>PEREACT000225TRADICIONALNUTRESA</t>
  </si>
  <si>
    <t>PERECRD025023AUTOSERVICIONUTRESA</t>
  </si>
  <si>
    <t>PERECRD025041AUTOSERVICIONUTRESA</t>
  </si>
  <si>
    <t>PERECRD025040AUTOSERVICIONUTRESA</t>
  </si>
  <si>
    <t>PERECRD025039AUTOSERVICIONUTRESA</t>
  </si>
  <si>
    <t>VILACRD025022AUTOSERVICIONUTRESA</t>
  </si>
  <si>
    <t>VILACRD025023AUTOSERVICIONUTRESA</t>
  </si>
  <si>
    <t>VILACRD025041AUTOSERVICIONUTRESA</t>
  </si>
  <si>
    <t>VILACRD025041TRADICIONALNUTRESA</t>
  </si>
  <si>
    <t>VILACRD025040AUTOSERVICIONUTRESA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</si>
</sst>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&quot;$&quot;* #,##0_-;\-&quot;$&quot;* #,##0_-;_-&quot;$&quot;* &quot;-&quot;_-;_-@_-"/>
    <numFmt numFmtId="165" formatCode="0.0%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hadow/>
      <sz val="20"/>
      <name val="Cambria"/>
      <family val="1"/>
    </font>
    <font>
      <u/>
      <sz val="11"/>
      <color theme="10"/>
      <name val="Calibri"/>
      <family val="2"/>
      <scheme val="minor"/>
    </font>
    <font>
      <b/>
      <sz val="14"/>
      <color theme="1"/>
      <name val="Cambria"/>
      <family val="1"/>
      <scheme val="major"/>
    </font>
    <font>
      <b/>
      <shadow/>
      <sz val="12"/>
      <name val="Cambria"/>
      <family val="1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Verdana"/>
      <family val="2"/>
    </font>
    <font>
      <sz val="20"/>
      <color theme="1"/>
      <name val="Verdana"/>
      <family val="2"/>
    </font>
    <font>
      <sz val="12"/>
      <color theme="1"/>
      <name val="Verdana"/>
      <family val="2"/>
    </font>
    <font>
      <sz val="12"/>
      <color theme="1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6">
    <xf numFmtId="0" fontId="0" fillId="0" borderId="0"/>
    <xf numFmtId="0" fontId="1" fillId="0" borderId="0" applyNumberFormat="0" applyFill="0" applyBorder="0" applyAlignment="0" applyProtection="0"/>
    <xf numFmtId="0" fontId="1" fillId="0" borderId="0"/>
    <xf numFmtId="9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7" fillId="0" borderId="9" applyNumberFormat="0" applyFill="0" applyAlignment="0" applyProtection="0"/>
    <xf numFmtId="0" fontId="17" fillId="0" borderId="0" applyNumberFormat="0" applyFill="0" applyBorder="0" applyAlignment="0" applyProtection="0"/>
    <xf numFmtId="0" fontId="18" fillId="14" borderId="0" applyNumberFormat="0" applyBorder="0" applyAlignment="0" applyProtection="0"/>
    <xf numFmtId="0" fontId="19" fillId="15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10" applyNumberFormat="0" applyAlignment="0" applyProtection="0"/>
    <xf numFmtId="0" fontId="22" fillId="18" borderId="11" applyNumberFormat="0" applyAlignment="0" applyProtection="0"/>
    <xf numFmtId="0" fontId="23" fillId="18" borderId="10" applyNumberFormat="0" applyAlignment="0" applyProtection="0"/>
    <xf numFmtId="0" fontId="24" fillId="0" borderId="12" applyNumberFormat="0" applyFill="0" applyAlignment="0" applyProtection="0"/>
    <xf numFmtId="0" fontId="6" fillId="19" borderId="13" applyNumberFormat="0" applyAlignment="0" applyProtection="0"/>
    <xf numFmtId="0" fontId="12" fillId="0" borderId="0" applyNumberFormat="0" applyFill="0" applyBorder="0" applyAlignment="0" applyProtection="0"/>
    <xf numFmtId="0" fontId="2" fillId="20" borderId="14" applyNumberFormat="0" applyFont="0" applyAlignment="0" applyProtection="0"/>
    <xf numFmtId="0" fontId="25" fillId="0" borderId="0" applyNumberFormat="0" applyFill="0" applyBorder="0" applyAlignment="0" applyProtection="0"/>
    <xf numFmtId="0" fontId="4" fillId="0" borderId="15" applyNumberFormat="0" applyFill="0" applyAlignment="0" applyProtection="0"/>
    <xf numFmtId="0" fontId="13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13" fillId="44" borderId="0" applyNumberFormat="0" applyBorder="0" applyAlignment="0" applyProtection="0"/>
  </cellStyleXfs>
  <cellXfs count="138">
    <xf numFmtId="0" fontId="0" fillId="0" borderId="0" xfId="0"/>
    <xf numFmtId="0" fontId="0" fillId="0" borderId="0" xfId="0" pivotButton="1"/>
    <xf numFmtId="0" fontId="0" fillId="0" borderId="0" xfId="0" applyFill="1" applyAlignment="1">
      <alignment horizontal="center"/>
    </xf>
    <xf numFmtId="0" fontId="0" fillId="2" borderId="0" xfId="0" applyFill="1"/>
    <xf numFmtId="0" fontId="0" fillId="4" borderId="0" xfId="0" applyFill="1"/>
    <xf numFmtId="0" fontId="0" fillId="3" borderId="0" xfId="0" applyFill="1"/>
    <xf numFmtId="0" fontId="0" fillId="0" borderId="0" xfId="0"/>
    <xf numFmtId="0" fontId="0" fillId="2" borderId="0" xfId="0" applyFill="1" applyAlignment="1">
      <alignment horizontal="left"/>
    </xf>
    <xf numFmtId="0" fontId="6" fillId="3" borderId="0" xfId="0" applyFont="1" applyFill="1"/>
    <xf numFmtId="0" fontId="6" fillId="3" borderId="0" xfId="0" applyFont="1" applyFill="1" applyAlignment="1">
      <alignment horizontal="center"/>
    </xf>
    <xf numFmtId="3" fontId="0" fillId="2" borderId="0" xfId="0" applyNumberFormat="1" applyFill="1" applyAlignment="1">
      <alignment horizontal="center"/>
    </xf>
    <xf numFmtId="10" fontId="0" fillId="2" borderId="0" xfId="0" applyNumberFormat="1" applyFill="1" applyAlignment="1">
      <alignment horizontal="center"/>
    </xf>
    <xf numFmtId="0" fontId="0" fillId="0" borderId="0" xfId="0" applyNumberFormat="1"/>
    <xf numFmtId="0" fontId="0" fillId="0" borderId="0" xfId="0" applyFill="1"/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8" fillId="2" borderId="0" xfId="4" applyFill="1" applyAlignment="1">
      <alignment horizontal="center"/>
    </xf>
    <xf numFmtId="0" fontId="0" fillId="9" borderId="0" xfId="0" applyFill="1"/>
    <xf numFmtId="0" fontId="0" fillId="10" borderId="0" xfId="0" applyFill="1"/>
    <xf numFmtId="0" fontId="9" fillId="2" borderId="0" xfId="0" applyFont="1" applyFill="1" applyBorder="1" applyAlignment="1">
      <alignment horizontal="center" vertical="center"/>
    </xf>
    <xf numFmtId="0" fontId="6" fillId="3" borderId="0" xfId="0" applyFont="1" applyFill="1" applyAlignment="1"/>
    <xf numFmtId="0" fontId="7" fillId="0" borderId="0" xfId="0" applyFont="1" applyAlignment="1">
      <alignment vertical="center"/>
    </xf>
    <xf numFmtId="0" fontId="4" fillId="11" borderId="0" xfId="0" applyFont="1" applyFill="1" applyAlignment="1">
      <alignment horizontal="left"/>
    </xf>
    <xf numFmtId="0" fontId="5" fillId="7" borderId="2" xfId="0" applyFont="1" applyFill="1" applyBorder="1" applyAlignment="1">
      <alignment horizontal="center"/>
    </xf>
    <xf numFmtId="0" fontId="7" fillId="0" borderId="0" xfId="0" applyFont="1" applyAlignment="1">
      <alignment horizontal="center" vertical="center"/>
    </xf>
    <xf numFmtId="10" fontId="0" fillId="2" borderId="0" xfId="3" applyNumberFormat="1" applyFont="1" applyFill="1"/>
    <xf numFmtId="0" fontId="0" fillId="0" borderId="0" xfId="0" applyFill="1" applyAlignment="1">
      <alignment horizontal="right" vertical="center"/>
    </xf>
    <xf numFmtId="0" fontId="0" fillId="7" borderId="3" xfId="0" applyFill="1" applyBorder="1"/>
    <xf numFmtId="0" fontId="0" fillId="7" borderId="4" xfId="0" applyFill="1" applyBorder="1"/>
    <xf numFmtId="0" fontId="0" fillId="7" borderId="4" xfId="0" applyFill="1" applyBorder="1" applyAlignment="1">
      <alignment horizontal="left" vertical="center"/>
    </xf>
    <xf numFmtId="0" fontId="0" fillId="4" borderId="4" xfId="0" applyFill="1" applyBorder="1"/>
    <xf numFmtId="0" fontId="0" fillId="8" borderId="4" xfId="0" applyFill="1" applyBorder="1" applyAlignment="1">
      <alignment horizontal="center"/>
    </xf>
    <xf numFmtId="0" fontId="3" fillId="4" borderId="4" xfId="0" applyFont="1" applyFill="1" applyBorder="1"/>
    <xf numFmtId="0" fontId="3" fillId="4" borderId="5" xfId="0" applyFont="1" applyFill="1" applyBorder="1"/>
    <xf numFmtId="0" fontId="0" fillId="0" borderId="0" xfId="0" applyFill="1" applyAlignment="1">
      <alignment horizontal="center" vertical="center"/>
    </xf>
    <xf numFmtId="0" fontId="0" fillId="12" borderId="4" xfId="0" applyFill="1" applyBorder="1" applyAlignment="1">
      <alignment horizontal="left" vertical="center"/>
    </xf>
    <xf numFmtId="0" fontId="0" fillId="12" borderId="4" xfId="0" applyFill="1" applyBorder="1" applyAlignment="1">
      <alignment horizontal="center" vertical="center"/>
    </xf>
    <xf numFmtId="0" fontId="6" fillId="13" borderId="0" xfId="0" applyFont="1" applyFill="1" applyAlignment="1">
      <alignment horizontal="center"/>
    </xf>
    <xf numFmtId="0" fontId="0" fillId="7" borderId="4" xfId="0" applyFont="1" applyFill="1" applyBorder="1"/>
    <xf numFmtId="0" fontId="3" fillId="0" borderId="0" xfId="0" applyFont="1"/>
    <xf numFmtId="0" fontId="6" fillId="0" borderId="0" xfId="0" applyFont="1" applyFill="1" applyAlignment="1">
      <alignment horizontal="center"/>
    </xf>
    <xf numFmtId="0" fontId="0" fillId="0" borderId="4" xfId="0" applyFill="1" applyBorder="1"/>
    <xf numFmtId="0" fontId="10" fillId="0" borderId="1" xfId="0" applyFont="1" applyBorder="1" applyAlignment="1">
      <alignment horizontal="right" vertical="center"/>
    </xf>
    <xf numFmtId="0" fontId="5" fillId="7" borderId="1" xfId="0" applyFont="1" applyFill="1" applyBorder="1" applyAlignment="1">
      <alignment horizontal="center" wrapText="1"/>
    </xf>
    <xf numFmtId="0" fontId="0" fillId="7" borderId="6" xfId="0" applyFill="1" applyBorder="1"/>
    <xf numFmtId="0" fontId="0" fillId="7" borderId="4" xfId="0" applyFill="1" applyBorder="1" applyAlignment="1">
      <alignment horizontal="center"/>
    </xf>
    <xf numFmtId="0" fontId="0" fillId="0" borderId="0" xfId="0"/>
    <xf numFmtId="14" fontId="0" fillId="0" borderId="0" xfId="0" applyNumberFormat="1"/>
    <xf numFmtId="47" fontId="0" fillId="0" borderId="0" xfId="0" applyNumberFormat="1"/>
    <xf numFmtId="0" fontId="3" fillId="4" borderId="0" xfId="0" applyFont="1" applyFill="1"/>
    <xf numFmtId="0" fontId="4" fillId="0" borderId="0" xfId="0" applyFont="1" applyFill="1" applyBorder="1" applyAlignment="1">
      <alignment horizontal="left"/>
    </xf>
    <xf numFmtId="0" fontId="4" fillId="0" borderId="0" xfId="0" applyFont="1" applyFill="1" applyAlignment="1">
      <alignment horizontal="left"/>
    </xf>
    <xf numFmtId="1" fontId="0" fillId="0" borderId="0" xfId="0" applyNumberFormat="1" applyFill="1" applyAlignment="1">
      <alignment horizontal="right" vertical="center"/>
    </xf>
    <xf numFmtId="0" fontId="13" fillId="0" borderId="0" xfId="0" applyFont="1" applyFill="1" applyBorder="1" applyAlignment="1">
      <alignment horizontal="left"/>
    </xf>
    <xf numFmtId="0" fontId="13" fillId="2" borderId="0" xfId="0" applyFont="1" applyFill="1"/>
    <xf numFmtId="0" fontId="3" fillId="0" borderId="0" xfId="0" applyFont="1" applyFill="1"/>
    <xf numFmtId="0" fontId="13" fillId="0" borderId="0" xfId="0" applyFont="1" applyFill="1" applyBorder="1"/>
    <xf numFmtId="3" fontId="0" fillId="2" borderId="0" xfId="0" applyNumberFormat="1" applyFont="1" applyFill="1" applyBorder="1" applyAlignment="1">
      <alignment horizontal="center"/>
    </xf>
    <xf numFmtId="0" fontId="13" fillId="0" borderId="0" xfId="0" applyFont="1" applyFill="1" applyBorder="1" applyAlignment="1"/>
    <xf numFmtId="0" fontId="13" fillId="2" borderId="0" xfId="0" applyFont="1" applyFill="1" applyBorder="1" applyAlignment="1">
      <alignment horizontal="left"/>
    </xf>
    <xf numFmtId="10" fontId="0" fillId="2" borderId="0" xfId="0" applyNumberFormat="1" applyFont="1" applyFill="1" applyBorder="1" applyAlignment="1">
      <alignment horizontal="center"/>
    </xf>
    <xf numFmtId="0" fontId="0" fillId="2" borderId="0" xfId="0" applyFill="1" applyBorder="1"/>
    <xf numFmtId="3" fontId="0" fillId="2" borderId="0" xfId="0" applyNumberFormat="1" applyFill="1" applyBorder="1" applyAlignment="1">
      <alignment horizontal="center"/>
    </xf>
    <xf numFmtId="0" fontId="8" fillId="2" borderId="0" xfId="4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10" fontId="0" fillId="2" borderId="0" xfId="0" applyNumberFormat="1" applyFill="1" applyBorder="1" applyAlignment="1">
      <alignment horizontal="center"/>
    </xf>
    <xf numFmtId="14" fontId="0" fillId="2" borderId="0" xfId="0" applyNumberFormat="1" applyFont="1" applyFill="1" applyBorder="1" applyAlignment="1">
      <alignment horizontal="left"/>
    </xf>
    <xf numFmtId="164" fontId="5" fillId="0" borderId="0" xfId="3" applyNumberFormat="1" applyFont="1" applyFill="1" applyBorder="1" applyAlignment="1"/>
    <xf numFmtId="0" fontId="5" fillId="0" borderId="0" xfId="0" applyFont="1" applyFill="1" applyBorder="1" applyAlignment="1"/>
    <xf numFmtId="0" fontId="3" fillId="0" borderId="0" xfId="0" applyFont="1" applyFill="1" applyBorder="1" applyAlignment="1"/>
    <xf numFmtId="0" fontId="3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5" fillId="0" borderId="16" xfId="0" applyFont="1" applyFill="1" applyBorder="1" applyAlignment="1">
      <alignment horizontal="center"/>
    </xf>
    <xf numFmtId="14" fontId="0" fillId="2" borderId="0" xfId="0" applyNumberFormat="1" applyFill="1" applyAlignment="1">
      <alignment horizontal="left"/>
    </xf>
    <xf numFmtId="14" fontId="0" fillId="2" borderId="0" xfId="0" applyNumberFormat="1" applyFill="1" applyBorder="1"/>
    <xf numFmtId="0" fontId="0" fillId="0" borderId="0" xfId="0" applyFill="1" applyBorder="1"/>
    <xf numFmtId="0" fontId="3" fillId="6" borderId="0" xfId="0" applyFont="1" applyFill="1"/>
    <xf numFmtId="14" fontId="4" fillId="2" borderId="0" xfId="0" applyNumberFormat="1" applyFont="1" applyFill="1" applyBorder="1"/>
    <xf numFmtId="14" fontId="0" fillId="2" borderId="0" xfId="0" applyNumberFormat="1" applyFont="1" applyFill="1" applyBorder="1"/>
    <xf numFmtId="0" fontId="5" fillId="0" borderId="0" xfId="0" applyFont="1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6" fillId="13" borderId="0" xfId="0" applyFont="1" applyFill="1" applyBorder="1" applyAlignment="1">
      <alignment horizontal="left"/>
    </xf>
    <xf numFmtId="0" fontId="6" fillId="45" borderId="0" xfId="0" applyFont="1" applyFill="1" applyBorder="1" applyAlignment="1">
      <alignment horizontal="left"/>
    </xf>
    <xf numFmtId="0" fontId="0" fillId="7" borderId="1" xfId="0" applyNumberFormat="1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0" fontId="0" fillId="4" borderId="1" xfId="0" applyFill="1" applyBorder="1"/>
    <xf numFmtId="14" fontId="0" fillId="2" borderId="0" xfId="0" applyNumberFormat="1" applyFill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9" fontId="0" fillId="2" borderId="0" xfId="3" applyFont="1" applyFill="1"/>
    <xf numFmtId="0" fontId="4" fillId="0" borderId="0" xfId="0" applyFont="1" applyFill="1" applyBorder="1"/>
    <xf numFmtId="0" fontId="4" fillId="2" borderId="0" xfId="0" applyFont="1" applyFill="1" applyBorder="1"/>
    <xf numFmtId="14" fontId="4" fillId="0" borderId="0" xfId="0" applyNumberFormat="1" applyFont="1" applyBorder="1"/>
    <xf numFmtId="0" fontId="6" fillId="3" borderId="1" xfId="0" applyFont="1" applyFill="1" applyBorder="1" applyAlignment="1">
      <alignment horizontal="center"/>
    </xf>
    <xf numFmtId="0" fontId="6" fillId="13" borderId="1" xfId="0" applyFont="1" applyFill="1" applyBorder="1" applyAlignment="1">
      <alignment horizontal="left"/>
    </xf>
    <xf numFmtId="0" fontId="6" fillId="45" borderId="1" xfId="0" applyFont="1" applyFill="1" applyBorder="1" applyAlignment="1">
      <alignment horizontal="left"/>
    </xf>
    <xf numFmtId="0" fontId="0" fillId="46" borderId="1" xfId="0" applyFill="1" applyBorder="1"/>
    <xf numFmtId="3" fontId="0" fillId="2" borderId="1" xfId="0" applyNumberFormat="1" applyFon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4" fontId="0" fillId="2" borderId="1" xfId="0" applyNumberFormat="1" applyFont="1" applyFill="1" applyBorder="1"/>
    <xf numFmtId="10" fontId="0" fillId="2" borderId="1" xfId="0" applyNumberFormat="1" applyFont="1" applyFill="1" applyBorder="1" applyAlignment="1">
      <alignment horizontal="center"/>
    </xf>
    <xf numFmtId="14" fontId="4" fillId="2" borderId="1" xfId="0" applyNumberFormat="1" applyFont="1" applyFill="1" applyBorder="1"/>
    <xf numFmtId="0" fontId="4" fillId="46" borderId="1" xfId="0" applyFont="1" applyFill="1" applyBorder="1"/>
    <xf numFmtId="0" fontId="4" fillId="2" borderId="1" xfId="0" applyFont="1" applyFill="1" applyBorder="1"/>
    <xf numFmtId="0" fontId="0" fillId="2" borderId="1" xfId="0" applyFont="1" applyFill="1" applyBorder="1"/>
    <xf numFmtId="14" fontId="0" fillId="0" borderId="0" xfId="0" applyNumberFormat="1" applyFill="1" applyBorder="1"/>
    <xf numFmtId="0" fontId="0" fillId="0" borderId="0" xfId="0" applyFill="1" applyBorder="1" applyAlignment="1">
      <alignment horizontal="left"/>
    </xf>
    <xf numFmtId="14" fontId="0" fillId="0" borderId="0" xfId="0" applyNumberFormat="1" applyFont="1" applyFill="1" applyBorder="1"/>
    <xf numFmtId="14" fontId="0" fillId="0" borderId="0" xfId="0" applyNumberFormat="1" applyFill="1" applyAlignment="1">
      <alignment horizontal="center" vertical="center"/>
    </xf>
    <xf numFmtId="14" fontId="0" fillId="0" borderId="0" xfId="0" applyNumberFormat="1" applyFill="1"/>
    <xf numFmtId="0" fontId="28" fillId="7" borderId="0" xfId="0" applyFont="1" applyFill="1" applyAlignment="1"/>
    <xf numFmtId="0" fontId="28" fillId="0" borderId="0" xfId="0" applyFont="1" applyFill="1" applyAlignment="1"/>
    <xf numFmtId="0" fontId="0" fillId="47" borderId="0" xfId="0" applyFill="1"/>
    <xf numFmtId="0" fontId="0" fillId="48" borderId="0" xfId="0" applyFill="1"/>
    <xf numFmtId="0" fontId="29" fillId="48" borderId="0" xfId="0" applyFont="1" applyFill="1"/>
    <xf numFmtId="0" fontId="30" fillId="48" borderId="0" xfId="0" applyFont="1" applyFill="1"/>
    <xf numFmtId="0" fontId="0" fillId="2" borderId="1" xfId="0" applyFill="1" applyBorder="1"/>
    <xf numFmtId="0" fontId="5" fillId="7" borderId="0" xfId="0" applyFont="1" applyFill="1" applyBorder="1" applyAlignment="1">
      <alignment horizontal="center" wrapText="1"/>
    </xf>
    <xf numFmtId="0" fontId="6" fillId="3" borderId="1" xfId="0" applyFont="1" applyFill="1" applyBorder="1"/>
    <xf numFmtId="14" fontId="0" fillId="2" borderId="1" xfId="0" applyNumberFormat="1" applyFill="1" applyBorder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0" borderId="0" xfId="3" applyFont="1" applyFill="1"/>
    <xf numFmtId="14" fontId="0" fillId="7" borderId="4" xfId="0" applyNumberFormat="1" applyFill="1" applyBorder="1" applyAlignment="1">
      <alignment horizontal="left" vertical="center"/>
    </xf>
    <xf numFmtId="14" fontId="0" fillId="4" borderId="0" xfId="0" applyNumberFormat="1" applyFill="1"/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3" fontId="0" fillId="0" borderId="0" xfId="0" applyNumberFormat="1" applyAlignment="1">
      <alignment wrapText="1"/>
    </xf>
    <xf numFmtId="0" fontId="0" fillId="2" borderId="1" xfId="0" applyFill="1" applyBorder="1" applyAlignment="1">
      <alignment horizontal="left"/>
    </xf>
    <xf numFmtId="0" fontId="0" fillId="6" borderId="0" xfId="0" applyFill="1" applyAlignment="1">
      <alignment horizontal="left" vertical="top" wrapText="1"/>
    </xf>
    <xf numFmtId="0" fontId="3" fillId="5" borderId="0" xfId="0" applyFont="1" applyFill="1" applyAlignment="1">
      <alignment horizontal="left" vertical="top" wrapText="1"/>
    </xf>
    <xf numFmtId="0" fontId="28" fillId="7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27" fillId="5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</cellXfs>
  <cellStyles count="46">
    <cellStyle name="20% - Énfasis1" xfId="23" builtinId="30" customBuiltin="1"/>
    <cellStyle name="20% - Énfasis2" xfId="27" builtinId="34" customBuiltin="1"/>
    <cellStyle name="20% - Énfasis3" xfId="31" builtinId="38" customBuiltin="1"/>
    <cellStyle name="20% - Énfasis4" xfId="35" builtinId="42" customBuiltin="1"/>
    <cellStyle name="20% - Énfasis5" xfId="39" builtinId="46" customBuiltin="1"/>
    <cellStyle name="20% - Énfasis6" xfId="43" builtinId="50" customBuiltin="1"/>
    <cellStyle name="40% - Énfasis1" xfId="24" builtinId="31" customBuiltin="1"/>
    <cellStyle name="40% - Énfasis2" xfId="28" builtinId="35" customBuiltin="1"/>
    <cellStyle name="40% - Énfasis3" xfId="32" builtinId="39" customBuiltin="1"/>
    <cellStyle name="40% - Énfasis4" xfId="36" builtinId="43" customBuiltin="1"/>
    <cellStyle name="40% - Énfasis5" xfId="40" builtinId="47" customBuiltin="1"/>
    <cellStyle name="40% - Énfasis6" xfId="44" builtinId="51" customBuiltin="1"/>
    <cellStyle name="60% - Énfasis1" xfId="25" builtinId="32" customBuiltin="1"/>
    <cellStyle name="60% - Énfasis2" xfId="29" builtinId="36" customBuiltin="1"/>
    <cellStyle name="60% - Énfasis3" xfId="33" builtinId="40" customBuiltin="1"/>
    <cellStyle name="60% - Énfasis4" xfId="37" builtinId="44" customBuiltin="1"/>
    <cellStyle name="60% - Énfasis5" xfId="41" builtinId="48" customBuiltin="1"/>
    <cellStyle name="60% - Énfasis6" xfId="45" builtinId="52" customBuiltin="1"/>
    <cellStyle name="Bueno" xfId="10" builtinId="26" customBuiltin="1"/>
    <cellStyle name="Cálculo" xfId="15" builtinId="22" customBuiltin="1"/>
    <cellStyle name="Celda de comprobación" xfId="17" builtinId="23" customBuiltin="1"/>
    <cellStyle name="Celda vinculada" xfId="16" builtinId="24" customBuiltin="1"/>
    <cellStyle name="Encabezado 1" xfId="6" builtinId="16" customBuiltin="1"/>
    <cellStyle name="Encabezado 4" xfId="9" builtinId="19" customBuiltin="1"/>
    <cellStyle name="Énfasis1" xfId="22" builtinId="29" customBuiltin="1"/>
    <cellStyle name="Énfasis2" xfId="26" builtinId="33" customBuiltin="1"/>
    <cellStyle name="Énfasis3" xfId="30" builtinId="37" customBuiltin="1"/>
    <cellStyle name="Énfasis4" xfId="34" builtinId="41" customBuiltin="1"/>
    <cellStyle name="Énfasis5" xfId="38" builtinId="45" customBuiltin="1"/>
    <cellStyle name="Énfasis6" xfId="42" builtinId="49" customBuiltin="1"/>
    <cellStyle name="Entrada" xfId="13" builtinId="20" customBuiltin="1"/>
    <cellStyle name="Hipervínculo" xfId="4" builtinId="8"/>
    <cellStyle name="Incorrecto" xfId="11" builtinId="27" customBuiltin="1"/>
    <cellStyle name="Neutral" xfId="12" builtinId="28" customBuiltin="1"/>
    <cellStyle name="Normal" xfId="0" builtinId="0"/>
    <cellStyle name="Normal 10" xfId="1"/>
    <cellStyle name="Normal 2" xfId="2"/>
    <cellStyle name="Notas" xfId="19" builtinId="10" customBuiltin="1"/>
    <cellStyle name="Porcentaje" xfId="3" builtinId="5"/>
    <cellStyle name="Salida" xfId="14" builtinId="21" customBuiltin="1"/>
    <cellStyle name="Texto de advertencia" xfId="18" builtinId="11" customBuiltin="1"/>
    <cellStyle name="Texto explicativo" xfId="20" builtinId="53" customBuiltin="1"/>
    <cellStyle name="Título" xfId="5" builtinId="15" customBuiltin="1"/>
    <cellStyle name="Título 2" xfId="7" builtinId="17" customBuiltin="1"/>
    <cellStyle name="Título 3" xfId="8" builtinId="18" customBuiltin="1"/>
    <cellStyle name="Total" xfId="21" builtinId="25" customBuiltin="1"/>
  </cellStyles>
  <dxfs count="467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 patternType="solid">
          <fgColor indexed="64"/>
          <bgColor theme="6" tint="-0.499984740745262"/>
        </patternFill>
      </fill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249977111117893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font>
        <color theme="0"/>
      </font>
    </dxf>
    <dxf>
      <fill>
        <patternFill>
          <bgColor theme="2" tint="-0.89999084444715716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b/>
        <color theme="0"/>
      </font>
      <alignment horizontal="center" readingOrder="0"/>
    </dxf>
    <dxf>
      <font>
        <color auto="1"/>
      </font>
    </dxf>
    <dxf>
      <fill>
        <patternFill patternType="none">
          <bgColor auto="1"/>
        </patternFill>
      </fill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64"/>
        </patternFill>
      </fill>
    </dxf>
    <dxf>
      <font>
        <color theme="1"/>
      </font>
    </dxf>
    <dxf>
      <font>
        <b/>
        <color theme="0"/>
      </font>
      <fill>
        <patternFill>
          <bgColor indexed="64"/>
        </patternFill>
      </fill>
    </dxf>
    <dxf>
      <alignment horizontal="center" readingOrder="0"/>
    </dxf>
    <dxf>
      <fill>
        <patternFill patternType="solid">
          <fgColor indexed="64"/>
          <bgColor theme="6" tint="-0.499984740745262"/>
        </patternFill>
      </fill>
    </dxf>
    <dxf>
      <numFmt numFmtId="14" formatCode="0.00%"/>
    </dxf>
    <dxf>
      <fill>
        <patternFill patternType="none">
          <bgColor auto="1"/>
        </patternFill>
      </fill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</dxfs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4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7/relationships/slicerCache" Target="slicerCaches/slicerCache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5" Type="http://schemas.microsoft.com/office/2007/relationships/slicerCache" Target="slicerCaches/slicerCache6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microsoft.com/office/2007/relationships/slicerCache" Target="slicerCaches/slicerCache1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5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microsoft.com/office/2007/relationships/slicerCache" Target="slicerCaches/slicerCache4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3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685800</xdr:colOff>
      <xdr:row>3</xdr:row>
      <xdr:rowOff>142876</xdr:rowOff>
    </xdr:from>
    <xdr:to>
      <xdr:col>6</xdr:col>
      <xdr:colOff>361950</xdr:colOff>
      <xdr:row>6</xdr:row>
      <xdr:rowOff>152400</xdr:rowOff>
    </xdr:to>
    <xdr:sp macro="[0]!main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971800" y="714376"/>
          <a:ext cx="1962150" cy="581024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latin typeface="Verdana" panose="020B0604030504040204" pitchFamily="34" charset="0"/>
              <a:ea typeface="Verdana" panose="020B0604030504040204" pitchFamily="34" charset="0"/>
            </a:rPr>
            <a:t>EJECUTAR</a:t>
          </a:r>
        </a:p>
      </xdr:txBody>
    </xdr:sp>
    <xdr:clientData/>
  </xdr:twoCellAnchor>
  <xdr:twoCellAnchor editAs="oneCell">
    <xdr:from>
      <xdr:col>9</xdr:col>
      <xdr:colOff>552450</xdr:colOff>
      <xdr:row>3</xdr:row>
      <xdr:rowOff>0</xdr:rowOff>
    </xdr:from>
    <xdr:to>
      <xdr:col>13</xdr:col>
      <xdr:colOff>27305</xdr:colOff>
      <xdr:row>7</xdr:row>
      <xdr:rowOff>149779</xdr:rowOff>
    </xdr:to>
    <xdr:pic>
      <xdr:nvPicPr>
        <xdr:cNvPr id="6" name="2 Imagen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571500"/>
          <a:ext cx="2522855" cy="9117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1228725</xdr:colOff>
      <xdr:row>1</xdr:row>
      <xdr:rowOff>19051</xdr:rowOff>
    </xdr:from>
    <xdr:to>
      <xdr:col>9</xdr:col>
      <xdr:colOff>1224653</xdr:colOff>
      <xdr:row>4</xdr:row>
      <xdr:rowOff>90389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3925" y="209551"/>
          <a:ext cx="2543175" cy="9095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0</xdr:row>
      <xdr:rowOff>95250</xdr:rowOff>
    </xdr:from>
    <xdr:to>
      <xdr:col>1</xdr:col>
      <xdr:colOff>1095375</xdr:colOff>
      <xdr:row>2</xdr:row>
      <xdr:rowOff>0</xdr:rowOff>
    </xdr:to>
    <xdr:sp macro="" textlink="">
      <xdr:nvSpPr>
        <xdr:cNvPr id="3" name="Flecha izquierda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47675" y="95250"/>
          <a:ext cx="866775" cy="419100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394251</xdr:colOff>
      <xdr:row>19</xdr:row>
      <xdr:rowOff>66261</xdr:rowOff>
    </xdr:from>
    <xdr:to>
      <xdr:col>0</xdr:col>
      <xdr:colOff>2223051</xdr:colOff>
      <xdr:row>32</xdr:row>
      <xdr:rowOff>50386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7175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283486</xdr:colOff>
      <xdr:row>3</xdr:row>
      <xdr:rowOff>20017</xdr:rowOff>
    </xdr:from>
    <xdr:to>
      <xdr:col>0</xdr:col>
      <xdr:colOff>2295166</xdr:colOff>
      <xdr:row>16</xdr:row>
      <xdr:rowOff>42794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2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3486" y="623267"/>
              <a:ext cx="2011680" cy="24992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019425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1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38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183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14350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960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racticante Direccion de Servicio Cordialsa Colombia" refreshedDate="44553.561354166668" missingItemsLimit="0" createdVersion="5" refreshedVersion="6" minRefreshableVersion="3" recordCount="381">
  <cacheSource type="worksheet">
    <worksheetSource ref="A1:AG1048576" sheet="Base de Datos"/>
  </cacheSource>
  <cacheFields count="34">
    <cacheField name="BODEGA" numFmtId="0">
      <sharedItems containsBlank="1" count="12">
        <s v="BARR"/>
        <s v="BGTA"/>
        <s v="DUIT"/>
        <s v="CALI"/>
        <s v="CART"/>
        <s v="MEDE"/>
        <s v="PERE"/>
        <s v="VILA"/>
        <s v="BGTA ALT"/>
        <s v="BUCA"/>
        <s v="IBA1"/>
        <m/>
      </sharedItems>
    </cacheField>
    <cacheField name="BUSCADOR" numFmtId="0">
      <sharedItems containsBlank="1"/>
    </cacheField>
    <cacheField name="CÓDIGO" numFmtId="0">
      <sharedItems containsBlank="1" count="61">
        <s v="CRD024952"/>
        <s v="CRD024947"/>
        <s v="CRD024945"/>
        <s v="CRD024946"/>
        <s v="CRD025035"/>
        <s v="CRD025033"/>
        <s v="CRD025034"/>
        <s v="CRD025036"/>
        <s v="CRD025037"/>
        <s v="CRD025032"/>
        <s v="ACT000554"/>
        <s v="ACT000548"/>
        <s v="CRD024889"/>
        <s v="CRD024929"/>
        <s v="CRD024905"/>
        <s v="CRD024936"/>
        <s v="CRD024123"/>
        <s v="CRD024124"/>
        <s v="CRD024125"/>
        <s v="CRD024126"/>
        <s v="CRD024127"/>
        <s v="CRD024128"/>
        <s v="CRD024129"/>
        <s v="CRD024130"/>
        <s v="CRD024131"/>
        <s v="CRD024350"/>
        <s v="CRD024351"/>
        <s v="CRD024352"/>
        <s v="CRD024353"/>
        <s v="CRD024354"/>
        <s v="CRD023562"/>
        <s v="CRD023535"/>
        <s v="CRD023531"/>
        <s v="ACT000484"/>
        <s v="ACT000481"/>
        <s v="ACT000489"/>
        <s v="ACT000549"/>
        <s v="ACT000550"/>
        <s v="ACT000460"/>
        <s v="ACT000466"/>
        <s v="ACT000465"/>
        <s v="ACT000467"/>
        <s v="ACT000502"/>
        <s v="ACT000496"/>
        <s v="CRD023546"/>
        <s v="CRD024492"/>
        <s v="CRD024886"/>
        <s v="CRD024888"/>
        <s v="CRD024883"/>
        <s v="CRD024884"/>
        <s v="CRD024885"/>
        <s v="CRD024887"/>
        <s v="CRD017899"/>
        <s v="CRD023585"/>
        <s v="CRD023584"/>
        <s v="ACT000334"/>
        <s v="CRD024951"/>
        <s v="CRD024954"/>
        <s v="CRD024590"/>
        <s v="CRD024906"/>
        <m/>
      </sharedItems>
    </cacheField>
    <cacheField name="DESCRIPCIÓN" numFmtId="0">
      <sharedItems containsBlank="1" count="61">
        <s v="CHIMENEA CON 4 CUBOS BEBIDAS VEGETALES TOSH"/>
        <s v="CHISPAS NAVIDAD CARULLA EN FAMILIA"/>
        <s v="FRONTAL NAVIDAD CARULLA EN FAMILIA"/>
        <s v="TV NAVIDAD CARULLA EN FAMILIA"/>
        <s v="PUNTA DE GÓNDOLA CON FRONTAL CHOCOLISTO MÁS CONTENIDO GRATIS"/>
        <s v="SHIPPER SOLO CHOCOLISTO MÁS CONTENIDO GRATIS"/>
        <s v="SHIPPER COMBINADO FESTIVAL CHOCOLISTO MÁS CONTENIDO GRATIS"/>
        <s v="VESTIDO DE REJILLA CHOCOLISTO MÁS CONTENIDO GRATIS"/>
        <s v="ESCUDO CHOCOLISTO MÁS CONTENIDO GRATIS"/>
        <s v="EXHIBIDOR CHOCOLISTO MÁS CONTENIDO GRATIS"/>
        <s v="ESTIBA AUTOMUESTREO"/>
        <s v="EXHIBIDOR LA ESPECIAL CAVA OLÍMPICA BELÉN"/>
        <s v="KIT VESTIDO MUEBLE AUTO DEGUSTADOR CD - JET COCO"/>
        <s v="VESTIDO REJILLA CARULLA MATIZ"/>
        <s v="MUEBLE NAVIDAD MULTIMARCA FARMATODO"/>
        <s v="EXHIBIDOR NAVIDAD LARGA VIDA 2021"/>
        <s v="COLOMBINA MASIVA NAVIDAD 2021"/>
        <s v="COLOMBINA MASIVA + ROLLO 5 MTSNAVIDAD 2021"/>
        <s v="COLOMBINA PREMIUM + ROLLO 5 MTS NAVIDAD 2021"/>
        <s v="COLOMBINA PREMIUM NAVIDAD 2021"/>
        <s v="PAREDON + ROLLO 8 MTS NAVIDAD NOEL 2021"/>
        <s v="PUNTA SUPER NAVIDAD 2021"/>
        <s v="ARRUME 2X1 NAVIDAD NOEL 2021 + ROLLO 7 MTS"/>
        <s v="ARRUME 2X2 NAVIDAD NOEL 2021 + ROLLO 10 MTS"/>
        <s v="ROLLO X 5 MT NAVIDAD NOEL 2021"/>
        <s v="ESCUDO GRANDE NAVIDAD NOEL 2021"/>
        <s v="TV CARULLA NAVIDAD NOEL 2021"/>
        <s v="ESCUDOS NAVIDAD NOEL 2021"/>
        <s v="ARBOL ÉXITO NAVIDAD NOEL 2021"/>
        <s v="PUENTE ÉXITO NAVIDAD NOEL 2021"/>
        <s v="BANDEJA ORGANIZADORA SELLO ROJO"/>
        <s v="BALCON CROSS DOBLE SELLO ROJO"/>
        <s v="BALCON CROSS DOBLE LA BASTILLA"/>
        <s v="PORTABOLSAS- PORTA BALANZA SELLO ROJO- CORONA"/>
        <s v="PORTABOLSAS- PORTA BALANZA LA BASTILLA"/>
        <s v="PORTACANASTILLAS SELLO ROJO"/>
        <s v="PORTACANASTILLAS LA BASTILLA"/>
        <s v="PORTABOLSAS SELLO ROJO KIT AU 2021"/>
        <s v="PARED FRUVER 3 CANASTILLASLA BASTILLA"/>
        <s v="PARED FRUVER 3 CANASTILLAS SELLO ROJO"/>
        <s v="PARED FRUVER 2 CANASTILLAS LA BASTILLA"/>
        <s v="PARED FRUVER 2 CANASTILLAS SELLO ROJO"/>
        <s v="REJILLA LATERAL SELLO ROJO"/>
        <s v="ESTIBA DE COSECHA SELLO ROJO"/>
        <s v="ARETE FRUVER SELLO ROJO- CORONA"/>
        <s v="CAJERO VENDEDOR MONTBLANC NAVIDAD 2021"/>
        <s v="AFICHE PLAN MATE LA ESPECIAL"/>
        <s v="BANDERINES PLAN MATE LA ESPECIAL"/>
        <s v="BALCÓN PLAN MATE LA ESPECIAL"/>
        <s v="RISTRA PLAN MATE LA ESPECIAL"/>
        <s v="SOLAPA PORTAPRECIO PLAN MATE LA ESPECIAL"/>
        <s v="TACKER PLAN MATE LA ESPECIAL"/>
        <s v="CENEFA DELIMITADORA MARCAS NUTRESA"/>
        <s v="HABLADOR PORTAPRECIO KIT AU 2021"/>
        <s v="PORTAPRECIO GENERICO NUTRESA KIT AU 2021"/>
        <s v="REJILLA AUTOSOPORTADA LA ESPECIAL"/>
        <s v="VESTIDO REJILLA REJILLAS BENET PANAMERICANA"/>
        <s v="RISTRA PLASTICA TOSH BEBIDAS TETRAPACK"/>
        <s v="SHIPPER NAVIDAD CHOCOLATES 2021"/>
        <s v="VESTIDOS MUEBLES CORONA /MAGDE"/>
        <m/>
      </sharedItems>
    </cacheField>
    <cacheField name="PROVEEDOR" numFmtId="0">
      <sharedItems containsBlank="1"/>
    </cacheField>
    <cacheField name="ASIGNACION" numFmtId="0">
      <sharedItems containsString="0" containsBlank="1" containsNumber="1" containsInteger="1" minValue="1" maxValue="30000"/>
    </cacheField>
    <cacheField name="INICIATIVA" numFmtId="0">
      <sharedItems containsBlank="1" count="20">
        <s v="BEBIDAS VEGETALES TOSH"/>
        <s v="CARULLA EN FAMILIA"/>
        <s v="CHOCOLISTO MAS CONTENIDO GRATIS"/>
        <s v="ESTIBA AUTOMUESTREO"/>
        <s v="EXHIBIDOR LA ESPECIAL CAVA OLÍMPICA BELÉN"/>
        <s v="IMAGEN MUEBLE AUTODEGUSTADOR"/>
        <s v="MATIZ"/>
        <s v="MUEBLES NAVIDAD FARMATODO"/>
        <s v="NAVIDAD LARGA VIDA 2021"/>
        <s v="NAVIDAD NOEL 2021"/>
        <s v="PEDIDO KIT CAFE AU"/>
        <s v="PLAN CAJERO MONTBLANC"/>
        <s v="PLAN MATE LA ESPECIAL"/>
        <s v="POP ADICIONAL AU"/>
        <s v="REJILLA AUTOSOPORTADA LA ESPECIAL"/>
        <s v="REJILLAS BENET PANAMERICANA"/>
        <s v="RISTRA BEBIDAS TOSH"/>
        <s v="SHIPPER NAVIDAD CHOCOLATES 2021"/>
        <s v="VESTIDOS MUEBLES CORONA /MAGDE"/>
        <m/>
      </sharedItems>
    </cacheField>
    <cacheField name="CANAL" numFmtId="0">
      <sharedItems containsBlank="1" count="4">
        <s v="CADENAS"/>
        <s v="AUTOSERVICIO"/>
        <s v="TRADICIONAL"/>
        <m/>
      </sharedItems>
    </cacheField>
    <cacheField name="DOCUMENTO 2" numFmtId="0">
      <sharedItems containsBlank="1"/>
    </cacheField>
    <cacheField name="TIPO" numFmtId="0">
      <sharedItems containsBlank="1" count="3">
        <s v="MATERIAL POP"/>
        <s v="MUEBLE EXHIBICION"/>
        <m/>
      </sharedItems>
    </cacheField>
    <cacheField name="DESPACHO/DIA CERO" numFmtId="0">
      <sharedItems containsNonDate="0" containsDate="1" containsString="0" containsBlank="1" minDate="2021-09-29T00:00:00" maxDate="2022-01-16T00:00:00"/>
    </cacheField>
    <cacheField name="DIA CERO PLUS" numFmtId="14">
      <sharedItems containsDate="1" containsBlank="1" containsMixedTypes="1" minDate="2021-11-01T00:00:00" maxDate="2021-12-02T00:00:00"/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 count="1">
        <m/>
      </sharedItems>
    </cacheField>
    <cacheField name="DIA INFO" numFmtId="0">
      <sharedItems containsNonDate="0" containsDate="1" containsString="0" containsBlank="1" minDate="2021-09-30T00:00:00" maxDate="2021-11-12T00:00:00" count="6">
        <m/>
        <d v="2021-10-07T00:00:00"/>
        <d v="2021-09-30T00:00:00"/>
        <d v="2021-11-04T00:00:00"/>
        <d v="2021-11-11T00:00:00"/>
        <d v="2021-10-28T00:00:00"/>
      </sharedItems>
    </cacheField>
    <cacheField name="BUSCADOR2" numFmtId="0">
      <sharedItems containsBlank="1"/>
    </cacheField>
    <cacheField name="INGRESADO" numFmtId="0">
      <sharedItems containsString="0" containsBlank="1" containsNumber="1" containsInteger="1" minValue="1" maxValue="30000" count="38">
        <m/>
        <n v="4"/>
        <n v="28"/>
        <n v="111"/>
        <n v="8"/>
        <n v="34"/>
        <n v="14"/>
        <n v="2"/>
        <n v="17"/>
        <n v="21"/>
        <n v="18"/>
        <n v="20"/>
        <n v="16"/>
        <n v="1"/>
        <n v="97"/>
        <n v="22"/>
        <n v="61"/>
        <n v="3"/>
        <n v="11"/>
        <n v="76"/>
        <n v="35"/>
        <n v="70"/>
        <n v="19"/>
        <n v="6"/>
        <n v="10"/>
        <n v="5"/>
        <n v="30"/>
        <n v="25"/>
        <n v="37"/>
        <n v="126"/>
        <n v="24"/>
        <n v="12"/>
        <n v="36"/>
        <n v="44"/>
        <n v="30000"/>
        <n v="1500"/>
        <n v="14000"/>
        <n v="15000"/>
      </sharedItems>
    </cacheField>
    <cacheField name="SALDO" numFmtId="0">
      <sharedItems containsString="0" containsBlank="1" containsNumber="1" containsInteger="1" minValue="1" maxValue="30000"/>
    </cacheField>
    <cacheField name="% CUM ING" numFmtId="9">
      <sharedItems containsString="0" containsBlank="1" containsNumber="1" containsInteger="1" minValue="0" maxValue="1"/>
    </cacheField>
    <cacheField name="EVACUADO" numFmtId="0">
      <sharedItems containsString="0" containsBlank="1" containsNumber="1" containsInteger="1" minValue="-1500" maxValue="2"/>
    </cacheField>
    <cacheField name="% CUM EVAC" numFmtId="9">
      <sharedItems containsString="0" containsBlank="1" containsNumber="1" minValue="-0.1" maxValue="0.5"/>
    </cacheField>
    <cacheField name="Novedad2" numFmtId="0">
      <sharedItems containsNonDate="0" containsString="0" containsBlank="1"/>
    </cacheField>
    <cacheField name="largo" numFmtId="0">
      <sharedItems containsString="0" containsBlank="1" containsNumber="1" minValue="0.01" maxValue="172000000"/>
    </cacheField>
    <cacheField name="ancho" numFmtId="0">
      <sharedItems containsString="0" containsBlank="1" containsNumber="1" containsInteger="1" minValue="4000000" maxValue="204000000"/>
    </cacheField>
    <cacheField name="alto" numFmtId="0">
      <sharedItems containsString="0" containsBlank="1" containsNumber="1" containsInteger="1" minValue="0" maxValue="0"/>
    </cacheField>
    <cacheField name="Volumen" numFmtId="0">
      <sharedItems containsString="0" containsBlank="1" containsNumber="1" minValue="0.77" maxValue="1.8E+22"/>
    </cacheField>
    <cacheField name="Volumen Total" numFmtId="0">
      <sharedItems containsString="0" containsBlank="1" containsNumber="1" minValue="0" maxValue="1.8E+22"/>
    </cacheField>
    <cacheField name="Calculo de posiciones" numFmtId="0">
      <sharedItems containsString="0" containsBlank="1" containsNumber="1" minValue="0" maxValue="1.25E+16"/>
    </cacheField>
    <cacheField name="FECHA LÍMITE DE INGRESO " numFmtId="0">
      <sharedItems containsNonDate="0" containsDate="1" containsString="0" containsBlank="1" minDate="2021-10-03T00:00:00" maxDate="2022-01-20T00:00:00"/>
    </cacheField>
    <cacheField name="ALERTA" numFmtId="0">
      <sharedItems containsBlank="1"/>
    </cacheField>
    <cacheField name="Fecha hoy" numFmtId="0">
      <sharedItems containsNonDate="0" containsDate="1" containsString="0" containsBlank="1" minDate="2021-12-23T00:00:00" maxDate="2021-12-24T00:00:00"/>
    </cacheField>
    <cacheField name="Dias restantes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 pivotCacheId="64091959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Practicante Direccion de Servicio Cordialsa Colombia" refreshedDate="44553.561359722225" createdVersion="6" refreshedVersion="6" minRefreshableVersion="3" recordCount="19">
  <cacheSource type="worksheet">
    <worksheetSource name="BD_hist"/>
  </cacheSource>
  <cacheFields count="17">
    <cacheField name="INICIATIVA" numFmtId="0">
      <sharedItems containsBlank="1" count="24">
        <s v="COLDTWIST"/>
        <s v="FABRICAS DE ANCHETAS CADENAS"/>
        <s v="IMAGENES MUEBLES MATIZ"/>
        <s v="KIT TRADICIONAL CIERRE 2021"/>
        <s v="MONTICELLO FUNCIONAL"/>
        <s v="MUCHAS FORMAS DE DESPERTAR TU VIDA"/>
        <s v="MUEBLE CAVA LA ESPECIAL"/>
        <s v="PARTES DE NEVERAS"/>
        <s v="RECOMPRA NAVIDAD NOEL AU"/>
        <s v="TOSH INMUNIDAD"/>
        <m u="1"/>
        <s v="IMAGEN MUEBLE AUTODEGUSTADOR" u="1"/>
        <s v="REJILLA AUTOSOPORTADA LA ESPECIAL" u="1"/>
        <s v="PLAN CAJERO MONTBLANC" u="1"/>
        <s v="PEDIDO KIT CAFE AU" u="1"/>
        <s v="BEBIDAS VEGETALES TOSH" u="1"/>
        <s v="CARULLA EN FAMILIA" u="1"/>
        <s v="PLAN MATE LA ESPECIAL" u="1"/>
        <s v="MATIZ" u="1"/>
        <s v="INICIATIVA" u="1"/>
        <s v="NAVIDAD CADENAS ADICIONAL" u="1"/>
        <s v="(en blanco)" u="1"/>
        <s v="SHIPPER NAVIDAD CHOCOLATES 2021" u="1"/>
        <s v="NAVIDAD LARGA VIDA 2021" u="1"/>
      </sharedItems>
    </cacheField>
    <cacheField name="DIA CERO PLUS" numFmtId="14">
      <sharedItems containsDate="1" containsMixedTypes="1" minDate="2021-11-01T00:00:00" maxDate="2021-11-18T00:00:00"/>
    </cacheField>
    <cacheField name="DESPACHO/DIA" numFmtId="14">
      <sharedItems containsSemiMixedTypes="0" containsNonDate="0" containsDate="1" containsString="0" minDate="2021-08-23T00:00:00" maxDate="2021-11-06T00:00:00"/>
    </cacheField>
    <cacheField name="TIPO" numFmtId="0">
      <sharedItems/>
    </cacheField>
    <cacheField name="Ingresos" numFmtId="0">
      <sharedItems containsSemiMixedTypes="0" containsString="0" containsNumber="1" containsInteger="1" minValue="1" maxValue="3520"/>
    </cacheField>
    <cacheField name="Asignado" numFmtId="0">
      <sharedItems containsSemiMixedTypes="0" containsString="0" containsNumber="1" containsInteger="1" minValue="1" maxValue="3520"/>
    </cacheField>
    <cacheField name="% Ingresos" numFmtId="0">
      <sharedItems containsSemiMixedTypes="0" containsString="0" containsNumber="1" containsInteger="1" minValue="1" maxValue="1"/>
    </cacheField>
    <cacheField name="Posiciones" numFmtId="0">
      <sharedItems containsSemiMixedTypes="0" containsString="0" containsNumber="1" minValue="4.9999999999999992E-3" maxValue="119.17734099999994"/>
    </cacheField>
    <cacheField name="% total Cum Ing" numFmtId="0">
      <sharedItems containsSemiMixedTypes="0" containsString="0" containsNumber="1" containsInteger="1" minValue="1" maxValue="69"/>
    </cacheField>
    <cacheField name="% totl cum evac" numFmtId="0">
      <sharedItems containsSemiMixedTypes="0" containsString="0" containsNumber="1" minValue="-12.539682539682538" maxValue="5.6124999999999998"/>
    </cacheField>
    <cacheField name="Linea" numFmtId="0">
      <sharedItems containsMixedTypes="1" containsNumber="1" containsInteger="1" minValue="10" maxValue="12" count="6">
        <e v="#N/A"/>
        <s v="TRADE"/>
        <s v="MERCADEO"/>
        <n v="10" u="1"/>
        <n v="11" u="1"/>
        <n v="12" u="1"/>
      </sharedItems>
    </cacheField>
    <cacheField name="Negocio" numFmtId="0">
      <sharedItems containsBlank="1" count="9">
        <e v="#N/A"/>
        <s v="PASTAS"/>
        <s v="CAFE"/>
        <s v="CNCH"/>
        <s v="GALLETAS"/>
        <m u="1"/>
        <s v="AUTOSERVICIO" u="1"/>
        <s v="TRADICIONAL" u="1"/>
        <s v="CADENAS" u="1"/>
      </sharedItems>
    </cacheField>
    <cacheField name="Canal" numFmtId="0">
      <sharedItems/>
    </cacheField>
    <cacheField name="Tipologia" numFmtId="0">
      <sharedItems/>
    </cacheField>
    <cacheField name="Mes" numFmtId="0">
      <sharedItems containsString="0" containsBlank="1" containsNumber="1" containsInteger="1" minValue="11" maxValue="11"/>
    </cacheField>
    <cacheField name="año" numFmtId="0">
      <sharedItems containsString="0" containsBlank="1" containsNumber="1" containsInteger="1" minValue="10" maxValue="2021" count="5">
        <n v="2021"/>
        <m/>
        <n v="10" u="1"/>
        <n v="11" u="1"/>
        <n v="12" u="1"/>
      </sharedItems>
    </cacheField>
    <cacheField name="Validacion 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Practicante Direccion de Servicio Cordialsa Colombia" refreshedDate="44553.561359837964" createdVersion="6" refreshedVersion="6" minRefreshableVersion="3" recordCount="1">
  <cacheSource type="worksheet">
    <worksheetSource name="Inventario"/>
  </cacheSource>
  <cacheFields count="34">
    <cacheField name="Concatenar" numFmtId="0">
      <sharedItems count="2157">
        <s v="BARRCRD011367TRADICIONALBPO"/>
        <s v="CALIACT000457AUTOSERVICIODESARROLLADORES" u="1"/>
        <s v="CALIACT000500AUTOSERVICIODESARROLLADORES" u="1"/>
        <s v="CALIACT000502AUTOSERVICIODESARROLLADORES" u="1"/>
        <s v="CALIACT000505AUTOSERVICIODESARROLLADORES" u="1"/>
        <s v="CALIACT000513AUTOSERVICIODESARROLLADORES" u="1"/>
        <s v="CALIACT000514AUTOSERVICIODESARROLLADORES" u="1"/>
        <s v="CARTCRD000114CADENASBPO" u="1"/>
        <s v="CARTCRD001420CADENASBPO" u="1"/>
        <s v="CARTCRD002204CADENASBPO" u="1"/>
        <s v="CARTCRD005001CADENASBPO" u="1"/>
        <s v="CARTCRD006670CADENASBPO" u="1"/>
        <s v="CARTCRD008430CADENASBPO" u="1"/>
        <s v="CARTCRD008638CADENASBPO" u="1"/>
        <s v="CARTCRD009167CADENASBPO" u="1"/>
        <s v="CARTCRD009243CADENASBPO" u="1"/>
        <s v="CARTCRD010532CADENASBPO" u="1"/>
        <s v="CARTCRD013564CADENASBPO" u="1"/>
        <s v="CARTCRD013990CADENASBPO" u="1"/>
        <s v="CARTCRD017312CADENASBPO" u="1"/>
        <s v="CARTCRD017330CADENASBPO" u="1"/>
        <s v="CARTCRD019018CADENASBPO" u="1"/>
        <s v="CARTCRD019268CADENASBPO" u="1"/>
        <s v="CARTCRD019364CADENASBPO" u="1"/>
        <s v="CARTCRD019365CADENASBPO" u="1"/>
        <s v="CARTCRD019529CADENASBPO" u="1"/>
        <s v="CARTCRD019555CADENASBPO" u="1"/>
        <s v="CARTCRD020315CADENASBPO" u="1"/>
        <s v="CARTCRD020317CADENASBPO" u="1"/>
        <s v="CARTCRD020501CADENASBPO" u="1"/>
        <s v="CARTCRD021163CADENASBPO" u="1"/>
        <s v="CARTCRD021235CADENASBPO" u="1"/>
        <s v="CARTCRD021681CADENASBPO" u="1"/>
        <s v="CARTCRD022497CADENASBPO" u="1"/>
        <s v="CARTCRD024261CADENASBPO" u="1"/>
        <s v="CARTCRD024262CADENASBPO" u="1"/>
        <s v="CARTCRD024268CADENASBPO" u="1"/>
        <s v="CARTCRD024788CADENASBPO" u="1"/>
        <s v="CARTCRD024841CADENASBPO" u="1"/>
        <s v="CARTCRD024842CADENASBPO" u="1"/>
        <s v="CARTCRD024843CADENASBPO" u="1"/>
        <s v="CARTCRD024844CADENASBPO" u="1"/>
        <s v="CARTCRD024845CADENASBPO" u="1"/>
        <s v="CARTCRD024847CADENASBPO" u="1"/>
        <s v="BUCACRD002204TRADICIONALBPO" u="1"/>
        <s v="BUCACRD008428TRADICIONALBPO" u="1"/>
        <s v="BUCACRD011367TRADICIONALBPO" u="1"/>
        <s v="BUCACRD013990TRADICIONALBPO" u="1"/>
        <s v="BUCACRD020972TRADICIONALBPO" u="1"/>
        <s v="BUCACRD020975TRADICIONALBPO" u="1"/>
        <s v="BUCACRD020980TRADICIONALBPO" u="1"/>
        <s v="BUCACRD021681TRADICIONALBPO" u="1"/>
        <s v="VILACRD001420CADENASBPO" u="1"/>
        <s v="VILACRD013990CADENASBPO" u="1"/>
        <s v="VILACRD017348CADENASBPO" u="1"/>
        <s v="VILACRD021136CADENASBPO" u="1"/>
        <s v="MEDENUTDUR000002AUTOSERVICIONUTRESA" u="1"/>
        <s v="MEDENUTDUR000003AUTOSERVICIONUTRESA" u="1"/>
        <s v="MEDENUTDUR000004AUTOSERVICIONUTRESA" u="1"/>
        <s v="MEDENUTDUR000005AUTOSERVICIONUTRESA" u="1"/>
        <s v="MEDENUTDUR000007AUTOSERVICIONUTRESA" u="1"/>
        <s v="MEDENUTDUR000001TRADICIONALNUTRESA" u="1"/>
        <s v="BUCAACT000075AUTOSERVICIONUTRESA" u="1"/>
        <s v="BUCAACT000096AUTOSERVICIONUTRESA" u="1"/>
        <s v="BUCAACT000350AUTOSERVICIONUTRESA" u="1"/>
        <s v="BUCAACT000418AUTOSERVICIONUTRESA" u="1"/>
        <s v="BUCAACT000436AUTOSERVICIONUTRESA" u="1"/>
        <s v="BUCAACT000496AUTOSERVICIONUTRESA" u="1"/>
        <s v="BUCAACT000501AUTOSERVICIONUTRESA" u="1"/>
        <s v="BUCAACT000531AUTOSERVICIONUTRESA" u="1"/>
        <s v="BUCAACT000551AUTOSERVICIONUTRESA" u="1"/>
        <s v="BUCACRD016684AUTOSERVICIONUTRESA" u="1"/>
        <s v="BUCACRD016974AUTOSERVICIONUTRESA" u="1"/>
        <s v="BUCACRD018193AUTOSERVICIONUTRESA" u="1"/>
        <s v="BUCACRD019463AUTOSERVICIONUTRESA" u="1"/>
        <s v="BUCACRD019464AUTOSERVICIONUTRESA" u="1"/>
        <s v="BUCACRD022088AUTOSERVICIONUTRESA" u="1"/>
        <s v="BUCACRD022322AUTOSERVICIONUTRESA" u="1"/>
        <s v="BUCACRD023488AUTOSERVICIONUTRESA" u="1"/>
        <s v="BUCACRD023535AUTOSERVICIONUTRESA" u="1"/>
        <s v="BUCACRD023894AUTOSERVICIONUTRESA" u="1"/>
        <s v="BUCACRD024327AUTOSERVICIONUTRESA" u="1"/>
        <s v="BUCACRD024883AUTOSERVICIONUTRESA" u="1"/>
        <s v="BUCACRD024912AUTOSERVICIONUTRESA" u="1"/>
        <s v="BUCACRD025001AUTOSERVICIONUTRESA" u="1"/>
        <s v="BUCACRD025002AUTOSERVICIONUTRESA" u="1"/>
        <s v="BUCACRD025023AUTOSERVICIONUTRESA" u="1"/>
        <s v="BUCACRD011253CADENASNUTRESA" u="1"/>
        <s v="BUCACRD011254CADENASNUTRESA" u="1"/>
        <s v="BUCACRD019262CADENASNUTRESA" u="1"/>
        <s v="BUCACRD023166CADENASNUTRESA" u="1"/>
        <s v="BUCACRD023774CADENASNUTRESA" u="1"/>
        <s v="BUCACRD024568CADENASNUTRESA" u="1"/>
        <s v="BUCAACT000436AUTOSERVICIOBPO" u="1"/>
        <s v="BUCACRD000115AUTOSERVICIOBPO" u="1"/>
        <s v="BUCACRD001420AUTOSERVICIOBPO" u="1"/>
        <s v="BUCACRD002204AUTOSERVICIOBPO" u="1"/>
        <s v="BUCACRD006670AUTOSERVICIOBPO" u="1"/>
        <s v="BUCACRD007004AUTOSERVICIOBPO" u="1"/>
        <s v="BUCACRD007355AUTOSERVICIOBPO" u="1"/>
        <s v="BUCACRD008428AUTOSERVICIOBPO" u="1"/>
        <s v="BUCACRD008430AUTOSERVICIOBPO" u="1"/>
        <s v="BUCACRD008638AUTOSERVICIOBPO" u="1"/>
        <s v="BUCACRD009243AUTOSERVICIOBPO" u="1"/>
        <s v="BUCACRD012588AUTOSERVICIOBPO" u="1"/>
        <s v="BUCACRD012624AUTOSERVICIOBPO" u="1"/>
        <s v="BUCACRD013990AUTOSERVICIOBPO" u="1"/>
        <s v="BUCACRD017312AUTOSERVICIOBPO" u="1"/>
        <s v="BUCACRD019018AUTOSERVICIOBPO" u="1"/>
        <s v="BUCACRD019238AUTOSERVICIOBPO" u="1"/>
        <s v="BUCACRD019268AUTOSERVICIOBPO" u="1"/>
        <s v="BUCACRD019555AUTOSERVICIOBPO" u="1"/>
        <s v="BUCACRD019638AUTOSERVICIOBPO" u="1"/>
        <s v="BUCACRD020361AUTOSERVICIOBPO" u="1"/>
        <s v="BUCACRD020715AUTOSERVICIOBPO" u="1"/>
        <s v="BUCACRD020865AUTOSERVICIOBPO" u="1"/>
        <s v="BUCACRD021163AUTOSERVICIOBPO" u="1"/>
        <s v="BUCACRD021681AUTOSERVICIOBPO" u="1"/>
        <s v="BUCACRD021930AUTOSERVICIOBPO" u="1"/>
        <s v="BUCACRD023361AUTOSERVICIOBPO" u="1"/>
        <s v="BUCACRD023661AUTOSERVICIOBPO" u="1"/>
        <s v="BUCACRD023808AUTOSERVICIOBPO" u="1"/>
        <s v="BUCACRD023916AUTOSERVICIOBPO" u="1"/>
        <s v="BUCACRD024365AUTOSERVICIOBPO" u="1"/>
        <s v="BUCACRD024397AUTOSERVICIOBPO" u="1"/>
        <s v="BUCACRD024398AUTOSERVICIOBPO" u="1"/>
        <s v="BUCACRD024437AUTOSERVICIOBPO" u="1"/>
        <s v="BUCACRD024788AUTOSERVICIOBPO" u="1"/>
        <s v="BUCACRD024796AUTOSERVICIOBPO" u="1"/>
        <s v="BUCACRD024804AUTOSERVICIOBPO" u="1"/>
        <s v="BUCACRD024841AUTOSERVICIOBPO" u="1"/>
        <s v="BUCACRD024842AUTOSERVICIOBPO" u="1"/>
        <s v="BUCACRD024843AUTOSERVICIOBPO" u="1"/>
        <s v="BUCACRD024844AUTOSERVICIOBPO" u="1"/>
        <s v="BUCACRD024845AUTOSERVICIOBPO" u="1"/>
        <s v="PERECRD000115CADENASBPO" u="1"/>
        <s v="PERECRD001420CADENASBPO" u="1"/>
        <s v="PERECRD005001CADENASBPO" u="1"/>
        <s v="PERECRD006670CADENASBPO" u="1"/>
        <s v="PERECRD007355CADENASBPO" u="1"/>
        <s v="PERECRD008430CADENASBPO" u="1"/>
        <s v="PERECRD008551CADENASBPO" u="1"/>
        <s v="PERECRD008638CADENASBPO" u="1"/>
        <s v="PERECRD009112CADENASBPO" u="1"/>
        <s v="PERECRD010532CADENASBPO" u="1"/>
        <s v="PERECRD012588CADENASBPO" u="1"/>
        <s v="PERECRD013990CADENASBPO" u="1"/>
        <s v="PERECRD014116CADENASBPO" u="1"/>
        <s v="PERECRD014117CADENASBPO" u="1"/>
        <s v="PERECRD014118CADENASBPO" u="1"/>
        <s v="PERECRD014119CADENASBPO" u="1"/>
        <s v="PERECRD014120CADENASBPO" u="1"/>
        <s v="PERECRD019018CADENASBPO" u="1"/>
        <s v="PERECRD019529CADENASBPO" u="1"/>
        <s v="PERECRD019638CADENASBPO" u="1"/>
        <s v="PERECRD019868CADENASBPO" u="1"/>
        <s v="PERECRD020181CADENASBPO" u="1"/>
        <s v="PERECRD020715CADENASBPO" u="1"/>
        <s v="PERECRD020865CADENASBPO" u="1"/>
        <s v="PERECRD021163CADENASBPO" u="1"/>
        <s v="PERECRD021350CADENASBPO" u="1"/>
        <s v="PERECRD021681CADENASBPO" u="1"/>
        <s v="PERECRD021754CADENASBPO" u="1"/>
        <s v="PERECRD021970CADENASBPO" u="1"/>
        <s v="PERECRD021973CADENASBPO" u="1"/>
        <s v="PERECRD022670CADENASBPO" u="1"/>
        <s v="PERECRD022717CADENASBPO" u="1"/>
        <s v="PERECRD022718CADENASBPO" u="1"/>
        <s v="PERECRD022897CADENASBPO" u="1"/>
        <s v="PERECRD023241CADENASBPO" u="1"/>
        <s v="PERECRD023611CADENASBPO" u="1"/>
        <s v="PERECRD024437CADENASBPO" u="1"/>
        <s v="PERECRD024682CADENASBPO" u="1"/>
        <s v="PERECRD024842CADENASBPO" u="1"/>
        <s v="PERECRD024843CADENASBPO" u="1"/>
        <s v="PERECRD024844CADENASBPO" u="1"/>
        <s v="PERECRD024845CADENASBPO" u="1"/>
        <s v="PERECRD024847CADENASBPO" u="1"/>
        <s v="BUCAACT000502AUTOSERVICIODESARROLLADORES" u="1"/>
        <s v="BUCAACT000516AUTOSERVICIODESARROLLADORES" u="1"/>
        <s v="BUCACRD023518AUTOSERVICIODESARROLLADORES" u="1"/>
        <s v="BUCACRD023520AUTOSERVICIODESARROLLADORES" u="1"/>
        <s v="BUCACRD023525AUTOSERVICIODESARROLLADORES" u="1"/>
        <s v="BGTACRD000122TRADICIONALPROMOTORES" u="1"/>
        <s v="BGTACRD001316TRADICIONALPROMOTORES" u="1"/>
        <s v="BGTACRD002036TRADICIONALPROMOTORES" u="1"/>
        <s v="BGTACRD010773TRADICIONALPROMOTORES" u="1"/>
        <s v="BGTACRD011016TRADICIONALPROMOTORES" u="1"/>
        <s v="BGTACRD011220TRADICIONALPROMOTORES" u="1"/>
        <s v="BGTACRD013990TRADICIONALPROMOTORES" u="1"/>
        <s v="BGTACRD015649TRADICIONALPROMOTORES" u="1"/>
        <s v="BGTACRD016004TRADICIONALPROMOTORES" u="1"/>
        <s v="BGTACRD022173TRADICIONALPROMOTORES" u="1"/>
        <s v="BGTAACT000370TRADICIONALNUTRESA" u="1"/>
        <s v="BGTAACT000437TRADICIONALNUTRESA" u="1"/>
        <s v="BGTAACT000439TRADICIONALNUTRESA" u="1"/>
        <s v="BGTAACT000440TRADICIONALNUTRESA" u="1"/>
        <s v="BGTAACT000444TRADICIONALNUTRESA" u="1"/>
        <s v="BGTAACT000540TRADICIONALNUTRESA" u="1"/>
        <s v="BGTACRD000245TRADICIONALNUTRESA" u="1"/>
        <s v="BGTACRD022267TRADICIONALNUTRESA" u="1"/>
        <s v="BGTACRD022273TRADICIONALNUTRESA" u="1"/>
        <s v="BGTACRD022858TRADICIONALNUTRESA" u="1"/>
        <s v="BGTACRD022861TRADICIONALNUTRESA" u="1"/>
        <s v="BGTACRD022876TRADICIONALNUTRESA" u="1"/>
        <s v="BGTACRD022881TRADICIONALNUTRESA" u="1"/>
        <s v="BGTACRD024971TRADICIONALNUTRESA" u="1"/>
        <s v="BGTACRD025004TRADICIONALNUTRESA" u="1"/>
        <s v="BGTACRD025005TRADICIONALNUTRESA" u="1"/>
        <s v="BGTACRD025008TRADICIONALNUTRESA" u="1"/>
        <s v="BGTACRD025009TRADICIONALNUTRESA" u="1"/>
        <s v="BGTACRD025010TRADICIONALNUTRESA" u="1"/>
        <s v="IBA1CRD000122CADENASBPO" u="1"/>
        <s v="IBA1CRD005001CADENASBPO" u="1"/>
        <s v="IBA1CRD006670CADENASBPO" u="1"/>
        <s v="IBA1CRD007355CADENASBPO" u="1"/>
        <s v="IBA1CRD008430CADENASBPO" u="1"/>
        <s v="IBA1CRD008638CADENASBPO" u="1"/>
        <s v="IBA1CRD010532CADENASBPO" u="1"/>
        <s v="IBA1CRD012588CADENASBPO" u="1"/>
        <s v="IBA1CRD013990CADENASBPO" u="1"/>
        <s v="IBA1CRD019555CADENASBPO" u="1"/>
        <s v="IBA1CRD019638CADENASBPO" u="1"/>
        <s v="IBA1CRD020715CADENASBPO" u="1"/>
        <s v="IBA1CRD020865CADENASBPO" u="1"/>
        <s v="IBA1CRD021162CADENASBPO" u="1"/>
        <s v="IBA1CRD021163CADENASBPO" u="1"/>
        <s v="IBA1CRD021681CADENASBPO" u="1"/>
        <s v="IBA1CRD021754CADENASBPO" u="1"/>
        <s v="IBA1CRD023141CADENASBPO" u="1"/>
        <s v="IBA1CRD023661CADENASBPO" u="1"/>
        <s v="IBA1CRD024365CADENASBPO" u="1"/>
        <s v="IBA1CRD024842CADENASBPO" u="1"/>
        <s v="IBA1CRD024843CADENASBPO" u="1"/>
        <s v="IBA1CRD024844CADENASBPO" u="1"/>
        <s v="IBA1CRD024845CADENASBPO" u="1"/>
        <s v="BARRCRD022295TRADICIONALPROMOTORES" u="1"/>
        <s v="BARRCRD022299TRADICIONALPROMOTORES" u="1"/>
        <s v="BARRCRD022301TRADICIONALPROMOTORES" u="1"/>
        <s v="CARTCRD000122TRADICIONALBPO" u="1"/>
        <s v="CARTCRD001420TRADICIONALBPO" u="1"/>
        <s v="CARTCRD002204TRADICIONALBPO" u="1"/>
        <s v="CARTCRD008430TRADICIONALBPO" u="1"/>
        <s v="CARTCRD009167TRADICIONALBPO" u="1"/>
        <s v="CARTCRD011367TRADICIONALBPO" u="1"/>
        <s v="CARTCRD013990TRADICIONALBPO" u="1"/>
        <s v="CARTCRD016004TRADICIONALBPO" u="1"/>
        <s v="CARTCRD020317TRADICIONALBPO" u="1"/>
        <s v="CARTCRD020971TRADICIONALBPO" u="1"/>
        <s v="CARTCRD020979TRADICIONALBPO" u="1"/>
        <s v="CARTCRD021787TRADICIONALBPO" u="1"/>
        <s v="CARTCRD024859TRADICIONALBPO" u="1"/>
        <s v="CARTCRD024860TRADICIONALBPO" u="1"/>
        <s v="CARTCRD024861TRADICIONALBPO" u="1"/>
        <s v="BARRACT000035TRADICIONALNUTRESA" u="1"/>
        <s v="BARRACT000063TRADICIONALNUTRESA" u="1"/>
        <s v="BARRACT000225TRADICIONALNUTRESA" u="1"/>
        <s v="BARRACT000227TRADICIONALNUTRESA" u="1"/>
        <s v="BARRACT000300TRADICIONALNUTRESA" u="1"/>
        <s v="BARRACT000439TRADICIONALNUTRESA" u="1"/>
        <s v="BARRCRD003605TRADICIONALNUTRESA" u="1"/>
        <s v="BARRCRD010275TRADICIONALNUTRESA" u="1"/>
        <s v="BARRCRD016422TRADICIONALNUTRESA" u="1"/>
        <s v="BARRCRD016566TRADICIONALNUTRESA" u="1"/>
        <s v="BARRCRD016684TRADICIONALNUTRESA" u="1"/>
        <s v="BARRCRD016974TRADICIONALNUTRESA" u="1"/>
        <s v="BARRCRD016975TRADICIONALNUTRESA" u="1"/>
        <s v="BARRCRD016978TRADICIONALNUTRESA" u="1"/>
        <s v="BARRCRD016979TRADICIONALNUTRESA" u="1"/>
        <s v="BARRCRD018193TRADICIONALNUTRESA" u="1"/>
        <s v="BARRCRD018933TRADICIONALNUTRESA" u="1"/>
        <s v="BARRCRD018935TRADICIONALNUTRESA" u="1"/>
        <s v="BARRCRD021014TRADICIONALNUTRESA" u="1"/>
        <s v="BARRCRD021015TRADICIONALNUTRESA" u="1"/>
        <s v="BARRCRD021040TRADICIONALNUTRESA" u="1"/>
        <s v="BARRCRD021041TRADICIONALNUTRESA" u="1"/>
        <s v="BARRCRD021042TRADICIONALNUTRESA" u="1"/>
        <s v="BARRCRD021724TRADICIONALNUTRESA" u="1"/>
        <s v="BARRCRD022088TRADICIONALNUTRESA" u="1"/>
        <s v="BARRCRD022574TRADICIONALNUTRESA" u="1"/>
        <s v="BARRCRD022874TRADICIONALNUTRESA" u="1"/>
        <s v="BARRCRD022876TRADICIONALNUTRESA" u="1"/>
        <s v="BARRCRD023608TRADICIONALNUTRESA" u="1"/>
        <s v="BARRCRD024643TRADICIONALNUTRESA" u="1"/>
        <s v="BARRCRD024644TRADICIONALNUTRESA" u="1"/>
        <s v="BARRCRD024645TRADICIONALNUTRESA" u="1"/>
        <s v="BARRCRD024646TRADICIONALNUTRESA" u="1"/>
        <s v="BARRCRD024647TRADICIONALNUTRESA" u="1"/>
        <s v="BARRCRD024648TRADICIONALNUTRESA" u="1"/>
        <s v="BARRCRD024971TRADICIONALNUTRESA" u="1"/>
        <s v="BARRCRD025005TRADICIONALNUTRESA" u="1"/>
        <s v="BARRCRD025006TRADICIONALNUTRESA" u="1"/>
        <s v="BARRCRD025008TRADICIONALNUTRESA" u="1"/>
        <s v="BARRCRD025009TRADICIONALNUTRESA" u="1"/>
        <s v="BARRCRD025010TRADICIONALNUTRESA" u="1"/>
        <s v="VILACRD023312TRADICIONALBPO" u="1"/>
        <s v="CARTACT000176AUTOSERVICIONUTRESA" u="1"/>
        <s v="CARTACT000303AUTOSERVICIONUTRESA" u="1"/>
        <s v="CARTACT000434AUTOSERVICIONUTRESA" u="1"/>
        <s v="CARTACT000461AUTOSERVICIONUTRESA" u="1"/>
        <s v="CARTACT000462AUTOSERVICIONUTRESA" u="1"/>
        <s v="CARTACT000496AUTOSERVICIONUTRESA" u="1"/>
        <s v="CARTACT000531AUTOSERVICIONUTRESA" u="1"/>
        <s v="CARTCRD018324AUTOSERVICIONUTRESA" u="1"/>
        <s v="CARTCRD018325AUTOSERVICIONUTRESA" u="1"/>
        <s v="CARTCRD023404AUTOSERVICIONUTRESA" u="1"/>
        <s v="CARTCRD023685AUTOSERVICIONUTRESA" u="1"/>
        <s v="CARTCRD024186AUTOSERVICIONUTRESA" u="1"/>
        <s v="CARTCRD024277AUTOSERVICIONUTRESA" u="1"/>
        <s v="CARTCRD024396AUTOSERVICIONUTRESA" u="1"/>
        <s v="CARTCRD024685AUTOSERVICIONUTRESA" u="1"/>
        <s v="CARTCRD024849AUTOSERVICIONUTRESA" u="1"/>
        <s v="CARTCRD024912AUTOSERVICIONUTRESA" u="1"/>
        <s v="CARTCRD024920AUTOSERVICIONUTRESA" u="1"/>
        <s v="CARTCRD024964AUTOSERVICIONUTRESA" u="1"/>
        <s v="CARTCRD024965AUTOSERVICIONUTRESA" u="1"/>
        <s v="CARTCRD025039AUTOSERVICIONUTRESA" u="1"/>
        <s v="VILAACT000176AUTOSERVICIONUTRESA" u="1"/>
        <s v="VILAACT000334AUTOSERVICIONUTRESA" u="1"/>
        <s v="VILAACT000423AUTOSERVICIONUTRESA" u="1"/>
        <s v="VILAACT000434AUTOSERVICIONUTRESA" u="1"/>
        <s v="VILAACT000457AUTOSERVICIONUTRESA" u="1"/>
        <s v="VILAACT000458AUTOSERVICIONUTRESA" u="1"/>
        <s v="VILAACT000461AUTOSERVICIONUTRESA" u="1"/>
        <s v="VILAACT000462AUTOSERVICIONUTRESA" u="1"/>
        <s v="VILAACT000466AUTOSERVICIONUTRESA" u="1"/>
        <s v="VILAACT000503AUTOSERVICIONUTRESA" u="1"/>
        <s v="VILAACT000514AUTOSERVICIONUTRESA" u="1"/>
        <s v="VILAACT000515AUTOSERVICIONUTRESA" u="1"/>
        <s v="VILAACT000516AUTOSERVICIONUTRESA" u="1"/>
        <s v="VILACRD017758AUTOSERVICIONUTRESA" u="1"/>
        <s v="VILACRD017899AUTOSERVICIONUTRESA" u="1"/>
        <s v="VILACRD018193AUTOSERVICIONUTRESA" u="1"/>
        <s v="VILACRD024058AUTOSERVICIONUTRESA" u="1"/>
        <s v="VILACRD024068AUTOSERVICIONUTRESA" u="1"/>
        <s v="VILACRD024073AUTOSERVICIONUTRESA" u="1"/>
        <s v="VILACRD024074AUTOSERVICIONUTRESA" u="1"/>
        <s v="VILACRD024075AUTOSERVICIONUTRESA" u="1"/>
        <s v="VILACRD024076AUTOSERVICIONUTRESA" u="1"/>
        <s v="VILACRD024084AUTOSERVICIONUTRESA" u="1"/>
        <s v="VILACRD024103AUTOSERVICIONUTRESA" u="1"/>
        <s v="VILACRD024428AUTOSERVICIONUTRESA" u="1"/>
        <s v="VILACRD024429AUTOSERVICIONUTRESA" u="1"/>
        <s v="VILACRD024430AUTOSERVICIONUTRESA" u="1"/>
        <s v="VILACRD024577AUTOSERVICIONUTRESA" u="1"/>
        <s v="VILACRD024694AUTOSERVICIONUTRESA" u="1"/>
        <s v="VILACRD024695AUTOSERVICIONUTRESA" u="1"/>
        <s v="VILACRD024700AUTOSERVICIONUTRESA" u="1"/>
        <s v="VILACRD024967AUTOSERVICIONUTRESA" u="1"/>
        <s v="VILACRD024968AUTOSERVICIONUTRESA" u="1"/>
        <s v="VILACRD024969AUTOSERVICIONUTRESA" u="1"/>
        <s v="VILACRD024970AUTOSERVICIONUTRESA" u="1"/>
        <s v="VILACRD025001AUTOSERVICIONUTRESA" u="1"/>
        <s v="VILACRD025002AUTOSERVICIONUTRESA" u="1"/>
        <s v="VILACRD025020AUTOSERVICIONUTRESA" u="1"/>
        <s v="VILACRD025021AUTOSERVICIONUTRESA" u="1"/>
        <s v="BGTAACT000035TRADICIONALALTILLANO" u="1"/>
        <s v="BGTAACT000274TRADICIONALALTILLANO" u="1"/>
        <s v="BGTAACT000441TRADICIONALALTILLANO" u="1"/>
        <s v="BGTAACT000442TRADICIONALALTILLANO" u="1"/>
        <s v="BGTAACT000443TRADICIONALALTILLANO" u="1"/>
        <s v="BGTAACT000445TRADICIONALALTILLANO" u="1"/>
        <s v="BGTACRD003574TRADICIONALALTILLANO" u="1"/>
        <s v="BGTACRD023672TRADICIONALALTILLANO" u="1"/>
        <s v="BGTACRD024971TRADICIONALALTILLANO" u="1"/>
        <s v="BGTACRD025004TRADICIONALALTILLANO" u="1"/>
        <s v="BGTACRD025005TRADICIONALALTILLANO" u="1"/>
        <s v="BGTACRD025009TRADICIONALALTILLANO" u="1"/>
        <s v="BGTACRD025010TRADICIONALALTILLANO" u="1"/>
        <s v="CARTCRD018315CADENASNUTRESA" u="1"/>
        <s v="CARTCRD024467CADENASNUTRESA" u="1"/>
        <s v="CARTCRD024566CADENASNUTRESA" u="1"/>
        <s v="CARTCRD024567CADENASNUTRESA" u="1"/>
        <s v="CARTCRD024568CADENASNUTRESA" u="1"/>
        <s v="CARTCRD024714CADENASNUTRESA" u="1"/>
        <s v="CARTCRD024785CADENASNUTRESA" u="1"/>
        <s v="CARTCRD024946CADENASNUTRESA" u="1"/>
        <s v="CARTCRD025017CADENASNUTRESA" u="1"/>
        <s v="CARTACT000436AUTOSERVICIOBPO" u="1"/>
        <s v="CARTCRD001420AUTOSERVICIOBPO" u="1"/>
        <s v="CARTCRD005001AUTOSERVICIOBPO" u="1"/>
        <s v="CARTCRD006670AUTOSERVICIOBPO" u="1"/>
        <s v="CARTCRD008430AUTOSERVICIOBPO" u="1"/>
        <s v="CARTCRD008638AUTOSERVICIOBPO" u="1"/>
        <s v="CARTCRD009243AUTOSERVICIOBPO" u="1"/>
        <s v="CARTCRD010373AUTOSERVICIOBPO" u="1"/>
        <s v="CARTCRD012624AUTOSERVICIOBPO" u="1"/>
        <s v="CARTCRD013990AUTOSERVICIOBPO" u="1"/>
        <s v="CARTCRD017312AUTOSERVICIOBPO" u="1"/>
        <s v="CARTCRD019268AUTOSERVICIOBPO" u="1"/>
        <s v="CARTCRD019529AUTOSERVICIOBPO" u="1"/>
        <s v="CARTCRD020501AUTOSERVICIOBPO" u="1"/>
        <s v="CARTCRD021163AUTOSERVICIOBPO" u="1"/>
        <s v="CARTCRD021937AUTOSERVICIOBPO" u="1"/>
        <s v="CARTCRD023661AUTOSERVICIOBPO" u="1"/>
        <s v="CARTCRD024206AUTOSERVICIOBPO" u="1"/>
        <s v="CARTCRD024268AUTOSERVICIOBPO" u="1"/>
        <s v="CARTCRD024365AUTOSERVICIOBPO" u="1"/>
        <s v="CARTCRD024521AUTOSERVICIOBPO" u="1"/>
        <s v="CARTCRD024522AUTOSERVICIOBPO" u="1"/>
        <s v="CARTCRD024556AUTOSERVICIOBPO" u="1"/>
        <s v="CARTCRD024796AUTOSERVICIOBPO" u="1"/>
        <s v="CARTCRD024859AUTOSERVICIOBPO" u="1"/>
        <s v="CARTCRD024860AUTOSERVICIOBPO" u="1"/>
        <s v="CARTCRD024861AUTOSERVICIOBPO" u="1"/>
        <s v="CARTCRD024867AUTOSERVICIOBPO" u="1"/>
        <s v="VILACRD023141CADENASNUTRESA" u="1"/>
        <s v="VILACRD024162CADENASNUTRESA" u="1"/>
        <s v="VILACRD024813CADENASNUTRESA" u="1"/>
        <s v="VILACRD024946CADENASNUTRESA" u="1"/>
        <s v="VILACRD000043AUTOSERVICIOBPO" u="1"/>
        <s v="VILACRD007355AUTOSERVICIOBPO" u="1"/>
        <s v="VILACRD011367AUTOSERVICIOBPO" u="1"/>
        <s v="PERECRD011367TRADICIONALBPO" u="1"/>
        <s v="PERECRD013990TRADICIONALBPO" u="1"/>
        <s v="PERECRD021681TRADICIONALBPO" u="1"/>
        <s v="MEDECRD013990TRADICIONALPROMOTORES" u="1"/>
        <s v="MEDECRD020986TRADICIONALPROMOTORES" u="1"/>
        <s v="MEDEACT000063TRADICIONALNUTRESA" u="1"/>
        <s v="MEDEACT000139TRADICIONALNUTRESA" u="1"/>
        <s v="MEDEACT000225TRADICIONALNUTRESA" u="1"/>
        <s v="MEDEACT000242TRADICIONALNUTRESA" u="1"/>
        <s v="MEDEACT000244TRADICIONALNUTRESA" u="1"/>
        <s v="MEDEACT000274TRADICIONALNUTRESA" u="1"/>
        <s v="MEDEACT000279TRADICIONALNUTRESA" u="1"/>
        <s v="MEDEACT000299TRADICIONALNUTRESA" u="1"/>
        <s v="MEDEACT000370TRADICIONALNUTRESA" u="1"/>
        <s v="MEDEACT000386TRADICIONALNUTRESA" u="1"/>
        <s v="MEDEACT000400TRADICIONALNUTRESA" u="1"/>
        <s v="MEDEACT000432TRADICIONALNUTRESA" u="1"/>
        <s v="MEDEACT000435TRADICIONALNUTRESA" u="1"/>
        <s v="MEDEACT000437TRADICIONALNUTRESA" u="1"/>
        <s v="MEDEACT000439TRADICIONALNUTRESA" u="1"/>
        <s v="MEDEACT000442TRADICIONALNUTRESA" u="1"/>
        <s v="MEDEACT000444TRADICIONALNUTRESA" u="1"/>
        <s v="MEDECRD009480TRADICIONALNUTRESA" u="1"/>
        <s v="MEDECRD012670TRADICIONALNUTRESA" u="1"/>
        <s v="MEDECRD016422TRADICIONALNUTRESA" u="1"/>
        <s v="MEDECRD018004TRADICIONALNUTRESA" u="1"/>
        <s v="MEDECRD018870TRADICIONALNUTRESA" u="1"/>
        <s v="MEDECRD018933TRADICIONALNUTRESA" u="1"/>
        <s v="MEDECRD020909TRADICIONALNUTRESA" u="1"/>
        <s v="MEDECRD021015TRADICIONALNUTRESA" u="1"/>
        <s v="MEDECRD021040TRADICIONALNUTRESA" u="1"/>
        <s v="MEDECRD021041TRADICIONALNUTRESA" u="1"/>
        <s v="MEDECRD021042TRADICIONALNUTRESA" u="1"/>
        <s v="MEDECRD021613TRADICIONALNUTRESA" u="1"/>
        <s v="MEDECRD021724TRADICIONALNUTRESA" u="1"/>
        <s v="MEDECRD021822TRADICIONALNUTRESA" u="1"/>
        <s v="MEDECRD021992TRADICIONALNUTRESA" u="1"/>
        <s v="MEDECRD022088TRADICIONALNUTRESA" u="1"/>
        <s v="MEDECRD022278TRADICIONALNUTRESA" u="1"/>
        <s v="MEDECRD022312TRADICIONALNUTRESA" u="1"/>
        <s v="MEDECRD022325TRADICIONALNUTRESA" u="1"/>
        <s v="MEDECRD022858TRADICIONALNUTRESA" u="1"/>
        <s v="MEDECRD022860TRADICIONALNUTRESA" u="1"/>
        <s v="MEDECRD022862TRADICIONALNUTRESA" u="1"/>
        <s v="MEDECRD022864TRADICIONALNUTRESA" u="1"/>
        <s v="MEDECRD022866TRADICIONALNUTRESA" u="1"/>
        <s v="MEDECRD022868TRADICIONALNUTRESA" u="1"/>
        <s v="MEDECRD022869TRADICIONALNUTRESA" u="1"/>
        <s v="MEDECRD022870TRADICIONALNUTRESA" u="1"/>
        <s v="MEDECRD022874TRADICIONALNUTRESA" u="1"/>
        <s v="MEDECRD022876TRADICIONALNUTRESA" u="1"/>
        <s v="MEDECRD022887TRADICIONALNUTRESA" u="1"/>
        <s v="MEDECRD023178TRADICIONALNUTRESA" u="1"/>
        <s v="MEDECRD023300TRADICIONALNUTRESA" u="1"/>
        <s v="MEDECRD023441TRADICIONALNUTRESA" u="1"/>
        <s v="MEDECRD023447TRADICIONALNUTRESA" u="1"/>
        <s v="MEDECRD023503TRADICIONALNUTRESA" u="1"/>
        <s v="MEDECRD023597TRADICIONALNUTRESA" u="1"/>
        <s v="MEDECRD023598TRADICIONALNUTRESA" u="1"/>
        <s v="MEDECRD023599TRADICIONALNUTRESA" u="1"/>
        <s v="MEDECRD023672TRADICIONALNUTRESA" u="1"/>
        <s v="MEDECRD023677TRADICIONALNUTRESA" u="1"/>
        <s v="MEDECRD023685TRADICIONALNUTRESA" u="1"/>
        <s v="MEDECRD023981TRADICIONALNUTRESA" u="1"/>
        <s v="MEDECRD024315TRADICIONALNUTRESA" u="1"/>
        <s v="MEDECRD024469TRADICIONALNUTRESA" u="1"/>
        <s v="MEDECRD024470TRADICIONALNUTRESA" u="1"/>
        <s v="MEDECRD024716TRADICIONALNUTRESA" u="1"/>
        <s v="MEDECRD024795TRADICIONALNUTRESA" u="1"/>
        <s v="MEDECRD024949TRADICIONALNUTRESA" u="1"/>
        <s v="MEDECRD024962TRADICIONALNUTRESA" u="1"/>
        <s v="MEDECRD024971TRADICIONALNUTRESA" u="1"/>
        <s v="MEDECRD025004TRADICIONALNUTRESA" u="1"/>
        <s v="MEDECRD025006TRADICIONALNUTRESA" u="1"/>
        <s v="BGTAACT000393CADENASBPO" u="1"/>
        <s v="BGTACRD000114CADENASBPO" u="1"/>
        <s v="BGTACRD000115CADENASBPO" u="1"/>
        <s v="BGTACRD001420CADENASBPO" u="1"/>
        <s v="BGTACRD002204CADENASBPO" u="1"/>
        <s v="BGTACRD005001CADENASBPO" u="1"/>
        <s v="BGTACRD006670CADENASBPO" u="1"/>
        <s v="BGTACRD007004CADENASBPO" u="1"/>
        <s v="BGTACRD007355CADENASBPO" u="1"/>
        <s v="BGTACRD008428CADENASBPO" u="1"/>
        <s v="BGTACRD008430CADENASBPO" u="1"/>
        <s v="BGTACRD008431CADENASBPO" u="1"/>
        <s v="BGTACRD008551CADENASBPO" u="1"/>
        <s v="BGTACRD008638CADENASBPO" u="1"/>
        <s v="BGTACRD009243CADENASBPO" u="1"/>
        <s v="BGTACRD010532CADENASBPO" u="1"/>
        <s v="BGTACRD012588CADENASBPO" u="1"/>
        <s v="BGTACRD012624CADENASBPO" u="1"/>
        <s v="BGTACRD013990CADENASBPO" u="1"/>
        <s v="BGTACRD014116CADENASBPO" u="1"/>
        <s v="BGTACRD014117CADENASBPO" u="1"/>
        <s v="BGTACRD014118CADENASBPO" u="1"/>
        <s v="BGTACRD014119CADENASBPO" u="1"/>
        <s v="BGTACRD014120CADENASBPO" u="1"/>
        <s v="BGTACRD014424CADENASBPO" u="1"/>
        <s v="BGTACRD015723CADENASBPO" u="1"/>
        <s v="BGTACRD018617CADENASBPO" u="1"/>
        <s v="BGTACRD018963CADENASBPO" u="1"/>
        <s v="BGTACRD019018CADENASBPO" u="1"/>
        <s v="BGTACRD019238CADENASBPO" u="1"/>
        <s v="BGTACRD019268CADENASBPO" u="1"/>
        <s v="BGTACRD019364CADENASBPO" u="1"/>
        <s v="BGTACRD019365CADENASBPO" u="1"/>
        <s v="BGTACRD019529CADENASBPO" u="1"/>
        <s v="BGTACRD019638CADENASBPO" u="1"/>
        <s v="BGTACRD019718CADENASBPO" u="1"/>
        <s v="BGTACRD019868CADENASBPO" u="1"/>
        <s v="BGTACRD020007CADENASBPO" u="1"/>
        <s v="BGTACRD020181CADENASBPO" u="1"/>
        <s v="BGTACRD020202CADENASBPO" u="1"/>
        <s v="BGTACRD020361CADENASBPO" u="1"/>
        <s v="BGTACRD020854CADENASBPO" u="1"/>
        <s v="BGTACRD020865CADENASBPO" u="1"/>
        <s v="BGTACRD020872CADENASBPO" u="1"/>
        <s v="BGTACRD020873CADENASBPO" u="1"/>
        <s v="BGTACRD020890CADENASBPO" u="1"/>
        <s v="BGTACRD021163CADENASBPO" u="1"/>
        <s v="BGTACRD021296CADENASBPO" u="1"/>
        <s v="BGTACRD021350CADENASBPO" u="1"/>
        <s v="BGTACRD021458CADENASBPO" u="1"/>
        <s v="BGTACRD021681CADENASBPO" u="1"/>
        <s v="BGTACRD021754CADENASBPO" u="1"/>
        <s v="BGTACRD021973CADENASBPO" u="1"/>
        <s v="BGTACRD022521CADENASBPO" u="1"/>
        <s v="BGTACRD022585CADENASBPO" u="1"/>
        <s v="BGTACRD022670CADENASBPO" u="1"/>
        <s v="BGTACRD022807CADENASBPO" u="1"/>
        <s v="BGTACRD023109CADENASBPO" u="1"/>
        <s v="BGTACRD023241CADENASBPO" u="1"/>
        <s v="BGTACRD023317CADENASBPO" u="1"/>
        <s v="BGTACRD023405CADENASBPO" u="1"/>
        <s v="BGTACRD023599CADENASBPO" u="1"/>
        <s v="BGTACRD023611CADENASBPO" u="1"/>
        <s v="BGTACRD023661CADENASBPO" u="1"/>
        <s v="BGTACRD023685CADENASBPO" u="1"/>
        <s v="BGTACRD024261CADENASBPO" u="1"/>
        <s v="BGTACRD024262CADENASBPO" u="1"/>
        <s v="BGTACRD024308CADENASBPO" u="1"/>
        <s v="BGTACRD024365CADENASBPO" u="1"/>
        <s v="BGTACRD024398CADENASBPO" u="1"/>
        <s v="BGTACRD024437CADENASBPO" u="1"/>
        <s v="BGTACRD024469CADENASBPO" u="1"/>
        <s v="BGTACRD024470CADENASBPO" u="1"/>
        <s v="BGTACRD024682CADENASBPO" u="1"/>
        <s v="BGTACRD024726CADENASBPO" u="1"/>
        <s v="BGTACRD024841CADENASBPO" u="1"/>
        <s v="BGTACRD024842CADENASBPO" u="1"/>
        <s v="BGTACRD024843CADENASBPO" u="1"/>
        <s v="BGTACRD024844CADENASBPO" u="1"/>
        <s v="BGTACRD024845CADENASBPO" u="1"/>
        <s v="BGTACRD024846CADENASBPO" u="1"/>
        <s v="BGTACRD024847CADENASBPO" u="1"/>
        <s v="IBA1CRD007355TRADICIONALBPO" u="1"/>
        <s v="IBA1CRD008430TRADICIONALBPO" u="1"/>
        <s v="IBA1CRD009167TRADICIONALBPO" u="1"/>
        <s v="IBA1CRD011367TRADICIONALBPO" u="1"/>
        <s v="IBA1CRD013990TRADICIONALBPO" u="1"/>
        <s v="IBA1CRD022322TRADICIONALBPO" u="1"/>
        <s v="IBA1CRD023327TRADICIONALBPO" u="1"/>
        <s v="IBA1CRD023361TRADICIONALBPO" u="1"/>
        <s v="IBA1CRD023362TRADICIONALBPO" u="1"/>
        <s v="PEREACT000027AUTOSERVICIONUTRESA" u="1"/>
        <s v="PEREACT000300AUTOSERVICIONUTRESA" u="1"/>
        <s v="PEREACT000417AUTOSERVICIONUTRESA" u="1"/>
        <s v="PEREACT000418AUTOSERVICIONUTRESA" u="1"/>
        <s v="PEREACT000434AUTOSERVICIONUTRESA" u="1"/>
        <s v="PEREACT000531AUTOSERVICIONUTRESA" u="1"/>
        <s v="PERECRD016979AUTOSERVICIONUTRESA" u="1"/>
        <s v="PERECRD017899AUTOSERVICIONUTRESA" u="1"/>
        <s v="PERECRD018785AUTOSERVICIONUTRESA" u="1"/>
        <s v="PERECRD019458AUTOSERVICIONUTRESA" u="1"/>
        <s v="PERECRD021094AUTOSERVICIONUTRESA" u="1"/>
        <s v="PERECRD021095AUTOSERVICIONUTRESA" u="1"/>
        <s v="PERECRD021096AUTOSERVICIONUTRESA" u="1"/>
        <s v="PERECRD021097AUTOSERVICIONUTRESA" u="1"/>
        <s v="PERECRD023585AUTOSERVICIONUTRESA" u="1"/>
        <s v="PERECRD024806AUTOSERVICIONUTRESA" u="1"/>
        <s v="PERECRD024849AUTOSERVICIONUTRESA" u="1"/>
        <s v="PERECRD025001AUTOSERVICIONUTRESA" u="1"/>
        <s v="PERECRD025002AUTOSERVICIONUTRESA" u="1"/>
        <s v="PERECRD005735CADENASNUTRESA" u="1"/>
        <s v="PERECRD005935CADENASNUTRESA" u="1"/>
        <s v="PERECRD009112CADENASNUTRESA" u="1"/>
        <s v="PERECRD009297CADENASNUTRESA" u="1"/>
        <s v="PERECRD011197CADENASNUTRESA" u="1"/>
        <s v="PERECRD012720CADENASNUTRESA" u="1"/>
        <s v="PERECRD014493CADENASNUTRESA" u="1"/>
        <s v="PERECRD014744CADENASNUTRESA" u="1"/>
        <s v="PERECRD015723CADENASNUTRESA" u="1"/>
        <s v="PERECRD016184CADENASNUTRESA" u="1"/>
        <s v="PERECRD017882CADENASNUTRESA" u="1"/>
        <s v="PERECRD017883CADENASNUTRESA" u="1"/>
        <s v="PERECRD019360CADENASNUTRESA" u="1"/>
        <s v="PERECRD020044CADENASNUTRESA" u="1"/>
        <s v="PERECRD020854CADENASNUTRESA" u="1"/>
        <s v="PERECRD020862CADENASNUTRESA" u="1"/>
        <s v="PERECRD021291CADENASNUTRESA" u="1"/>
        <s v="PERECRD021296CADENASNUTRESA" u="1"/>
        <s v="PERECRD021322CADENASNUTRESA" u="1"/>
        <s v="PERECRD022807CADENASNUTRESA" u="1"/>
        <s v="PERECRD023138CADENASNUTRESA" u="1"/>
        <s v="PERECRD023165CADENASNUTRESA" u="1"/>
        <s v="PERECRD023166CADENASNUTRESA" u="1"/>
        <s v="PERECRD023167CADENASNUTRESA" u="1"/>
        <s v="PERECRD023761CADENASNUTRESA" u="1"/>
        <s v="PERECRD023891CADENASNUTRESA" u="1"/>
        <s v="PERECRD023982CADENASNUTRESA" u="1"/>
        <s v="PERECRD023992CADENASNUTRESA" u="1"/>
        <s v="PERECRD024162CADENASNUTRESA" u="1"/>
        <s v="PERECRD024345CADENASNUTRESA" u="1"/>
        <s v="PERECRD024495CADENASNUTRESA" u="1"/>
        <s v="PERECRD024535CADENASNUTRESA" u="1"/>
        <s v="PERECRD024537CADENASNUTRESA" u="1"/>
        <s v="PERECRD024568CADENASNUTRESA" u="1"/>
        <s v="PERECRD024630CADENASNUTRESA" u="1"/>
        <s v="PERECRD024631CADENASNUTRESA" u="1"/>
        <s v="PERECRD024809CADENASNUTRESA" u="1"/>
        <s v="PERECRD024824CADENASNUTRESA" u="1"/>
        <s v="PERECRD024850CADENASNUTRESA" u="1"/>
        <s v="PERECRD024851CADENASNUTRESA" u="1"/>
        <s v="PERECRD024870CADENASNUTRESA" u="1"/>
        <s v="PERECRD024929CADENASNUTRESA" u="1"/>
        <s v="PERECRD024946CADENASNUTRESA" u="1"/>
        <s v="PERECRD025017CADENASNUTRESA" u="1"/>
        <s v="PEREACT000436AUTOSERVICIOBPO" u="1"/>
        <s v="PERECRD000115AUTOSERVICIOBPO" u="1"/>
        <s v="PERECRD001420AUTOSERVICIOBPO" u="1"/>
        <s v="PERECRD002204AUTOSERVICIOBPO" u="1"/>
        <s v="PERECRD005001AUTOSERVICIOBPO" u="1"/>
        <s v="PERECRD006670AUTOSERVICIOBPO" u="1"/>
        <s v="PERECRD007004AUTOSERVICIOBPO" u="1"/>
        <s v="PERECRD007355AUTOSERVICIOBPO" u="1"/>
        <s v="PERECRD008428AUTOSERVICIOBPO" u="1"/>
        <s v="PERECRD008430AUTOSERVICIOBPO" u="1"/>
        <s v="PERECRD008431AUTOSERVICIOBPO" u="1"/>
        <s v="PERECRD008638AUTOSERVICIOBPO" u="1"/>
        <s v="PERECRD009112AUTOSERVICIOBPO" u="1"/>
        <s v="PERECRD010532AUTOSERVICIOBPO" u="1"/>
        <s v="PERECRD012588AUTOSERVICIOBPO" u="1"/>
        <s v="PERECRD013990AUTOSERVICIOBPO" u="1"/>
        <s v="PERECRD018076AUTOSERVICIOBPO" u="1"/>
        <s v="PERECRD019018AUTOSERVICIOBPO" u="1"/>
        <s v="PERECRD019238AUTOSERVICIOBPO" u="1"/>
        <s v="PERECRD019529AUTOSERVICIOBPO" u="1"/>
        <s v="PERECRD019638AUTOSERVICIOBPO" u="1"/>
        <s v="PERECRD019998AUTOSERVICIOBPO" u="1"/>
        <s v="PERECRD020361AUTOSERVICIOBPO" u="1"/>
        <s v="PERECRD020715AUTOSERVICIOBPO" u="1"/>
        <s v="PERECRD020847AUTOSERVICIOBPO" u="1"/>
        <s v="PERECRD021163AUTOSERVICIOBPO" u="1"/>
        <s v="PERECRD021681AUTOSERVICIOBPO" u="1"/>
        <s v="PERECRD022322AUTOSERVICIOBPO" u="1"/>
        <s v="PERECRD022584AUTOSERVICIOBPO" u="1"/>
        <s v="PERECRD022585AUTOSERVICIOBPO" u="1"/>
        <s v="PERECRD022897AUTOSERVICIOBPO" u="1"/>
        <s v="PERECRD023141AUTOSERVICIOBPO" u="1"/>
        <s v="PERECRD023241AUTOSERVICIOBPO" u="1"/>
        <s v="PERECRD023448AUTOSERVICIOBPO" u="1"/>
        <s v="PERECRD024365AUTOSERVICIOBPO" u="1"/>
        <s v="PERECRD024398AUTOSERVICIOBPO" u="1"/>
        <s v="PERECRD024437AUTOSERVICIOBPO" u="1"/>
        <s v="PERECRD024796AUTOSERVICIOBPO" u="1"/>
        <s v="PERECRD024842AUTOSERVICIOBPO" u="1"/>
        <s v="PERECRD024843AUTOSERVICIOBPO" u="1"/>
        <s v="PERECRD024844AUTOSERVICIOBPO" u="1"/>
        <s v="PERECRD024845AUTOSERVICIOBPO" u="1"/>
        <s v="PERECRD024847AUTOSERVICIOBPO" u="1"/>
        <s v="PERECRD025018AUTOSERVICIOBPO" u="1"/>
        <s v="CALICRD000122TRADICIONALPROMOTORES" u="1"/>
        <s v="CALICRD001420TRADICIONALPROMOTORES" u="1"/>
        <s v="CALICRD002036TRADICIONALPROMOTORES" u="1"/>
        <s v="CALICRD011220TRADICIONALPROMOTORES" u="1"/>
        <s v="CALICRD013990TRADICIONALPROMOTORES" u="1"/>
        <s v="CALICRD016004TRADICIONALPROMOTORES" u="1"/>
        <s v="CALICRD018600TRADICIONALPROMOTORES" u="1"/>
        <s v="CALICRD021331TRADICIONALPROMOTORES" u="1"/>
        <s v="CALICRD021738TRADICIONALPROMOTORES" u="1"/>
        <s v="CALICRD022173TRADICIONALPROMOTORES" u="1"/>
        <s v="CALICRD022174TRADICIONALPROMOTORES" u="1"/>
        <s v="CALICRD022293TRADICIONALPROMOTORES" u="1"/>
        <s v="CALIACT000035TRADICIONALNUTRESA" u="1"/>
        <s v="CALIACT000063TRADICIONALNUTRESA" u="1"/>
        <s v="CALIACT000225TRADICIONALNUTRESA" u="1"/>
        <s v="CALICRD016566TRADICIONALNUTRESA" u="1"/>
        <s v="CALICRD016979TRADICIONALNUTRESA" u="1"/>
        <s v="CALICRD018193TRADICIONALNUTRESA" u="1"/>
        <s v="CALICRD018285TRADICIONALNUTRESA" u="1"/>
        <s v="CALICRD018933TRADICIONALNUTRESA" u="1"/>
        <s v="CALICRD018935TRADICIONALNUTRESA" u="1"/>
        <s v="CALICRD019916TRADICIONALNUTRESA" u="1"/>
        <s v="CALICRD021014TRADICIONALNUTRESA" u="1"/>
        <s v="CALICRD021015TRADICIONALNUTRESA" u="1"/>
        <s v="CALICRD021724TRADICIONALNUTRESA" u="1"/>
        <s v="CALICRD021787TRADICIONALNUTRESA" u="1"/>
        <s v="CALICRD024971TRADICIONALNUTRESA" u="1"/>
        <s v="CALICRD025004TRADICIONALNUTRESA" u="1"/>
        <s v="CALICRD025005TRADICIONALNUTRESA" u="1"/>
        <s v="CALICRD025006TRADICIONALNUTRESA" u="1"/>
        <s v="CALICRD025008TRADICIONALNUTRESA" u="1"/>
        <s v="CALICRD025009TRADICIONALNUTRESA" u="1"/>
        <s v="CALICRD025010TRADICIONALNUTRESA" u="1"/>
        <s v="BARRCRD000114CADENASBPO" u="1"/>
        <s v="BARRCRD000115CADENASBPO" u="1"/>
        <s v="BARRCRD001420CADENASBPO" u="1"/>
        <s v="BARRCRD002204CADENASBPO" u="1"/>
        <s v="BARRCRD006670CADENASBPO" u="1"/>
        <s v="BARRCRD007004CADENASBPO" u="1"/>
        <s v="BARRCRD007355CADENASBPO" u="1"/>
        <s v="BARRCRD008430CADENASBPO" u="1"/>
        <s v="BARRCRD008431CADENASBPO" u="1"/>
        <s v="BARRCRD008551CADENASBPO" u="1"/>
        <s v="BARRCRD008623CADENASBPO" u="1"/>
        <s v="BARRCRD008638CADENASBPO" u="1"/>
        <s v="BARRCRD009243CADENASBPO" u="1"/>
        <s v="BARRCRD010532CADENASBPO" u="1"/>
        <s v="BARRCRD010609CADENASBPO" u="1"/>
        <s v="BARRCRD012588CADENASBPO" u="1"/>
        <s v="BARRCRD012624CADENASBPO" u="1"/>
        <s v="BARRCRD013163CADENASBPO" u="1"/>
        <s v="BARRCRD013990CADENASBPO" u="1"/>
        <s v="BARRCRD014117CADENASBPO" u="1"/>
        <s v="BARRCRD014118CADENASBPO" u="1"/>
        <s v="BARRCRD014119CADENASBPO" u="1"/>
        <s v="BARRCRD014120CADENASBPO" u="1"/>
        <s v="BARRCRD014424CADENASBPO" u="1"/>
        <s v="BARRCRD015723CADENASBPO" u="1"/>
        <s v="BARRCRD019018CADENASBPO" u="1"/>
        <s v="BARRCRD019238CADENASBPO" u="1"/>
        <s v="BARRCRD019268CADENASBPO" u="1"/>
        <s v="BARRCRD019364CADENASBPO" u="1"/>
        <s v="BARRCRD019365CADENASBPO" u="1"/>
        <s v="BARRCRD019427CADENASBPO" u="1"/>
        <s v="BARRCRD019529CADENASBPO" u="1"/>
        <s v="BARRCRD019555CADENASBPO" u="1"/>
        <s v="BARRCRD019638CADENASBPO" u="1"/>
        <s v="BARRCRD019868CADENASBPO" u="1"/>
        <s v="BARRCRD020007CADENASBPO" u="1"/>
        <s v="BARRCRD020715CADENASBPO" u="1"/>
        <s v="BARRCRD020865CADENASBPO" u="1"/>
        <s v="BARRCRD020891CADENASBPO" u="1"/>
        <s v="BARRCRD021163CADENASBPO" u="1"/>
        <s v="BARRCRD021350CADENASBPO" u="1"/>
        <s v="BARRCRD021458CADENASBPO" u="1"/>
        <s v="BARRCRD021681CADENASBPO" u="1"/>
        <s v="BARRCRD021754CADENASBPO" u="1"/>
        <s v="BARRCRD021973CADENASBPO" u="1"/>
        <s v="BARRCRD022670CADENASBPO" u="1"/>
        <s v="BARRCRD022717CADENASBPO" u="1"/>
        <s v="BARRCRD022718CADENASBPO" u="1"/>
        <s v="BARRCRD023138CADENASBPO" u="1"/>
        <s v="BARRCRD023342CADENASBPO" u="1"/>
        <s v="BARRCRD023611CADENASBPO" u="1"/>
        <s v="BARRCRD024262CADENASBPO" u="1"/>
        <s v="BARRCRD024788CADENASBPO" u="1"/>
        <s v="BARRCRD024842CADENASBPO" u="1"/>
        <s v="BARRCRD024843CADENASBPO" u="1"/>
        <s v="BARRCRD024844CADENASBPO" u="1"/>
        <s v="BARRCRD024845CADENASBPO" u="1"/>
        <s v="BARRCRD024847CADENASBPO" u="1"/>
        <s v="BARRCRD025003CADENASBPO" u="1"/>
        <s v="BARRCRD990305CADENASBPO" u="1"/>
        <s v="BGTAACT000310AUTOSERVICIOALTILLANO" u="1"/>
        <s v="BGTAACT000434AUTOSERVICIOALTILLANO" u="1"/>
        <s v="BGTAACT000445AUTOSERVICIOALTILLANO" u="1"/>
        <s v="BGTAACT000457AUTOSERVICIOALTILLANO" u="1"/>
        <s v="BGTAACT000470AUTOSERVICIOALTILLANO" u="1"/>
        <s v="BGTAACT000472AUTOSERVICIOALTILLANO" u="1"/>
        <s v="BGTAACT000476AUTOSERVICIOALTILLANO" u="1"/>
        <s v="BGTAACT000504AUTOSERVICIOALTILLANO" u="1"/>
        <s v="BGTAACT000522AUTOSERVICIOALTILLANO" u="1"/>
        <s v="BGTAACT000524AUTOSERVICIOALTILLANO" u="1"/>
        <s v="BGTAACT000525AUTOSERVICIOALTILLANO" u="1"/>
        <s v="BGTAACT000528AUTOSERVICIOALTILLANO" u="1"/>
        <s v="BGTAACT000529AUTOSERVICIOALTILLANO" u="1"/>
        <s v="BGTAACT000531AUTOSERVICIOALTILLANO" u="1"/>
        <s v="BGTACRD017899AUTOSERVICIOALTILLANO" u="1"/>
        <s v="BGTACRD022443AUTOSERVICIOALTILLANO" u="1"/>
        <s v="BGTACRD023244AUTOSERVICIOALTILLANO" u="1"/>
        <s v="BGTACRD023248AUTOSERVICIOALTILLANO" u="1"/>
        <s v="BGTACRD023249AUTOSERVICIOALTILLANO" u="1"/>
        <s v="BGTACRD023252AUTOSERVICIOALTILLANO" u="1"/>
        <s v="BGTACRD023253AUTOSERVICIOALTILLANO" u="1"/>
        <s v="BGTACRD023256AUTOSERVICIOALTILLANO" u="1"/>
        <s v="BGTACRD023261AUTOSERVICIOALTILLANO" u="1"/>
        <s v="BGTACRD023265AUTOSERVICIOALTILLANO" u="1"/>
        <s v="BGTACRD023270AUTOSERVICIOALTILLANO" u="1"/>
        <s v="BGTACRD023272AUTOSERVICIOALTILLANO" u="1"/>
        <s v="BGTACRD023273AUTOSERVICIOALTILLANO" u="1"/>
        <s v="BGTACRD023274AUTOSERVICIOALTILLANO" u="1"/>
        <s v="BGTACRD023275AUTOSERVICIOALTILLANO" u="1"/>
        <s v="BGTACRD023276AUTOSERVICIOALTILLANO" u="1"/>
        <s v="BGTACRD023277AUTOSERVICIOALTILLANO" u="1"/>
        <s v="BGTACRD023278AUTOSERVICIOALTILLANO" u="1"/>
        <s v="BGTACRD023279AUTOSERVICIOALTILLANO" u="1"/>
        <s v="BGTACRD023280AUTOSERVICIOALTILLANO" u="1"/>
        <s v="BGTACRD023281AUTOSERVICIOALTILLANO" u="1"/>
        <s v="BGTACRD023282AUTOSERVICIOALTILLANO" u="1"/>
        <s v="BGTACRD023286AUTOSERVICIOALTILLANO" u="1"/>
        <s v="BGTACRD023288AUTOSERVICIOALTILLANO" u="1"/>
        <s v="BGTACRD023290AUTOSERVICIOALTILLANO" u="1"/>
        <s v="BGTACRD023291AUTOSERVICIOALTILLANO" u="1"/>
        <s v="BGTACRD023292AUTOSERVICIOALTILLANO" u="1"/>
        <s v="BGTACRD023293AUTOSERVICIOALTILLANO" u="1"/>
        <s v="BGTACRD024057AUTOSERVICIOALTILLANO" u="1"/>
        <s v="BGTACRD024058AUTOSERVICIOALTILLANO" u="1"/>
        <s v="BGTACRD024061AUTOSERVICIOALTILLANO" u="1"/>
        <s v="BGTACRD024062AUTOSERVICIOALTILLANO" u="1"/>
        <s v="BGTACRD024066AUTOSERVICIOALTILLANO" u="1"/>
        <s v="BGTACRD024073AUTOSERVICIOALTILLANO" u="1"/>
        <s v="BGTACRD024074AUTOSERVICIOALTILLANO" u="1"/>
        <s v="BGTACRD024075AUTOSERVICIOALTILLANO" u="1"/>
        <s v="BGTACRD024076AUTOSERVICIOALTILLANO" u="1"/>
        <s v="BGTACRD024080AUTOSERVICIOALTILLANO" u="1"/>
        <s v="BGTACRD024081AUTOSERVICIOALTILLANO" u="1"/>
        <s v="BGTACRD024084AUTOSERVICIOALTILLANO" u="1"/>
        <s v="BGTACRD024088AUTOSERVICIOALTILLANO" u="1"/>
        <s v="BGTACRD024103AUTOSERVICIOALTILLANO" u="1"/>
        <s v="BGTACRD024113AUTOSERVICIOALTILLANO" u="1"/>
        <s v="BGTACRD024114AUTOSERVICIOALTILLANO" u="1"/>
        <s v="BGTACRD024115AUTOSERVICIOALTILLANO" u="1"/>
        <s v="BGTACRD024119AUTOSERVICIOALTILLANO" u="1"/>
        <s v="BGTACRD024122AUTOSERVICIOALTILLANO" u="1"/>
        <s v="BGTACRD024244AUTOSERVICIOALTILLANO" u="1"/>
        <s v="BGTACRD024275AUTOSERVICIOALTILLANO" u="1"/>
        <s v="BGTACRD024569AUTOSERVICIOALTILLANO" u="1"/>
        <s v="BGTACRD024580AUTOSERVICIOALTILLANO" u="1"/>
        <s v="BGTACRD024581AUTOSERVICIOALTILLANO" u="1"/>
        <s v="BGTACRD024582AUTOSERVICIOALTILLANO" u="1"/>
        <s v="BGTACRD024583AUTOSERVICIOALTILLANO" u="1"/>
        <s v="BGTACRD024637AUTOSERVICIOALTILLANO" u="1"/>
        <s v="BGTACRD024638AUTOSERVICIOALTILLANO" u="1"/>
        <s v="BGTACRD024694AUTOSERVICIOALTILLANO" u="1"/>
        <s v="BGTACRD024695AUTOSERVICIOALTILLANO" u="1"/>
        <s v="BGTACRD024700AUTOSERVICIOALTILLANO" u="1"/>
        <s v="BGTACRD024816AUTOSERVICIOALTILLANO" u="1"/>
        <s v="BGTACRD024817AUTOSERVICIOALTILLANO" u="1"/>
        <s v="BGTACRD024818AUTOSERVICIOALTILLANO" u="1"/>
        <s v="BGTACRD024819AUTOSERVICIOALTILLANO" u="1"/>
        <s v="BGTACRD024820AUTOSERVICIOALTILLANO" u="1"/>
        <s v="BGTACRD024967AUTOSERVICIOALTILLANO" u="1"/>
        <s v="BGTACRD024968AUTOSERVICIOALTILLANO" u="1"/>
        <s v="BGTACRD024969AUTOSERVICIOALTILLANO" u="1"/>
        <s v="BGTACRD024970AUTOSERVICIOALTILLANO" u="1"/>
        <s v="BGTACRD025001AUTOSERVICIOALTILLANO" u="1"/>
        <s v="BGTACRD025002AUTOSERVICIOALTILLANO" u="1"/>
        <s v="BGTACRD025022AUTOSERVICIOALTILLANO" u="1"/>
        <s v="BGTACRD025023AUTOSERVICIOALTILLANO" u="1"/>
        <s v="PEREACT000493AUTOSERVICIODESARROLLADORES" u="1"/>
        <s v="PEREACT000500AUTOSERVICIODESARROLLADORES" u="1"/>
        <s v="PEREACT000505AUTOSERVICIODESARROLLADORES" u="1"/>
        <s v="PEREACT000513AUTOSERVICIODESARROLLADORES" u="1"/>
        <s v="PEREACT000514AUTOSERVICIODESARROLLADORES" u="1"/>
        <s v="PEREACT000524AUTOSERVICIODESARROLLADORES" u="1"/>
        <s v="VILANUTDUR000002AUTOSERVICIONUTRESA" u="1"/>
        <s v="VILANUTDUR000003AUTOSERVICIONUTRESA" u="1"/>
        <s v="VILANUTDUR000004AUTOSERVICIONUTRESA" u="1"/>
        <s v="VILANUTDUR000007AUTOSERVICIONUTRESA" u="1"/>
        <s v="IBA1ACT000063AUTOSERVICIONUTRESA" u="1"/>
        <s v="IBA1ACT000075AUTOSERVICIONUTRESA" u="1"/>
        <s v="IBA1ACT000086AUTOSERVICIONUTRESA" u="1"/>
        <s v="IBA1ACT000120AUTOSERVICIONUTRESA" u="1"/>
        <s v="IBA1ACT000122AUTOSERVICIONUTRESA" u="1"/>
        <s v="IBA1ACT000225AUTOSERVICIONUTRESA" u="1"/>
        <s v="IBA1ACT000317AUTOSERVICIONUTRESA" u="1"/>
        <s v="IBA1ACT000420AUTOSERVICIONUTRESA" u="1"/>
        <s v="IBA1ACT000421AUTOSERVICIONUTRESA" u="1"/>
        <s v="IBA1ACT000429AUTOSERVICIONUTRESA" u="1"/>
        <s v="IBA1ACT000434AUTOSERVICIONUTRESA" u="1"/>
        <s v="IBA1ACT000502AUTOSERVICIONUTRESA" u="1"/>
        <s v="IBA1ACT000531AUTOSERVICIONUTRESA" u="1"/>
        <s v="IBA1CRD017758AUTOSERVICIONUTRESA" u="1"/>
        <s v="IBA1CRD017899AUTOSERVICIONUTRESA" u="1"/>
        <s v="IBA1CRD018193AUTOSERVICIONUTRESA" u="1"/>
        <s v="IBA1CRD022574AUTOSERVICIONUTRESA" u="1"/>
        <s v="IBA1CRD022847AUTOSERVICIONUTRESA" u="1"/>
        <s v="IBA1CRD023249AUTOSERVICIONUTRESA" u="1"/>
        <s v="IBA1CRD023250AUTOSERVICIONUTRESA" u="1"/>
        <s v="IBA1CRD023271AUTOSERVICIONUTRESA" u="1"/>
        <s v="IBA1CRD023274AUTOSERVICIONUTRESA" u="1"/>
        <s v="IBA1CRD023281AUTOSERVICIONUTRESA" u="1"/>
        <s v="IBA1CRD023531AUTOSERVICIONUTRESA" u="1"/>
        <s v="IBA1CRD023535AUTOSERVICIONUTRESA" u="1"/>
        <s v="IBA1CRD023584AUTOSERVICIONUTRESA" u="1"/>
        <s v="IBA1CRD023585AUTOSERVICIONUTRESA" u="1"/>
        <s v="IBA1CRD024159AUTOSERVICIONUTRESA" u="1"/>
        <s v="IBA1CRD024161AUTOSERVICIONUTRESA" u="1"/>
        <s v="IBA1CRD024259AUTOSERVICIONUTRESA" u="1"/>
        <s v="IBA1CRD024393AUTOSERVICIONUTRESA" u="1"/>
        <s v="IBA1CRD024692AUTOSERVICIONUTRESA" u="1"/>
        <s v="IBA1CRD024702AUTOSERVICIONUTRESA" u="1"/>
        <s v="IBA1CRD024715AUTOSERVICIONUTRESA" u="1"/>
        <s v="IBA1CRD024849AUTOSERVICIONUTRESA" u="1"/>
        <s v="IBA1CRD024908AUTOSERVICIONUTRESA" u="1"/>
        <s v="IBA1CRD024955AUTOSERVICIONUTRESA" u="1"/>
        <s v="IBA1CRD024956AUTOSERVICIONUTRESA" u="1"/>
        <s v="IBA1CRD024967AUTOSERVICIONUTRESA" u="1"/>
        <s v="IBA1CRD024968AUTOSERVICIONUTRESA" u="1"/>
        <s v="IBA1CRD024969AUTOSERVICIONUTRESA" u="1"/>
        <s v="IBA1CRD024970AUTOSERVICIONUTRESA" u="1"/>
        <s v="IBA1CRD025001AUTOSERVICIONUTRESA" u="1"/>
        <s v="IBA1CRD025002AUTOSERVICIONUTRESA" u="1"/>
        <s v="IBA1ACT000454CADENASNUTRESA" u="1"/>
        <s v="IBA1CRD016184CADENASNUTRESA" u="1"/>
        <s v="IBA1CRD018076CADENASNUTRESA" u="1"/>
        <s v="IBA1CRD020183CADENASNUTRESA" u="1"/>
        <s v="IBA1CRD023167CADENASNUTRESA" u="1"/>
        <s v="IBA1CRD024162CADENASNUTRESA" u="1"/>
        <s v="IBA1CRD024566CADENASNUTRESA" u="1"/>
        <s v="IBA1CRD024568CADENASNUTRESA" u="1"/>
        <s v="IBA1CRD024889CADENASNUTRESA" u="1"/>
        <s v="IBA1CRD024954CADENASNUTRESA" u="1"/>
        <s v="IBA1ACT000436AUTOSERVICIOBPO" u="1"/>
        <s v="IBA1CRD000122AUTOSERVICIOBPO" u="1"/>
        <s v="IBA1CRD001420AUTOSERVICIOBPO" u="1"/>
        <s v="IBA1CRD002036AUTOSERVICIOBPO" u="1"/>
        <s v="IBA1CRD005001AUTOSERVICIOBPO" u="1"/>
        <s v="IBA1CRD006670AUTOSERVICIOBPO" u="1"/>
        <s v="IBA1CRD006778AUTOSERVICIOBPO" u="1"/>
        <s v="IBA1CRD007355AUTOSERVICIOBPO" u="1"/>
        <s v="IBA1CRD008430AUTOSERVICIOBPO" u="1"/>
        <s v="IBA1CRD008638AUTOSERVICIOBPO" u="1"/>
        <s v="IBA1CRD011367AUTOSERVICIOBPO" u="1"/>
        <s v="IBA1CRD012588AUTOSERVICIOBPO" u="1"/>
        <s v="IBA1CRD013990AUTOSERVICIOBPO" u="1"/>
        <s v="IBA1CRD017334AUTOSERVICIOBPO" u="1"/>
        <s v="IBA1CRD019238AUTOSERVICIOBPO" u="1"/>
        <s v="IBA1CRD019555AUTOSERVICIOBPO" u="1"/>
        <s v="IBA1CRD019638AUTOSERVICIOBPO" u="1"/>
        <s v="IBA1CRD020361AUTOSERVICIOBPO" u="1"/>
        <s v="IBA1CRD020501AUTOSERVICIOBPO" u="1"/>
        <s v="IBA1CRD020865AUTOSERVICIOBPO" u="1"/>
        <s v="IBA1CRD021162AUTOSERVICIOBPO" u="1"/>
        <s v="IBA1CRD021163AUTOSERVICIOBPO" u="1"/>
        <s v="IBA1CRD021681AUTOSERVICIOBPO" u="1"/>
        <s v="IBA1CRD022322AUTOSERVICIOBPO" u="1"/>
        <s v="IBA1CRD023327AUTOSERVICIOBPO" u="1"/>
        <s v="IBA1CRD023360AUTOSERVICIOBPO" u="1"/>
        <s v="IBA1CRD023361AUTOSERVICIOBPO" u="1"/>
        <s v="IBA1CRD024194AUTOSERVICIOBPO" u="1"/>
        <s v="IBA1CRD024624AUTOSERVICIOBPO" u="1"/>
        <s v="IBA1CRD024804AUTOSERVICIOBPO" u="1"/>
        <s v="IBA1CRD024842AUTOSERVICIOBPO" u="1"/>
        <s v="IBA1CRD024843AUTOSERVICIOBPO" u="1"/>
        <s v="IBA1CRD024844AUTOSERVICIOBPO" u="1"/>
        <s v="IBA1CRD024845AUTOSERVICIOBPO" u="1"/>
        <s v="IBA1CRD024867AUTOSERVICIOBPO" u="1"/>
        <s v="BUCACRD000122TRADICIONALPROMOTORES" u="1"/>
        <s v="BUCACRD001316TRADICIONALPROMOTORES" u="1"/>
        <s v="BUCACRD001420TRADICIONALPROMOTORES" u="1"/>
        <s v="BUCACRD011220TRADICIONALPROMOTORES" u="1"/>
        <s v="BUCACRD012464TRADICIONALPROMOTORES" u="1"/>
        <s v="BUCACRD013990TRADICIONALPROMOTORES" u="1"/>
        <s v="BUCACRD016004TRADICIONALPROMOTORES" u="1"/>
        <s v="BUCACRD016122TRADICIONALPROMOTORES" u="1"/>
        <s v="BUCACRD017380TRADICIONALPROMOTORES" u="1"/>
        <s v="BUCACRD019031TRADICIONALPROMOTORES" u="1"/>
        <s v="BUCACRD019032TRADICIONALPROMOTORES" u="1"/>
        <s v="BUCACRD020971TRADICIONALPROMOTORES" u="1"/>
        <s v="BUCACRD020972TRADICIONALPROMOTORES" u="1"/>
        <s v="BUCACRD020973TRADICIONALPROMOTORES" u="1"/>
        <s v="BUCACRD020974TRADICIONALPROMOTORES" u="1"/>
        <s v="BUCACRD020976TRADICIONALPROMOTORES" u="1"/>
        <s v="BUCACRD020977TRADICIONALPROMOTORES" u="1"/>
        <s v="BUCACRD020978TRADICIONALPROMOTORES" u="1"/>
        <s v="BUCACRD020979TRADICIONALPROMOTORES" u="1"/>
        <s v="BUCACRD020980TRADICIONALPROMOTORES" u="1"/>
        <s v="BUCACRD020981TRADICIONALPROMOTORES" u="1"/>
        <s v="BUCACRD020982TRADICIONALPROMOTORES" u="1"/>
        <s v="BUCACRD020983TRADICIONALPROMOTORES" u="1"/>
        <s v="BUCACRD020984TRADICIONALPROMOTORES" u="1"/>
        <s v="BUCACRD020985TRADICIONALPROMOTORES" u="1"/>
        <s v="BUCACRD022174TRADICIONALPROMOTORES" u="1"/>
        <s v="BUCACRD022293TRADICIONALPROMOTORES" u="1"/>
        <s v="BUCACRD022299TRADICIONALPROMOTORES" u="1"/>
        <s v="BUCACRD022300TRADICIONALPROMOTORES" u="1"/>
        <s v="BUCACRD024641TRADICIONALPROMOTORES" u="1"/>
        <s v="BUCACRD024644TRADICIONALPROMOTORES" u="1"/>
        <s v="BUCACRD024645TRADICIONALPROMOTORES" u="1"/>
        <s v="BUCACRD024646TRADICIONALPROMOTORES" u="1"/>
        <s v="BUCACRD024647TRADICIONALPROMOTORES" u="1"/>
        <s v="BUCACRD024648TRADICIONALPROMOTORES" u="1"/>
        <s v="BUCACRD024649TRADICIONALPROMOTORES" u="1"/>
        <s v="BUCACRD024650TRADICIONALPROMOTORES" u="1"/>
        <s v="BUCACRD024651TRADICIONALPROMOTORES" u="1"/>
        <s v="BUCACRD024652TRADICIONALPROMOTORES" u="1"/>
        <s v="BUCACRD024653TRADICIONALPROMOTORES" u="1"/>
        <s v="BUCACRD024654TRADICIONALPROMOTORES" u="1"/>
        <s v="BUCACRD024655TRADICIONALPROMOTORES" u="1"/>
        <s v="BUCACRD024656TRADICIONALPROMOTORES" u="1"/>
        <s v="BUCACRD024658TRADICIONALPROMOTORES" u="1"/>
        <s v="BUCACRD024659TRADICIONALPROMOTORES" u="1"/>
        <s v="MEDECRD000043CADENASBPO" u="1"/>
        <s v="MEDECRD000103CADENASBPO" u="1"/>
        <s v="MEDECRD000115CADENASBPO" u="1"/>
        <s v="MEDECRD001420CADENASBPO" u="1"/>
        <s v="MEDECRD005001CADENASBPO" u="1"/>
        <s v="MEDECRD006670CADENASBPO" u="1"/>
        <s v="MEDECRD007355CADENASBPO" u="1"/>
        <s v="MEDECRD008428CADENASBPO" u="1"/>
        <s v="MEDECRD008430CADENASBPO" u="1"/>
        <s v="MEDECRD008431CADENASBPO" u="1"/>
        <s v="MEDECRD008551CADENASBPO" u="1"/>
        <s v="MEDECRD008623CADENASBPO" u="1"/>
        <s v="MEDECRD008638CADENASBPO" u="1"/>
        <s v="MEDECRD010532CADENASBPO" u="1"/>
        <s v="MEDECRD011367CADENASBPO" u="1"/>
        <s v="MEDECRD012588CADENASBPO" u="1"/>
        <s v="MEDECRD013990CADENASBPO" u="1"/>
        <s v="MEDECRD014116CADENASBPO" u="1"/>
        <s v="MEDECRD014117CADENASBPO" u="1"/>
        <s v="MEDECRD014118CADENASBPO" u="1"/>
        <s v="MEDECRD014119CADENASBPO" u="1"/>
        <s v="MEDECRD014120CADENASBPO" u="1"/>
        <s v="MEDECRD014424CADENASBPO" u="1"/>
        <s v="MEDECRD014744CADENASBPO" u="1"/>
        <s v="MEDECRD018951CADENASBPO" u="1"/>
        <s v="MEDECRD018963CADENASBPO" u="1"/>
        <s v="MEDECRD019018CADENASBPO" u="1"/>
        <s v="MEDECRD019238CADENASBPO" u="1"/>
        <s v="MEDECRD019555CADENASBPO" u="1"/>
        <s v="MEDECRD019638CADENASBPO" u="1"/>
        <s v="MEDECRD019868CADENASBPO" u="1"/>
        <s v="MEDECRD020061CADENASBPO" u="1"/>
        <s v="MEDECRD020062CADENASBPO" u="1"/>
        <s v="MEDECRD020063CADENASBPO" u="1"/>
        <s v="MEDECRD020181CADENASBPO" u="1"/>
        <s v="MEDECRD020361CADENASBPO" u="1"/>
        <s v="MEDECRD020426CADENASBPO" u="1"/>
        <s v="MEDECRD020501CADENASBPO" u="1"/>
        <s v="MEDECRD020847CADENASBPO" u="1"/>
        <s v="MEDECRD020865CADENASBPO" u="1"/>
        <s v="MEDECRD021073CADENASBPO" u="1"/>
        <s v="MEDECRD021125CADENASBPO" u="1"/>
        <s v="MEDECRD021126CADENASBPO" u="1"/>
        <s v="MEDECRD021137CADENASBPO" u="1"/>
        <s v="MEDECRD021163CADENASBPO" u="1"/>
        <s v="MEDECRD021350CADENASBPO" u="1"/>
        <s v="MEDECRD021681CADENASBPO" u="1"/>
        <s v="MEDECRD021754CADENASBPO" u="1"/>
        <s v="MEDECRD021973CADENASBPO" u="1"/>
        <s v="MEDECRD022670CADENASBPO" u="1"/>
        <s v="MEDECRD022717CADENASBPO" u="1"/>
        <s v="MEDECRD022718CADENASBPO" u="1"/>
        <s v="MEDECRD023241CADENASBPO" u="1"/>
        <s v="MEDECRD023312CADENASBPO" u="1"/>
        <s v="MEDECRD023448CADENASBPO" u="1"/>
        <s v="MEDECRD023611CADENASBPO" u="1"/>
        <s v="MEDECRD024261CADENASBPO" u="1"/>
        <s v="MEDECRD024262CADENASBPO" u="1"/>
        <s v="MEDECRD024268CADENASBPO" u="1"/>
        <s v="MEDECRD024584CADENASBPO" u="1"/>
        <s v="MEDECRD024585CADENASBPO" u="1"/>
        <s v="MEDECRD024842CADENASBPO" u="1"/>
        <s v="MEDECRD024843CADENASBPO" u="1"/>
        <s v="MEDECRD024844CADENASBPO" u="1"/>
        <s v="MEDECRD024845CADENASBPO" u="1"/>
        <s v="MEDECRD024847CADENASBPO" u="1"/>
        <s v="MEDECRD024964CADENASBPO" u="1"/>
        <s v="MEDECRD024965CADENASBPO" u="1"/>
        <s v="BUCAACT000035TRADICIONALNUTRESA" u="1"/>
        <s v="BUCAACT000063TRADICIONALNUTRESA" u="1"/>
        <s v="BUCAACT000551TRADICIONALNUTRESA" u="1"/>
        <s v="BUCACRD010321TRADICIONALNUTRESA" u="1"/>
        <s v="BUCACRD016422TRADICIONALNUTRESA" u="1"/>
        <s v="BUCACRD016684TRADICIONALNUTRESA" u="1"/>
        <s v="BUCACRD016974TRADICIONALNUTRESA" u="1"/>
        <s v="BUCACRD016975TRADICIONALNUTRESA" u="1"/>
        <s v="BUCACRD016978TRADICIONALNUTRESA" u="1"/>
        <s v="BUCACRD016979TRADICIONALNUTRESA" u="1"/>
        <s v="BUCACRD018934TRADICIONALNUTRESA" u="1"/>
        <s v="BUCACRD018935TRADICIONALNUTRESA" u="1"/>
        <s v="BUCACRD019920TRADICIONALNUTRESA" u="1"/>
        <s v="BUCACRD020970TRADICIONALNUTRESA" u="1"/>
        <s v="BUCACRD021014TRADICIONALNUTRESA" u="1"/>
        <s v="BUCACRD021015TRADICIONALNUTRESA" u="1"/>
        <s v="BUCACRD021040TRADICIONALNUTRESA" u="1"/>
        <s v="BUCACRD021041TRADICIONALNUTRESA" u="1"/>
        <s v="BUCACRD021724TRADICIONALNUTRESA" u="1"/>
        <s v="BUCACRD021787TRADICIONALNUTRESA" u="1"/>
        <s v="BUCACRD022088TRADICIONALNUTRESA" u="1"/>
        <s v="BUCACRD022874TRADICIONALNUTRESA" u="1"/>
        <s v="BUCACRD023599TRADICIONALNUTRESA" u="1"/>
        <s v="BUCACRD023685TRADICIONALNUTRESA" u="1"/>
        <s v="BUCACRD024971TRADICIONALNUTRESA" u="1"/>
        <s v="BUCACRD025004TRADICIONALNUTRESA" u="1"/>
        <s v="BUCACRD025005TRADICIONALNUTRESA" u="1"/>
        <s v="BUCACRD025008TRADICIONALNUTRESA" u="1"/>
        <s v="BUCACRD025009TRADICIONALNUTRESA" u="1"/>
        <s v="BUCACRD025010TRADICIONALNUTRESA" u="1"/>
        <s v="BGTACRD010532TRADICIONALBPO" u="1"/>
        <s v="BGTACRD011220TRADICIONALBPO" u="1"/>
        <s v="BGTACRD021138TRADICIONALBPO" u="1"/>
        <s v="BGTACRD021681TRADICIONALBPO" u="1"/>
        <s v="BGTACRD023241TRADICIONALBPO" u="1"/>
        <s v="BGTACRD023312TRADICIONALBPO" u="1"/>
        <s v="IBA1NUTDUR000005AUTOSERVICIONUTRESA" u="1"/>
        <s v="IBA1NUTDUR000006AUTOSERVICIONUTRESA" u="1"/>
        <s v="IBA1NUTDUR000007AUTOSERVICIONUTRESA" u="1"/>
        <s v="BGTACRD007355AUTOSERVICIOALTILLANO_BPO" u="1"/>
        <s v="BGTACRD008430AUTOSERVICIOALTILLANO_BPO" u="1"/>
        <s v="BGTACRD008638AUTOSERVICIOALTILLANO_BPO" u="1"/>
        <s v="BGTACRD010532AUTOSERVICIOALTILLANO_BPO" u="1"/>
        <s v="BGTACRD013990AUTOSERVICIOALTILLANO_BPO" u="1"/>
        <s v="BGTACRD019529AUTOSERVICIOALTILLANO_BPO" u="1"/>
        <s v="BGTACRD020361AUTOSERVICIOALTILLANO_BPO" u="1"/>
        <s v="BGTACRD021299AUTOSERVICIOALTILLANO_BPO" u="1"/>
        <s v="BGTACRD023661AUTOSERVICIOALTILLANO_BPO" u="1"/>
        <s v="BGTACRD023916AUTOSERVICIOALTILLANO_BPO" u="1"/>
        <s v="BGTACRD023980AUTOSERVICIOALTILLANO_BPO" u="1"/>
        <s v="BGTACRD024365AUTOSERVICIOALTILLANO_BPO" u="1"/>
        <s v="BGTACRD024556AUTOSERVICIOALTILLANO_BPO" u="1"/>
        <s v="BGTACRD024842AUTOSERVICIOALTILLANO_BPO" u="1"/>
        <s v="BGTACRD024843AUTOSERVICIOALTILLANO_BPO" u="1"/>
        <s v="BGTACRD024844AUTOSERVICIOALTILLANO_BPO" u="1"/>
        <s v="BGTACRD024845AUTOSERVICIOALTILLANO_BPO" u="1"/>
        <s v="BGTACRD024846AUTOSERVICIOALTILLANO_BPO" u="1"/>
        <s v="BARRCRD021787TRADICIONALBPO" u="1"/>
        <s v="BARRCRD024859TRADICIONALBPO" u="1"/>
        <s v="BARRCRD024860TRADICIONALBPO" u="1"/>
        <s v="BARRCRD024861TRADICIONALBPO" u="1"/>
        <s v="CALICRD000115CADENASBPO" u="1"/>
        <s v="CALICRD000119CADENASBPO" u="1"/>
        <s v="CALICRD000122CADENASBPO" u="1"/>
        <s v="CALICRD001420CADENASBPO" u="1"/>
        <s v="CALICRD002178CADENASBPO" u="1"/>
        <s v="CALICRD002204CADENASBPO" u="1"/>
        <s v="CALICRD005001CADENASBPO" u="1"/>
        <s v="CALICRD006778CADENASBPO" u="1"/>
        <s v="CALICRD007355CADENASBPO" u="1"/>
        <s v="CALICRD008428CADENASBPO" u="1"/>
        <s v="CALICRD008430CADENASBPO" u="1"/>
        <s v="CALICRD008551CADENASBPO" u="1"/>
        <s v="CALICRD008623CADENASBPO" u="1"/>
        <s v="CALICRD008638CADENASBPO" u="1"/>
        <s v="CALICRD010532CADENASBPO" u="1"/>
        <s v="CALICRD012588CADENASBPO" u="1"/>
        <s v="CALICRD012624CADENASBPO" u="1"/>
        <s v="CALICRD013990CADENASBPO" u="1"/>
        <s v="CALICRD014116CADENASBPO" u="1"/>
        <s v="CALICRD014117CADENASBPO" u="1"/>
        <s v="CALICRD014118CADENASBPO" u="1"/>
        <s v="CALICRD014119CADENASBPO" u="1"/>
        <s v="CALICRD014120CADENASBPO" u="1"/>
        <s v="CALICRD014424CADENASBPO" u="1"/>
        <s v="CALICRD014744CADENASBPO" u="1"/>
        <s v="CALICRD015723CADENASBPO" u="1"/>
        <s v="CALICRD016708CADENASBPO" u="1"/>
        <s v="CALICRD019018CADENASBPO" u="1"/>
        <s v="CALICRD019238CADENASBPO" u="1"/>
        <s v="CALICRD019529CADENASBPO" u="1"/>
        <s v="CALICRD019555CADENASBPO" u="1"/>
        <s v="CALICRD019638CADENASBPO" u="1"/>
        <s v="CALICRD019868CADENASBPO" u="1"/>
        <s v="CALICRD019915CADENASBPO" u="1"/>
        <s v="CALICRD020007CADENASBPO" u="1"/>
        <s v="CALICRD020181CADENASBPO" u="1"/>
        <s v="CALICRD020501CADENASBPO" u="1"/>
        <s v="CALICRD020847CADENASBPO" u="1"/>
        <s v="CALICRD020865CADENASBPO" u="1"/>
        <s v="CALICRD021162CADENASBPO" u="1"/>
        <s v="CALICRD021163CADENASBPO" u="1"/>
        <s v="CALICRD021350CADENASBPO" u="1"/>
        <s v="CALICRD021482CADENASBPO" u="1"/>
        <s v="CALICRD021681CADENASBPO" u="1"/>
        <s v="CALICRD021754CADENASBPO" u="1"/>
        <s v="CALICRD021930CADENASBPO" u="1"/>
        <s v="CALICRD021973CADENASBPO" u="1"/>
        <s v="CALICRD022496CADENASBPO" u="1"/>
        <s v="CALICRD022497CADENASBPO" u="1"/>
        <s v="CALICRD022670CADENASBPO" u="1"/>
        <s v="CALICRD022717CADENASBPO" u="1"/>
        <s v="CALICRD022718CADENASBPO" u="1"/>
        <s v="CALICRD023611CADENASBPO" u="1"/>
        <s v="CALICRD023661CADENASBPO" u="1"/>
        <s v="CALICRD023685CADENASBPO" u="1"/>
        <s v="CALICRD023808CADENASBPO" u="1"/>
        <s v="CALICRD024437CADENASBPO" u="1"/>
        <s v="CALICRD024682CADENASBPO" u="1"/>
        <s v="CALICRD024842CADENASBPO" u="1"/>
        <s v="CALICRD024843CADENASBPO" u="1"/>
        <s v="CALICRD024844CADENASBPO" u="1"/>
        <s v="CALICRD024845CADENASBPO" u="1"/>
        <s v="CALICRD024846CADENASBPO" u="1"/>
        <s v="CALICRD025018CADENASBPO" u="1"/>
        <s v="BGTAACT000120AUTOSERVICIONUTRESA" u="1"/>
        <s v="BGTAACT000418AUTOSERVICIONUTRESA" u="1"/>
        <s v="BGTAACT000434AUTOSERVICIONUTRESA" u="1"/>
        <s v="BGTAACT000442AUTOSERVICIONUTRESA" u="1"/>
        <s v="BGTAACT000482AUTOSERVICIONUTRESA" u="1"/>
        <s v="BGTAACT000484AUTOSERVICIONUTRESA" u="1"/>
        <s v="BGTAACT000485AUTOSERVICIONUTRESA" u="1"/>
        <s v="BGTAACT000496AUTOSERVICIONUTRESA" u="1"/>
        <s v="BGTAACT000497AUTOSERVICIONUTRESA" u="1"/>
        <s v="BGTAACT000501AUTOSERVICIONUTRESA" u="1"/>
        <s v="BGTAACT000502AUTOSERVICIONUTRESA" u="1"/>
        <s v="BGTAACT000514AUTOSERVICIONUTRESA" u="1"/>
        <s v="BGTAACT000515AUTOSERVICIONUTRESA" u="1"/>
        <s v="BGTAACT000516AUTOSERVICIONUTRESA" u="1"/>
        <s v="BGTAACT000528AUTOSERVICIONUTRESA" u="1"/>
        <s v="BGTAACT000531AUTOSERVICIONUTRESA" u="1"/>
        <s v="BGTAACT000551AUTOSERVICIONUTRESA" u="1"/>
        <s v="BGTACRD014536AUTOSERVICIONUTRESA" u="1"/>
        <s v="BGTACRD018076AUTOSERVICIONUTRESA" u="1"/>
        <s v="BGTACRD018785AUTOSERVICIONUTRESA" u="1"/>
        <s v="BGTACRD020172AUTOSERVICIONUTRESA" u="1"/>
        <s v="BGTACRD020907AUTOSERVICIONUTRESA" u="1"/>
        <s v="BGTACRD022242AUTOSERVICIONUTRESA" u="1"/>
        <s v="BGTACRD022244AUTOSERVICIONUTRESA" u="1"/>
        <s v="BGTACRD022273AUTOSERVICIONUTRESA" u="1"/>
        <s v="BGTACRD022897AUTOSERVICIONUTRESA" u="1"/>
        <s v="BGTACRD023116AUTOSERVICIONUTRESA" u="1"/>
        <s v="BGTACRD023253AUTOSERVICIONUTRESA" u="1"/>
        <s v="BGTACRD023274AUTOSERVICIONUTRESA" u="1"/>
        <s v="BGTACRD023278AUTOSERVICIONUTRESA" u="1"/>
        <s v="BGTACRD023488AUTOSERVICIONUTRESA" u="1"/>
        <s v="BGTACRD023533AUTOSERVICIONUTRESA" u="1"/>
        <s v="BGTACRD023564AUTOSERVICIONUTRESA" u="1"/>
        <s v="BGTACRD023584AUTOSERVICIONUTRESA" u="1"/>
        <s v="BGTACRD023585AUTOSERVICIONUTRESA" u="1"/>
        <s v="BGTACRD023618AUTOSERVICIONUTRESA" u="1"/>
        <s v="BGTACRD023816AUTOSERVICIONUTRESA" u="1"/>
        <s v="BGTACRD023821AUTOSERVICIONUTRESA" u="1"/>
        <s v="BGTACRD023822AUTOSERVICIONUTRESA" u="1"/>
        <s v="BGTACRD023823AUTOSERVICIONUTRESA" u="1"/>
        <s v="BGTACRD023824AUTOSERVICIONUTRESA" u="1"/>
        <s v="BGTACRD023825AUTOSERVICIONUTRESA" u="1"/>
        <s v="BGTACRD024126AUTOSERVICIONUTRESA" u="1"/>
        <s v="BGTACRD024128AUTOSERVICIONUTRESA" u="1"/>
        <s v="BGTACRD024173AUTOSERVICIONUTRESA" u="1"/>
        <s v="BGTACRD024174AUTOSERVICIONUTRESA" u="1"/>
        <s v="BGTACRD024186AUTOSERVICIONUTRESA" u="1"/>
        <s v="BGTACRD024188AUTOSERVICIONUTRESA" u="1"/>
        <s v="BGTACRD024312AUTOSERVICIONUTRESA" u="1"/>
        <s v="BGTACRD024336AUTOSERVICIONUTRESA" u="1"/>
        <s v="BGTACRD024391AUTOSERVICIONUTRESA" u="1"/>
        <s v="BGTACRD024392AUTOSERVICIONUTRESA" u="1"/>
        <s v="BGTACRD024395AUTOSERVICIONUTRESA" u="1"/>
        <s v="BGTACRD024445AUTOSERVICIONUTRESA" u="1"/>
        <s v="BGTACRD024446AUTOSERVICIONUTRESA" u="1"/>
        <s v="BGTACRD024478AUTOSERVICIONUTRESA" u="1"/>
        <s v="BGTACRD024500AUTOSERVICIONUTRESA" u="1"/>
        <s v="BGTACRD024541AUTOSERVICIONUTRESA" u="1"/>
        <s v="BGTACRD024546AUTOSERVICIONUTRESA" u="1"/>
        <s v="BGTACRD024562AUTOSERVICIONUTRESA" u="1"/>
        <s v="BGTACRD024637AUTOSERVICIONUTRESA" u="1"/>
        <s v="BGTACRD024638AUTOSERVICIONUTRESA" u="1"/>
        <s v="BGTACRD024639AUTOSERVICIONUTRESA" u="1"/>
        <s v="BGTACRD024670AUTOSERVICIONUTRESA" u="1"/>
        <s v="BGTACRD024671AUTOSERVICIONUTRESA" u="1"/>
        <s v="BGTACRD024672AUTOSERVICIONUTRESA" u="1"/>
        <s v="BGTACRD024673AUTOSERVICIONUTRESA" u="1"/>
        <s v="BGTACRD024691AUTOSERVICIONUTRESA" u="1"/>
        <s v="BGTACRD024692AUTOSERVICIONUTRESA" u="1"/>
        <s v="BGTACRD024694AUTOSERVICIONUTRESA" u="1"/>
        <s v="BGTACRD024695AUTOSERVICIONUTRESA" u="1"/>
        <s v="BGTACRD024700AUTOSERVICIONUTRESA" u="1"/>
        <s v="BGTACRD024702AUTOSERVICIONUTRESA" u="1"/>
        <s v="BGTACRD024810AUTOSERVICIONUTRESA" u="1"/>
        <s v="BGTACRD024836AUTOSERVICIONUTRESA" u="1"/>
        <s v="BGTACRD024912AUTOSERVICIONUTRESA" u="1"/>
        <s v="BGTACRD024981AUTOSERVICIONUTRESA" u="1"/>
        <s v="BGTACRD025001AUTOSERVICIONUTRESA" u="1"/>
        <s v="BGTACRD025002AUTOSERVICIONUTRESA" u="1"/>
        <s v="BGTACRD025023AUTOSERVICIONUTRESA" u="1"/>
        <s v="BGTACRD000698CADENASNUTRESA" u="1"/>
        <s v="BGTACRD001182CADENASNUTRESA" u="1"/>
        <s v="BGTACRD001290CADENASNUTRESA" u="1"/>
        <s v="BGTACRD003974CADENASNUTRESA" u="1"/>
        <s v="BGTACRD005045CADENASNUTRESA" u="1"/>
        <s v="BGTACRD006884CADENASNUTRESA" u="1"/>
        <s v="BGTACRD010924CADENASNUTRESA" u="1"/>
        <s v="BGTACRD014047CADENASNUTRESA" u="1"/>
        <s v="BGTACRD014493CADENASNUTRESA" u="1"/>
        <s v="BGTACRD014657CADENASNUTRESA" u="1"/>
        <s v="BGTACRD014744CADENASNUTRESA" u="1"/>
        <s v="BGTACRD016342CADENASNUTRESA" u="1"/>
        <s v="BGTACRD017015CADENASNUTRESA" u="1"/>
        <s v="BGTACRD017107CADENASNUTRESA" u="1"/>
        <s v="BGTACRD019292CADENASNUTRESA" u="1"/>
        <s v="BGTACRD019413CADENASNUTRESA" u="1"/>
        <s v="BGTACRD020190CADENASNUTRESA" u="1"/>
        <s v="BGTACRD020191CADENASNUTRESA" u="1"/>
        <s v="BGTACRD020854CADENASNUTRESA" u="1"/>
        <s v="BGTACRD021296CADENASNUTRESA" u="1"/>
        <s v="BGTACRD022155CADENASNUTRESA" u="1"/>
        <s v="BGTACRD022782CADENASNUTRESA" u="1"/>
        <s v="BGTACRD023138CADENASNUTRESA" u="1"/>
        <s v="BGTACRD023139CADENASNUTRESA" u="1"/>
        <s v="BGTACRD023140CADENASNUTRESA" u="1"/>
        <s v="BGTACRD023141CADENASNUTRESA" u="1"/>
        <s v="BGTACRD023166CADENASNUTRESA" u="1"/>
        <s v="BGTACRD023661CADENASNUTRESA" u="1"/>
        <s v="BGTACRD023687CADENASNUTRESA" u="1"/>
        <s v="BGTACRD024162CADENASNUTRESA" u="1"/>
        <s v="BGTACRD024183CADENASNUTRESA" u="1"/>
        <s v="BGTACRD024278CADENASNUTRESA" u="1"/>
        <s v="BGTACRD024353CADENASNUTRESA" u="1"/>
        <s v="BGTACRD024378CADENASNUTRESA" u="1"/>
        <s v="BGTACRD024568CADENASNUTRESA" u="1"/>
        <s v="BGTACRD024630CADENASNUTRESA" u="1"/>
        <s v="BGTACRD024631CADENASNUTRESA" u="1"/>
        <s v="BGTACRD024785CADENASNUTRESA" u="1"/>
        <s v="BGTACRD024929CADENASNUTRESA" u="1"/>
        <s v="BGTACRD024946CADENASNUTRESA" u="1"/>
        <s v="BGTACRD024954CADENASNUTRESA" u="1"/>
        <s v="BGTACRD025017CADENASNUTRESA" u="1"/>
        <s v="BGTAACT000436AUTOSERVICIOBPO" u="1"/>
        <s v="BGTACRD000115AUTOSERVICIOBPO" u="1"/>
        <s v="BGTACRD001420AUTOSERVICIOBPO" u="1"/>
        <s v="BGTACRD002204AUTOSERVICIOBPO" u="1"/>
        <s v="BGTACRD005001AUTOSERVICIOBPO" u="1"/>
        <s v="BGTACRD006670AUTOSERVICIOBPO" u="1"/>
        <s v="BGTACRD006778AUTOSERVICIOBPO" u="1"/>
        <s v="BGTACRD006786AUTOSERVICIOBPO" u="1"/>
        <s v="BGTACRD007355AUTOSERVICIOBPO" u="1"/>
        <s v="BGTACRD008428AUTOSERVICIOBPO" u="1"/>
        <s v="BGTACRD008430AUTOSERVICIOBPO" u="1"/>
        <s v="BGTACRD008431AUTOSERVICIOBPO" u="1"/>
        <s v="BGTACRD008638AUTOSERVICIOBPO" u="1"/>
        <s v="BGTACRD009243AUTOSERVICIOBPO" u="1"/>
        <s v="BGTACRD010373AUTOSERVICIOBPO" u="1"/>
        <s v="BGTACRD010532AUTOSERVICIOBPO" u="1"/>
        <s v="BGTACRD012588AUTOSERVICIOBPO" u="1"/>
        <s v="BGTACRD012624AUTOSERVICIOBPO" u="1"/>
        <s v="BGTACRD013163AUTOSERVICIOBPO" u="1"/>
        <s v="BGTACRD013990AUTOSERVICIOBPO" u="1"/>
        <s v="BGTACRD014424AUTOSERVICIOBPO" u="1"/>
        <s v="BGTACRD016151AUTOSERVICIOBPO" u="1"/>
        <s v="BGTACRD019238AUTOSERVICIOBPO" u="1"/>
        <s v="BGTACRD019529AUTOSERVICIOBPO" u="1"/>
        <s v="BGTACRD019638AUTOSERVICIOBPO" u="1"/>
        <s v="BGTACRD020007AUTOSERVICIOBPO" u="1"/>
        <s v="BGTACRD020361AUTOSERVICIOBPO" u="1"/>
        <s v="BGTACRD020501AUTOSERVICIOBPO" u="1"/>
        <s v="BGTACRD020865AUTOSERVICIOBPO" u="1"/>
        <s v="BGTACRD021077AUTOSERVICIOBPO" u="1"/>
        <s v="BGTACRD021129AUTOSERVICIOBPO" u="1"/>
        <s v="BGTACRD021136AUTOSERVICIOBPO" u="1"/>
        <s v="BGTACRD021137AUTOSERVICIOBPO" u="1"/>
        <s v="BGTACRD021163AUTOSERVICIOBPO" u="1"/>
        <s v="BGTACRD021283AUTOSERVICIOBPO" u="1"/>
        <s v="BGTACRD021681AUTOSERVICIOBPO" u="1"/>
        <s v="BGTACRD022584AUTOSERVICIOBPO" u="1"/>
        <s v="BGTACRD022585AUTOSERVICIOBPO" u="1"/>
        <s v="BGTACRD023139AUTOSERVICIOBPO" u="1"/>
        <s v="BGTACRD023141AUTOSERVICIOBPO" u="1"/>
        <s v="BGTACRD023312AUTOSERVICIOBPO" u="1"/>
        <s v="BGTACRD023351AUTOSERVICIOBPO" u="1"/>
        <s v="BGTACRD023661AUTOSERVICIOBPO" u="1"/>
        <s v="BGTACRD023662AUTOSERVICIOBPO" u="1"/>
        <s v="BGTACRD023916AUTOSERVICIOBPO" u="1"/>
        <s v="BGTACRD024365AUTOSERVICIOBPO" u="1"/>
        <s v="BGTACRD024437AUTOSERVICIOBPO" u="1"/>
        <s v="BGTACRD024443AUTOSERVICIOBPO" u="1"/>
        <s v="BGTACRD024624AUTOSERVICIOBPO" u="1"/>
        <s v="BGTACRD024674AUTOSERVICIOBPO" u="1"/>
        <s v="BGTACRD024775AUTOSERVICIOBPO" u="1"/>
        <s v="BGTACRD024796AUTOSERVICIOBPO" u="1"/>
        <s v="BGTACRD024842AUTOSERVICIOBPO" u="1"/>
        <s v="BGTACRD024843AUTOSERVICIOBPO" u="1"/>
        <s v="BGTACRD024844AUTOSERVICIOBPO" u="1"/>
        <s v="BGTACRD024845AUTOSERVICIOBPO" u="1"/>
        <s v="BGTACRD024867AUTOSERVICIOBPO" u="1"/>
        <s v="BGTACRD024997AUTOSERVICIOBPO" u="1"/>
        <s v="BGTAACT000493AUTOSERVICIODESARROLLADORES" u="1"/>
        <s v="BGTAACT000500AUTOSERVICIODESARROLLADORES" u="1"/>
        <s v="BGTAACT000514AUTOSERVICIODESARROLLADORES" u="1"/>
        <s v="BARRACT000423AUTOSERVICIONUTRESA" u="1"/>
        <s v="BARRACT000429AUTOSERVICIONUTRESA" u="1"/>
        <s v="BARRACT000466AUTOSERVICIONUTRESA" u="1"/>
        <s v="BARRACT000498AUTOSERVICIONUTRESA" u="1"/>
        <s v="BARRACT000500AUTOSERVICIONUTRESA" u="1"/>
        <s v="BARRACT000501AUTOSERVICIONUTRESA" u="1"/>
        <s v="BARRACT000529AUTOSERVICIONUTRESA" u="1"/>
        <s v="BARRACT000531AUTOSERVICIONUTRESA" u="1"/>
        <s v="BARRCRD017899AUTOSERVICIONUTRESA" u="1"/>
        <s v="BARRCRD023509AUTOSERVICIONUTRESA" u="1"/>
        <s v="BARRCRD023547AUTOSERVICIONUTRESA" u="1"/>
        <s v="BARRCRD023685AUTOSERVICIONUTRESA" u="1"/>
        <s v="BARRCRD024124AUTOSERVICIONUTRESA" u="1"/>
        <s v="BARRCRD024277AUTOSERVICIONUTRESA" u="1"/>
        <s v="BARRCRD024396AUTOSERVICIONUTRESA" u="1"/>
        <s v="BARRCRD024458AUTOSERVICIONUTRESA" u="1"/>
        <s v="BARRCRD024527AUTOSERVICIONUTRESA" u="1"/>
        <s v="BARRCRD024528AUTOSERVICIONUTRESA" u="1"/>
        <s v="BARRCRD024849AUTOSERVICIONUTRESA" u="1"/>
        <s v="BARRCRD024912AUTOSERVICIONUTRESA" u="1"/>
        <s v="BARRCRD024981AUTOSERVICIONUTRESA" u="1"/>
        <s v="BARRCRD025039AUTOSERVICIONUTRESA" u="1"/>
        <s v="BGTANUTDUR000002AUTOSERVICIOALTILLANO" u="1"/>
        <s v="BGTANUTDUR000004AUTOSERVICIOALTILLANO" u="1"/>
        <s v="BGTANUTDUR000007AUTOSERVICIOALTILLANO" u="1"/>
        <s v="BARRACT000166CADENASNUTRESA" u="1"/>
        <s v="BARRACT000289CADENASNUTRESA" u="1"/>
        <s v="BARRCRD000245CADENASNUTRESA" u="1"/>
        <s v="BARRCRD002091CADENASNUTRESA" u="1"/>
        <s v="BARRCRD010413CADENASNUTRESA" u="1"/>
        <s v="BARRCRD016642CADENASNUTRESA" u="1"/>
        <s v="BARRCRD019326CADENASNUTRESA" u="1"/>
        <s v="BARRCRD019331CADENASNUTRESA" u="1"/>
        <s v="BARRCRD020854CADENASNUTRESA" u="1"/>
        <s v="BARRCRD020861CADENASNUTRESA" u="1"/>
        <s v="BARRCRD021265CADENASNUTRESA" u="1"/>
        <s v="BARRCRD021725CADENASNUTRESA" u="1"/>
        <s v="BARRCRD023141CADENASNUTRESA" u="1"/>
        <s v="BARRCRD023165CADENASNUTRESA" u="1"/>
        <s v="BARRCRD023227CADENASNUTRESA" u="1"/>
        <s v="BARRCRD023308CADENASNUTRESA" u="1"/>
        <s v="BARRCRD023570CADENASNUTRESA" u="1"/>
        <s v="BARRCRD023690CADENASNUTRESA" u="1"/>
        <s v="BARRCRD024162CADENASNUTRESA" u="1"/>
        <s v="BARRCRD024177CADENASNUTRESA" u="1"/>
        <s v="BARRCRD024278CADENASNUTRESA" u="1"/>
        <s v="BARRCRD024535CADENASNUTRESA" u="1"/>
        <s v="BARRCRD024542CADENASNUTRESA" u="1"/>
        <s v="BARRCRD024550CADENASNUTRESA" u="1"/>
        <s v="BARRCRD024560CADENASNUTRESA" u="1"/>
        <s v="BARRCRD024566CADENASNUTRESA" u="1"/>
        <s v="BARRCRD024567CADENASNUTRESA" u="1"/>
        <s v="BARRCRD024618CADENASNUTRESA" u="1"/>
        <s v="BARRCRD024714CADENASNUTRESA" u="1"/>
        <s v="BARRCRD024715CADENASNUTRESA" u="1"/>
        <s v="BARRCRD024785CADENASNUTRESA" u="1"/>
        <s v="BARRCRD024946CADENASNUTRESA" u="1"/>
        <s v="BARRCRD024963CADENASNUTRESA" u="1"/>
        <s v="BARRCRD024997CADENASNUTRESA" u="1"/>
        <s v="BARRCRD025017CADENASNUTRESA" u="1"/>
        <s v="BARRACT000436AUTOSERVICIOBPO" u="1"/>
        <s v="BARRCRD001420AUTOSERVICIOBPO" u="1"/>
        <s v="BARRCRD006670AUTOSERVICIOBPO" u="1"/>
        <s v="BARRCRD007004AUTOSERVICIOBPO" u="1"/>
        <s v="BARRCRD008430AUTOSERVICIOBPO" u="1"/>
        <s v="BARRCRD008638AUTOSERVICIOBPO" u="1"/>
        <s v="BARRCRD012588AUTOSERVICIOBPO" u="1"/>
        <s v="BARRCRD013990AUTOSERVICIOBPO" u="1"/>
        <s v="BARRCRD019018AUTOSERVICIOBPO" u="1"/>
        <s v="BARRCRD019529AUTOSERVICIOBPO" u="1"/>
        <s v="BARRCRD019638AUTOSERVICIOBPO" u="1"/>
        <s v="BARRCRD020102AUTOSERVICIOBPO" u="1"/>
        <s v="BARRCRD020361AUTOSERVICIOBPO" u="1"/>
        <s v="BARRCRD021163AUTOSERVICIOBPO" u="1"/>
        <s v="BARRCRD021534AUTOSERVICIOBPO" u="1"/>
        <s v="BARRCRD023916AUTOSERVICIOBPO" u="1"/>
        <s v="BARRCRD024380AUTOSERVICIOBPO" u="1"/>
        <s v="BARRCRD024521AUTOSERVICIOBPO" u="1"/>
        <s v="BARRCRD024796AUTOSERVICIOBPO" u="1"/>
        <s v="BARRCRD024842AUTOSERVICIOBPO" u="1"/>
        <s v="BARRCRD024843AUTOSERVICIOBPO" u="1"/>
        <s v="BARRCRD024844AUTOSERVICIOBPO" u="1"/>
        <s v="BARRCRD024845AUTOSERVICIOBPO" u="1"/>
        <s v="BARRCRD024859AUTOSERVICIOBPO" u="1"/>
        <s v="BARRCRD024860AUTOSERVICIOBPO" u="1"/>
        <s v="BARRCRD024861AUTOSERVICIOBPO" u="1"/>
        <s v="MEDECRD010532TRADICIONALBPO" u="1"/>
        <s v="MEDECRD011367TRADICIONALBPO" u="1"/>
        <s v="MEDECRD019555TRADICIONALBPO" u="1"/>
        <s v="MEDECRD021681TRADICIONALBPO" u="1"/>
        <s v="MEDECRD021787TRADICIONALBPO" u="1"/>
        <s v="MEDECRD023312TRADICIONALBPO" u="1"/>
        <s v="MEDECRD023363TRADICIONALBPO" u="1"/>
        <s v="CARTACT000035TRADICIONALNUTRESA" u="1"/>
        <s v="CARTACT000063TRADICIONALNUTRESA" u="1"/>
        <s v="CARTACT000225TRADICIONALNUTRESA" u="1"/>
        <s v="CARTACT000227TRADICIONALNUTRESA" u="1"/>
        <s v="CARTACT000437TRADICIONALNUTRESA" u="1"/>
        <s v="CARTACT000439TRADICIONALNUTRESA" u="1"/>
        <s v="CARTACT000442TRADICIONALNUTRESA" u="1"/>
        <s v="CARTCRD008369TRADICIONALNUTRESA" u="1"/>
        <s v="CARTCRD010275TRADICIONALNUTRESA" u="1"/>
        <s v="CARTCRD012773TRADICIONALNUTRESA" u="1"/>
        <s v="CARTCRD016566TRADICIONALNUTRESA" u="1"/>
        <s v="CARTCRD016684TRADICIONALNUTRESA" u="1"/>
        <s v="CARTCRD016974TRADICIONALNUTRESA" u="1"/>
        <s v="CARTCRD016975TRADICIONALNUTRESA" u="1"/>
        <s v="CARTCRD016978TRADICIONALNUTRESA" u="1"/>
        <s v="CARTCRD016979TRADICIONALNUTRESA" u="1"/>
        <s v="CARTCRD018933TRADICIONALNUTRESA" u="1"/>
        <s v="CARTCRD018934TRADICIONALNUTRESA" u="1"/>
        <s v="CARTCRD018935TRADICIONALNUTRESA" u="1"/>
        <s v="CARTCRD020909TRADICIONALNUTRESA" u="1"/>
        <s v="CARTCRD021014TRADICIONALNUTRESA" u="1"/>
        <s v="CARTCRD021015TRADICIONALNUTRESA" u="1"/>
        <s v="CARTCRD021040TRADICIONALNUTRESA" u="1"/>
        <s v="CARTCRD021041TRADICIONALNUTRESA" u="1"/>
        <s v="CARTCRD021042TRADICIONALNUTRESA" u="1"/>
        <s v="CARTCRD021724TRADICIONALNUTRESA" u="1"/>
        <s v="CARTCRD022088TRADICIONALNUTRESA" u="1"/>
        <s v="CARTCRD022533TRADICIONALNUTRESA" u="1"/>
        <s v="CARTCRD022574TRADICIONALNUTRESA" u="1"/>
        <s v="CARTCRD022862TRADICIONALNUTRESA" u="1"/>
        <s v="CARTCRD022864TRADICIONALNUTRESA" u="1"/>
        <s v="CARTCRD022866TRADICIONALNUTRESA" u="1"/>
        <s v="CARTCRD022868TRADICIONALNUTRESA" u="1"/>
        <s v="CARTCRD022869TRADICIONALNUTRESA" u="1"/>
        <s v="CARTCRD022870TRADICIONALNUTRESA" u="1"/>
        <s v="CARTCRD022874TRADICIONALNUTRESA" u="1"/>
        <s v="CARTCRD022876TRADICIONALNUTRESA" u="1"/>
        <s v="CARTCRD024439TRADICIONALNUTRESA" u="1"/>
        <s v="CARTCRD024642TRADICIONALNUTRESA" u="1"/>
        <s v="CARTCRD024643TRADICIONALNUTRESA" u="1"/>
        <s v="CARTCRD024644TRADICIONALNUTRESA" u="1"/>
        <s v="CARTCRD024645TRADICIONALNUTRESA" u="1"/>
        <s v="CARTCRD024646TRADICIONALNUTRESA" u="1"/>
        <s v="CARTCRD024647TRADICIONALNUTRESA" u="1"/>
        <s v="CARTCRD024648TRADICIONALNUTRESA" u="1"/>
        <s v="CARTCRD024649TRADICIONALNUTRESA" u="1"/>
        <s v="CARTCRD024650TRADICIONALNUTRESA" u="1"/>
        <s v="CARTCRD024651TRADICIONALNUTRESA" u="1"/>
        <s v="CARTCRD024652TRADICIONALNUTRESA" u="1"/>
        <s v="CARTCRD024653TRADICIONALNUTRESA" u="1"/>
        <s v="CARTCRD024654TRADICIONALNUTRESA" u="1"/>
        <s v="CARTCRD024655TRADICIONALNUTRESA" u="1"/>
        <s v="CARTCRD024656TRADICIONALNUTRESA" u="1"/>
        <s v="CARTCRD024657TRADICIONALNUTRESA" u="1"/>
        <s v="CARTCRD024658TRADICIONALNUTRESA" u="1"/>
        <s v="CARTCRD024659TRADICIONALNUTRESA" u="1"/>
        <s v="CARTCRD024795TRADICIONALNUTRESA" u="1"/>
        <s v="CARTCRD024971TRADICIONALNUTRESA" u="1"/>
        <s v="CARTCRD025004TRADICIONALNUTRESA" u="1"/>
        <s v="CARTCRD025006TRADICIONALNUTRESA" u="1"/>
        <s v="CARTCRD025008TRADICIONALNUTRESA" u="1"/>
        <s v="CARTCRD025009TRADICIONALNUTRESA" u="1"/>
        <s v="CARTCRD025010TRADICIONALNUTRESA" u="1"/>
        <s v="VILAACT000035TRADICIONALNUTRESA" u="1"/>
        <s v="VILAACT000225TRADICIONALNUTRESA" u="1"/>
        <s v="VILAACT000435TRADICIONALNUTRESA" u="1"/>
        <s v="VILAACT000442TRADICIONALNUTRESA" u="1"/>
        <s v="VILACRD016975TRADICIONALNUTRESA" u="1"/>
        <s v="VILACRD016978TRADICIONALNUTRESA" u="1"/>
        <s v="VILACRD016979TRADICIONALNUTRESA" u="1"/>
        <s v="VILACRD021014TRADICIONALNUTRESA" u="1"/>
        <s v="VILACRD021040TRADICIONALNUTRESA" u="1"/>
        <s v="VILACRD021041TRADICIONALNUTRESA" u="1"/>
        <s v="VILACRD021042TRADICIONALNUTRESA" u="1"/>
        <s v="VILACRD022322TRADICIONALNUTRESA" u="1"/>
        <s v="VILACRD024971TRADICIONALNUTRESA" u="1"/>
        <s v="VILACRD025008TRADICIONALNUTRESA" u="1"/>
        <s v="VILACRD025009TRADICIONALNUTRESA" u="1"/>
        <s v="VILACRD025010TRADICIONALNUTRESA" u="1"/>
        <s v="VILACRD025018TRADICIONALNUTRESA" u="1"/>
        <s v="BUCACRD000115CADENASBPO" u="1"/>
        <s v="BUCACRD001420CADENASBPO" u="1"/>
        <s v="BUCACRD005001CADENASBPO" u="1"/>
        <s v="BUCACRD006670CADENASBPO" u="1"/>
        <s v="BUCACRD006779CADENASBPO" u="1"/>
        <s v="BUCACRD007355CADENASBPO" u="1"/>
        <s v="BUCACRD008430CADENASBPO" u="1"/>
        <s v="BUCACRD008638CADENASBPO" u="1"/>
        <s v="BUCACRD010532CADENASBPO" u="1"/>
        <s v="BUCACRD012588CADENASBPO" u="1"/>
        <s v="BUCACRD013990CADENASBPO" u="1"/>
        <s v="BUCACRD014117CADENASBPO" u="1"/>
        <s v="BUCACRD014118CADENASBPO" u="1"/>
        <s v="BUCACRD014119CADENASBPO" u="1"/>
        <s v="BUCACRD014120CADENASBPO" u="1"/>
        <s v="BUCACRD016151CADENASBPO" u="1"/>
        <s v="BUCACRD017329CADENASBPO" u="1"/>
        <s v="BUCACRD019018CADENASBPO" u="1"/>
        <s v="BUCACRD019238CADENASBPO" u="1"/>
        <s v="BUCACRD019638CADENASBPO" u="1"/>
        <s v="BUCACRD019868CADENASBPO" u="1"/>
        <s v="BUCACRD020865CADENASBPO" u="1"/>
        <s v="BUCACRD021135CADENASBPO" u="1"/>
        <s v="BUCACRD021163CADENASBPO" u="1"/>
        <s v="BUCACRD021350CADENASBPO" u="1"/>
        <s v="BUCACRD021482CADENASBPO" u="1"/>
        <s v="BUCACRD021681CADENASBPO" u="1"/>
        <s v="BUCACRD021754CADENASBPO" u="1"/>
        <s v="BUCACRD021968CADENASBPO" u="1"/>
        <s v="BUCACRD021973CADENASBPO" u="1"/>
        <s v="BUCACRD022322CADENASBPO" u="1"/>
        <s v="BUCACRD022496CADENASBPO" u="1"/>
        <s v="BUCACRD022670CADENASBPO" u="1"/>
        <s v="BUCACRD023599CADENASBPO" u="1"/>
        <s v="BUCACRD023611CADENASBPO" u="1"/>
        <s v="BUCACRD023661CADENASBPO" u="1"/>
        <s v="BUCACRD023685CADENASBPO" u="1"/>
        <s v="BUCACRD024365CADENASBPO" u="1"/>
        <s v="BUCACRD024398CADENASBPO" u="1"/>
        <s v="BUCACRD024437CADENASBPO" u="1"/>
        <s v="BUCACRD024469CADENASBPO" u="1"/>
        <s v="BUCACRD024470CADENASBPO" u="1"/>
        <s v="BUCACRD024788CADENASBPO" u="1"/>
        <s v="BUCACRD024842CADENASBPO" u="1"/>
        <s v="BUCACRD024843CADENASBPO" u="1"/>
        <s v="BUCACRD024844CADENASBPO" u="1"/>
        <s v="BUCACRD024845CADENASBPO" u="1"/>
        <s v="BUCACRD024847CADENASBPO" u="1"/>
        <s v="BUCACRD024953CADENASBPO" u="1"/>
        <s v="BUCACRD025003CADENASBPO" u="1"/>
        <s v="BGTANUTDUR000003AUTOSERVICIONUTRESA" u="1"/>
        <s v="BGTANUTDUR000006AUTOSERVICIONUTRESA" u="1"/>
        <s v="CALICRD008623TRADICIONALBPO" u="1"/>
        <s v="CALICRD010532TRADICIONALBPO" u="1"/>
        <s v="CALICRD013990TRADICIONALBPO" u="1"/>
        <s v="CALICRD021482TRADICIONALBPO" u="1"/>
        <s v="CALICRD021681TRADICIONALBPO" u="1"/>
        <s v="CALICRD023597TRADICIONALBPO" u="1"/>
        <s v="CALICRD023598TRADICIONALBPO" u="1"/>
        <s v="CALICRD023685TRADICIONALBPO" u="1"/>
        <s v="CALICRD024788TRADICIONALBPO" u="1"/>
        <s v="MEDEACT000003AUTOSERVICIONUTRESA" u="1"/>
        <s v="MEDEACT000007AUTOSERVICIONUTRESA" u="1"/>
        <s v="MEDEACT000017AUTOSERVICIONUTRESA" u="1"/>
        <s v="MEDEACT000045AUTOSERVICIONUTRESA" u="1"/>
        <s v="MEDEACT000071AUTOSERVICIONUTRESA" u="1"/>
        <s v="MEDEACT000091AUTOSERVICIONUTRESA" u="1"/>
        <s v="MEDEACT000109AUTOSERVICIONUTRESA" u="1"/>
        <s v="MEDEACT000152AUTOSERVICIONUTRESA" u="1"/>
        <s v="MEDEACT000176AUTOSERVICIONUTRESA" u="1"/>
        <s v="MEDEACT000177AUTOSERVICIONUTRESA" u="1"/>
        <s v="MEDEACT000181AUTOSERVICIONUTRESA" u="1"/>
        <s v="MEDEACT000203AUTOSERVICIONUTRESA" u="1"/>
        <s v="MEDEACT000220AUTOSERVICIONUTRESA" u="1"/>
        <s v="MEDEACT000277AUTOSERVICIONUTRESA" u="1"/>
        <s v="MEDEACT000279AUTOSERVICIONUTRESA" u="1"/>
        <s v="MEDEACT000280AUTOSERVICIONUTRESA" u="1"/>
        <s v="MEDEACT000303AUTOSERVICIONUTRESA" u="1"/>
        <s v="MEDEACT000315AUTOSERVICIONUTRESA" u="1"/>
        <s v="MEDEACT000317AUTOSERVICIONUTRESA" u="1"/>
        <s v="MEDEACT000324AUTOSERVICIONUTRESA" u="1"/>
        <s v="MEDEACT000334AUTOSERVICIONUTRESA" u="1"/>
        <s v="MEDEACT000352AUTOSERVICIONUTRESA" u="1"/>
        <s v="MEDEACT000370AUTOSERVICIONUTRESA" u="1"/>
        <s v="MEDEACT000376AUTOSERVICIONUTRESA" u="1"/>
        <s v="MEDEACT000377AUTOSERVICIONUTRESA" u="1"/>
        <s v="MEDEACT000378AUTOSERVICIONUTRESA" u="1"/>
        <s v="MEDEACT000381AUTOSERVICIONUTRESA" u="1"/>
        <s v="MEDEACT000418AUTOSERVICIONUTRESA" u="1"/>
        <s v="MEDEACT000423AUTOSERVICIONUTRESA" u="1"/>
        <s v="MEDEACT000430AUTOSERVICIONUTRESA" u="1"/>
        <s v="MEDEACT000434AUTOSERVICIONUTRESA" u="1"/>
        <s v="MEDEACT000436AUTOSERVICIONUTRESA" u="1"/>
        <s v="MEDEACT000491AUTOSERVICIONUTRESA" u="1"/>
        <s v="MEDEACT000501AUTOSERVICIONUTRESA" u="1"/>
        <s v="MEDEACT000504AUTOSERVICIONUTRESA" u="1"/>
        <s v="MEDEACT000513AUTOSERVICIONUTRESA" u="1"/>
        <s v="MEDECRD005541AUTOSERVICIONUTRESA" u="1"/>
        <s v="MEDECRD014120AUTOSERVICIONUTRESA" u="1"/>
        <s v="MEDECRD014423AUTOSERVICIONUTRESA" u="1"/>
        <s v="MEDECRD016669AUTOSERVICIONUTRESA" u="1"/>
        <s v="MEDECRD016684AUTOSERVICIONUTRESA" u="1"/>
        <s v="MEDECRD016975AUTOSERVICIONUTRESA" u="1"/>
        <s v="MEDECRD017512AUTOSERVICIONUTRESA" u="1"/>
        <s v="MEDECRD017758AUTOSERVICIONUTRESA" u="1"/>
        <s v="MEDECRD017899AUTOSERVICIONUTRESA" u="1"/>
        <s v="MEDECRD018082AUTOSERVICIONUTRESA" u="1"/>
        <s v="MEDECRD018324AUTOSERVICIONUTRESA" u="1"/>
        <s v="MEDECRD018325AUTOSERVICIONUTRESA" u="1"/>
        <s v="MEDECRD018497AUTOSERVICIONUTRESA" u="1"/>
        <s v="MEDECRD018927AUTOSERVICIONUTRESA" u="1"/>
        <s v="MEDECRD018934AUTOSERVICIONUTRESA" u="1"/>
        <s v="MEDECRD018935AUTOSERVICIONUTRESA" u="1"/>
        <s v="MEDECRD019458AUTOSERVICIONUTRESA" u="1"/>
        <s v="MEDECRD020162AUTOSERVICIONUTRESA" u="1"/>
        <s v="MEDECRD020241AUTOSERVICIONUTRESA" u="1"/>
        <s v="MEDECRD020391AUTOSERVICIONUTRESA" u="1"/>
        <s v="MEDECRD020393AUTOSERVICIONUTRESA" u="1"/>
        <s v="MEDECRD020394AUTOSERVICIONUTRESA" u="1"/>
        <s v="MEDECRD020395AUTOSERVICIONUTRESA" u="1"/>
        <s v="MEDECRD020861AUTOSERVICIONUTRESA" u="1"/>
        <s v="MEDECRD021350AUTOSERVICIONUTRESA" u="1"/>
        <s v="MEDECRD021451AUTOSERVICIONUTRESA" u="1"/>
        <s v="MEDECRD021710AUTOSERVICIONUTRESA" u="1"/>
        <s v="MEDECRD022024AUTOSERVICIONUTRESA" u="1"/>
        <s v="MEDECRD022273AUTOSERVICIONUTRESA" u="1"/>
        <s v="MEDECRD022322AUTOSERVICIONUTRESA" u="1"/>
        <s v="MEDECRD022467AUTOSERVICIONUTRESA" u="1"/>
        <s v="MEDECRD022497AUTOSERVICIONUTRESA" u="1"/>
        <s v="MEDECRD022662AUTOSERVICIONUTRESA" u="1"/>
        <s v="MEDECRD022663AUTOSERVICIONUTRESA" u="1"/>
        <s v="MEDECRD022666AUTOSERVICIONUTRESA" u="1"/>
        <s v="MEDECRD022744AUTOSERVICIONUTRESA" u="1"/>
        <s v="MEDECRD022871AUTOSERVICIONUTRESA" u="1"/>
        <s v="MEDECRD022887AUTOSERVICIONUTRESA" u="1"/>
        <s v="MEDECRD022895AUTOSERVICIONUTRESA" u="1"/>
        <s v="MEDECRD022905AUTOSERVICIONUTRESA" u="1"/>
        <s v="MEDECRD022906AUTOSERVICIONUTRESA" u="1"/>
        <s v="MEDECRD022907AUTOSERVICIONUTRESA" u="1"/>
        <s v="MEDECRD022911AUTOSERVICIONUTRESA" u="1"/>
        <s v="MEDECRD022912AUTOSERVICIONUTRESA" u="1"/>
        <s v="MEDECRD022913AUTOSERVICIONUTRESA" u="1"/>
        <s v="MEDECRD022914AUTOSERVICIONUTRESA" u="1"/>
        <s v="MEDECRD022939AUTOSERVICIONUTRESA" u="1"/>
        <s v="MEDECRD022946AUTOSERVICIONUTRESA" u="1"/>
        <s v="MEDECRD023094AUTOSERVICIONUTRESA" u="1"/>
        <s v="MEDECRD023095AUTOSERVICIONUTRESA" u="1"/>
        <s v="MEDECRD023115AUTOSERVICIONUTRESA" u="1"/>
        <s v="MEDECRD023116AUTOSERVICIONUTRESA" u="1"/>
        <s v="MEDECRD023165AUTOSERVICIONUTRESA" u="1"/>
        <s v="MEDECRD023166AUTOSERVICIONUTRESA" u="1"/>
        <s v="MEDECRD023227AUTOSERVICIONUTRESA" u="1"/>
        <s v="MEDECRD023240AUTOSERVICIONUTRESA" u="1"/>
        <s v="MEDECRD023246AUTOSERVICIONUTRESA" u="1"/>
        <s v="MEDECRD023249AUTOSERVICIONUTRESA" u="1"/>
        <s v="MEDECRD023250AUTOSERVICIONUTRESA" u="1"/>
        <s v="MEDECRD023251AUTOSERVICIONUTRESA" u="1"/>
        <s v="MEDECRD023252AUTOSERVICIONUTRESA" u="1"/>
        <s v="MEDECRD023253AUTOSERVICIONUTRESA" u="1"/>
        <s v="MEDECRD023254AUTOSERVICIONUTRESA" u="1"/>
        <s v="MEDECRD023255AUTOSERVICIONUTRESA" u="1"/>
        <s v="MEDECRD023256AUTOSERVICIONUTRESA" u="1"/>
        <s v="MEDECRD023261AUTOSERVICIONUTRESA" u="1"/>
        <s v="MEDECRD023262AUTOSERVICIONUTRESA" u="1"/>
        <s v="MEDECRD023265AUTOSERVICIONUTRESA" u="1"/>
        <s v="MEDECRD023268AUTOSERVICIONUTRESA" u="1"/>
        <s v="MEDECRD023271AUTOSERVICIONUTRESA" u="1"/>
        <s v="MEDECRD023274AUTOSERVICIONUTRESA" u="1"/>
        <s v="MEDECRD023275AUTOSERVICIONUTRESA" u="1"/>
        <s v="MEDECRD023276AUTOSERVICIONUTRESA" u="1"/>
        <s v="MEDECRD023277AUTOSERVICIONUTRESA" u="1"/>
        <s v="MEDECRD023278AUTOSERVICIONUTRESA" u="1"/>
        <s v="MEDECRD023279AUTOSERVICIONUTRESA" u="1"/>
        <s v="MEDECRD023280AUTOSERVICIONUTRESA" u="1"/>
        <s v="MEDECRD023281AUTOSERVICIONUTRESA" u="1"/>
        <s v="MEDECRD023286AUTOSERVICIONUTRESA" u="1"/>
        <s v="MEDECRD023290AUTOSERVICIONUTRESA" u="1"/>
        <s v="MEDECRD023293AUTOSERVICIONUTRESA" u="1"/>
        <s v="MEDECRD023497AUTOSERVICIONUTRESA" u="1"/>
        <s v="MEDECRD023508AUTOSERVICIONUTRESA" u="1"/>
        <s v="MEDECRD023530AUTOSERVICIONUTRESA" u="1"/>
        <s v="MEDECRD023531AUTOSERVICIONUTRESA" u="1"/>
        <s v="MEDECRD023532AUTOSERVICIONUTRESA" u="1"/>
        <s v="MEDECRD023533AUTOSERVICIONUTRESA" u="1"/>
        <s v="MEDECRD023534AUTOSERVICIONUTRESA" u="1"/>
        <s v="MEDECRD023535AUTOSERVICIONUTRESA" u="1"/>
        <s v="MEDECRD023537AUTOSERVICIONUTRESA" u="1"/>
        <s v="MEDECRD023552AUTOSERVICIONUTRESA" u="1"/>
        <s v="MEDECRD023553AUTOSERVICIONUTRESA" u="1"/>
        <s v="MEDECRD023556AUTOSERVICIONUTRESA" u="1"/>
        <s v="MEDECRD023564AUTOSERVICIONUTRESA" u="1"/>
        <s v="MEDECRD023570AUTOSERVICIONUTRESA" u="1"/>
        <s v="MEDECRD023584AUTOSERVICIONUTRESA" u="1"/>
        <s v="MEDECRD023585AUTOSERVICIONUTRESA" u="1"/>
        <s v="MEDECRD023599AUTOSERVICIONUTRESA" u="1"/>
        <s v="MEDECRD023608AUTOSERVICIONUTRESA" u="1"/>
        <s v="MEDECRD023611AUTOSERVICIONUTRESA" u="1"/>
        <s v="MEDECRD023620AUTOSERVICIONUTRESA" u="1"/>
        <s v="MEDECRD023632AUTOSERVICIONUTRESA" u="1"/>
        <s v="MEDECRD023633AUTOSERVICIONUTRESA" u="1"/>
        <s v="MEDECRD023658AUTOSERVICIONUTRESA" u="1"/>
        <s v="MEDECRD023661AUTOSERVICIONUTRESA" u="1"/>
        <s v="MEDECRD023665AUTOSERVICIONUTRESA" u="1"/>
        <s v="MEDECRD023673AUTOSERVICIONUTRESA" u="1"/>
        <s v="MEDECRD023681AUTOSERVICIONUTRESA" u="1"/>
        <s v="MEDECRD023687AUTOSERVICIONUTRESA" u="1"/>
        <s v="MEDECRD023688AUTOSERVICIONUTRESA" u="1"/>
        <s v="MEDECRD023689AUTOSERVICIONUTRESA" u="1"/>
        <s v="MEDECRD023690AUTOSERVICIONUTRESA" u="1"/>
        <s v="MEDECRD023691AUTOSERVICIONUTRESA" u="1"/>
        <s v="MEDECRD023777AUTOSERVICIONUTRESA" u="1"/>
        <s v="MEDECRD023794AUTOSERVICIONUTRESA" u="1"/>
        <s v="MEDECRD023803AUTOSERVICIONUTRESA" u="1"/>
        <s v="MEDECRD023825AUTOSERVICIONUTRESA" u="1"/>
        <s v="MEDECRD023837AUTOSERVICIONUTRESA" u="1"/>
        <s v="MEDECRD023894AUTOSERVICIONUTRESA" u="1"/>
        <s v="MEDECRD023895AUTOSERVICIONUTRESA" u="1"/>
        <s v="MEDECRD023916AUTOSERVICIONUTRESA" u="1"/>
        <s v="MEDECRD023917AUTOSERVICIONUTRESA" u="1"/>
        <s v="MEDECRD023980AUTOSERVICIONUTRESA" u="1"/>
        <s v="MEDECRD023981AUTOSERVICIONUTRESA" u="1"/>
        <s v="MEDECRD024124AUTOSERVICIONUTRESA" u="1"/>
        <s v="MEDECRD024125AUTOSERVICIONUTRESA" u="1"/>
        <s v="MEDECRD024129AUTOSERVICIONUTRESA" u="1"/>
        <s v="MEDECRD024131AUTOSERVICIONUTRESA" u="1"/>
        <s v="MEDECRD024159AUTOSERVICIONUTRESA" u="1"/>
        <s v="MEDECRD024161AUTOSERVICIONUTRESA" u="1"/>
        <s v="MEDECRD024181AUTOSERVICIONUTRESA" u="1"/>
        <s v="MEDECRD024186AUTOSERVICIONUTRESA" u="1"/>
        <s v="MEDECRD024188AUTOSERVICIONUTRESA" u="1"/>
        <s v="MEDECRD024239AUTOSERVICIONUTRESA" u="1"/>
        <s v="MEDECRD024243AUTOSERVICIONUTRESA" u="1"/>
        <s v="MEDECRD024259AUTOSERVICIONUTRESA" u="1"/>
        <s v="MEDECRD024297AUTOSERVICIONUTRESA" u="1"/>
        <s v="MEDECRD024309AUTOSERVICIONUTRESA" u="1"/>
        <s v="MEDECRD024315AUTOSERVICIONUTRESA" u="1"/>
        <s v="MEDECRD024329AUTOSERVICIONUTRESA" u="1"/>
        <s v="MEDECRD024336AUTOSERVICIONUTRESA" u="1"/>
        <s v="MEDECRD024337AUTOSERVICIONUTRESA" u="1"/>
        <s v="MEDECRD024341AUTOSERVICIONUTRESA" u="1"/>
        <s v="MEDECRD024346AUTOSERVICIONUTRESA" u="1"/>
        <s v="MEDECRD024365AUTOSERVICIONUTRESA" u="1"/>
        <s v="MEDECRD024366AUTOSERVICIONUTRESA" u="1"/>
        <s v="MEDECRD024367AUTOSERVICIONUTRESA" u="1"/>
        <s v="MEDECRD024387AUTOSERVICIONUTRESA" u="1"/>
        <s v="MEDECRD024388AUTOSERVICIONUTRESA" u="1"/>
        <s v="MEDECRD024392AUTOSERVICIONUTRESA" u="1"/>
        <s v="MEDECRD024402AUTOSERVICIONUTRESA" u="1"/>
        <s v="MEDECRD024431AUTOSERVICIONUTRESA" u="1"/>
        <s v="MEDECRD024432AUTOSERVICIONUTRESA" u="1"/>
        <s v="MEDECRD024445AUTOSERVICIONUTRESA" u="1"/>
        <s v="MEDECRD024446AUTOSERVICIONUTRESA" u="1"/>
        <s v="MEDECRD024456AUTOSERVICIONUTRESA" u="1"/>
        <s v="MEDECRD024457AUTOSERVICIONUTRESA" u="1"/>
        <s v="MEDECRD024459AUTOSERVICIONUTRESA" u="1"/>
        <s v="MEDECRD024473AUTOSERVICIONUTRESA" u="1"/>
        <s v="MEDECRD024474AUTOSERVICIONUTRESA" u="1"/>
        <s v="MEDECRD024491AUTOSERVICIONUTRESA" u="1"/>
        <s v="MEDECRD024527AUTOSERVICIONUTRESA" u="1"/>
        <s v="MEDECRD024528AUTOSERVICIONUTRESA" u="1"/>
        <s v="MEDECRD024562AUTOSERVICIONUTRESA" u="1"/>
        <s v="MEDECRD024563AUTOSERVICIONUTRESA" u="1"/>
        <s v="MEDECRD024582AUTOSERVICIONUTRESA" u="1"/>
        <s v="MEDECRD024588AUTOSERVICIONUTRESA" u="1"/>
        <s v="MEDECRD024599AUTOSERVICIONUTRESA" u="1"/>
        <s v="MEDECRD024602AUTOSERVICIONUTRESA" u="1"/>
        <s v="MEDECRD024637AUTOSERVICIONUTRESA" u="1"/>
        <s v="MEDECRD024638AUTOSERVICIONUTRESA" u="1"/>
        <s v="MEDECRD024685AUTOSERVICIONUTRESA" u="1"/>
        <s v="MEDECRD024687AUTOSERVICIONUTRESA" u="1"/>
        <s v="MEDECRD024688AUTOSERVICIONUTRESA" u="1"/>
        <s v="MEDECRD024691AUTOSERVICIONUTRESA" u="1"/>
        <s v="MEDECRD024692AUTOSERVICIONUTRESA" u="1"/>
        <s v="MEDECRD024693AUTOSERVICIONUTRESA" u="1"/>
        <s v="MEDECRD024694AUTOSERVICIONUTRESA" u="1"/>
        <s v="MEDECRD024695AUTOSERVICIONUTRESA" u="1"/>
        <s v="MEDECRD024700AUTOSERVICIONUTRESA" u="1"/>
        <s v="MEDECRD024701AUTOSERVICIONUTRESA" u="1"/>
        <s v="MEDECRD024702AUTOSERVICIONUTRESA" u="1"/>
        <s v="MEDECRD024729AUTOSERVICIONUTRESA" u="1"/>
        <s v="MEDECRD024732AUTOSERVICIONUTRESA" u="1"/>
        <s v="MEDECRD024733AUTOSERVICIONUTRESA" u="1"/>
        <s v="MEDECRD024734AUTOSERVICIONUTRESA" u="1"/>
        <s v="MEDECRD024737AUTOSERVICIONUTRESA" u="1"/>
        <s v="MEDECRD024771AUTOSERVICIONUTRESA" u="1"/>
        <s v="MEDECRD024772AUTOSERVICIONUTRESA" u="1"/>
        <s v="MEDECRD024773AUTOSERVICIONUTRESA" u="1"/>
        <s v="MEDECRD024774AUTOSERVICIONUTRESA" u="1"/>
        <s v="MEDECRD024775AUTOSERVICIONUTRESA" u="1"/>
        <s v="MEDECRD024802AUTOSERVICIONUTRESA" u="1"/>
        <s v="MEDECRD024810AUTOSERVICIONUTRESA" u="1"/>
        <s v="MEDECRD024834AUTOSERVICIONUTRESA" u="1"/>
        <s v="MEDECRD024835AUTOSERVICIONUTRESA" u="1"/>
        <s v="MEDECRD024836AUTOSERVICIONUTRESA" u="1"/>
        <s v="MEDECRD024838AUTOSERVICIONUTRESA" u="1"/>
        <s v="MEDECRD024839AUTOSERVICIONUTRESA" u="1"/>
        <s v="MEDECRD024840AUTOSERVICIONUTRESA" u="1"/>
        <s v="MEDECRD024849AUTOSERVICIONUTRESA" u="1"/>
        <s v="MEDECRD024867AUTOSERVICIONUTRESA" u="1"/>
        <s v="MEDECRD024874AUTOSERVICIONUTRESA" u="1"/>
        <s v="MEDECRD024877AUTOSERVICIONUTRESA" u="1"/>
        <s v="MEDECRD024878AUTOSERVICIONUTRESA" u="1"/>
        <s v="MEDECRD024882AUTOSERVICIONUTRESA" u="1"/>
        <s v="MEDECRD024883AUTOSERVICIONUTRESA" u="1"/>
        <s v="MEDECRD024884AUTOSERVICIONUTRESA" u="1"/>
        <s v="MEDECRD024885AUTOSERVICIONUTRESA" u="1"/>
        <s v="MEDECRD024887AUTOSERVICIONUTRESA" u="1"/>
        <s v="MEDECRD024908AUTOSERVICIONUTRESA" u="1"/>
        <s v="MEDECRD024912AUTOSERVICIONUTRESA" u="1"/>
        <s v="MEDECRD024920AUTOSERVICIONUTRESA" u="1"/>
        <s v="MEDECRD024924AUTOSERVICIONUTRESA" u="1"/>
        <s v="MEDECRD024925AUTOSERVICIONUTRESA" u="1"/>
        <s v="MEDECRD024948AUTOSERVICIONUTRESA" u="1"/>
        <s v="MEDECRD024967AUTOSERVICIONUTRESA" u="1"/>
        <s v="MEDECRD024969AUTOSERVICIONUTRESA" u="1"/>
        <s v="MEDECRD024970AUTOSERVICIONUTRESA" u="1"/>
        <s v="MEDECRD024980AUTOSERVICIONUTRESA" u="1"/>
        <s v="MEDECRD024981AUTOSERVICIONUTRESA" u="1"/>
        <s v="MEDECRD025000AUTOSERVICIONUTRESA" u="1"/>
        <s v="MEDECRD025018AUTOSERVICIONUTRESA" u="1"/>
        <s v="MEDECRD018835CADENASNUTRESA" u="1"/>
        <s v="MEDECRD020854CADENASNUTRESA" u="1"/>
        <s v="MEDECRD021331CADENASNUTRESA" u="1"/>
        <s v="MEDECRD021334CADENASNUTRESA" u="1"/>
        <s v="MEDECRD022155CADENASNUTRESA" u="1"/>
        <s v="MEDECRD023165CADENASNUTRESA" u="1"/>
        <s v="MEDECRD023166CADENASNUTRESA" u="1"/>
        <s v="MEDECRD023167CADENASNUTRESA" u="1"/>
        <s v="MEDECRD023675CADENASNUTRESA" u="1"/>
        <s v="MEDECRD024162CADENASNUTRESA" u="1"/>
        <s v="MEDECRD024535CADENASNUTRESA" u="1"/>
        <s v="MEDECRD024560CADENASNUTRESA" u="1"/>
        <s v="MEDECRD024568CADENASNUTRESA" u="1"/>
        <s v="MEDECRD024952CADENASNUTRESA" u="1"/>
        <s v="MEDECRD024997CADENASNUTRESA" u="1"/>
        <s v="MEDEACT000436AUTOSERVICIOBPO" u="1"/>
        <s v="MEDECRD000103AUTOSERVICIOBPO" u="1"/>
        <s v="MEDECRD000115AUTOSERVICIOBPO" u="1"/>
        <s v="MEDECRD001420AUTOSERVICIOBPO" u="1"/>
        <s v="MEDECRD005001AUTOSERVICIOBPO" u="1"/>
        <s v="MEDECRD005030AUTOSERVICIOBPO" u="1"/>
        <s v="MEDECRD006670AUTOSERVICIOBPO" u="1"/>
        <s v="MEDECRD007004AUTOSERVICIOBPO" u="1"/>
        <s v="MEDECRD008428AUTOSERVICIOBPO" u="1"/>
        <s v="MEDECRD008430AUTOSERVICIOBPO" u="1"/>
        <s v="MEDECRD008431AUTOSERVICIOBPO" u="1"/>
        <s v="MEDECRD008623AUTOSERVICIOBPO" u="1"/>
        <s v="MEDECRD008638AUTOSERVICIOBPO" u="1"/>
        <s v="MEDECRD012588AUTOSERVICIOBPO" u="1"/>
        <s v="MEDECRD013163AUTOSERVICIOBPO" u="1"/>
        <s v="MEDECRD013990AUTOSERVICIOBPO" u="1"/>
        <s v="MEDECRD018963AUTOSERVICIOBPO" u="1"/>
        <s v="MEDECRD019238AUTOSERVICIOBPO" u="1"/>
        <s v="MEDECRD019555AUTOSERVICIOBPO" u="1"/>
        <s v="MEDECRD019638AUTOSERVICIOBPO" u="1"/>
        <s v="MEDECRD019998AUTOSERVICIOBPO" u="1"/>
        <s v="MEDECRD020361AUTOSERVICIOBPO" u="1"/>
        <s v="MEDECRD020501AUTOSERVICIOBPO" u="1"/>
        <s v="MEDECRD020847AUTOSERVICIOBPO" u="1"/>
        <s v="MEDECRD020854AUTOSERVICIOBPO" u="1"/>
        <s v="MEDECRD020865AUTOSERVICIOBPO" u="1"/>
        <s v="MEDECRD021126AUTOSERVICIOBPO" u="1"/>
        <s v="MEDECRD021163AUTOSERVICIOBPO" u="1"/>
        <s v="MEDECRD021482AUTOSERVICIOBPO" u="1"/>
        <s v="MEDECRD021681AUTOSERVICIOBPO" u="1"/>
        <s v="MEDECRD022584AUTOSERVICIOBPO" u="1"/>
        <s v="MEDECRD023317AUTOSERVICIOBPO" u="1"/>
        <s v="MEDECRD023345AUTOSERVICIOBPO" u="1"/>
        <s v="MEDECRD023815AUTOSERVICIOBPO" u="1"/>
        <s v="MEDECRD024443AUTOSERVICIOBPO" u="1"/>
        <s v="MEDECRD024556AUTOSERVICIOBPO" u="1"/>
        <s v="MEDECRD024624AUTOSERVICIOBPO" u="1"/>
        <s v="MEDECRD024788AUTOSERVICIOBPO" u="1"/>
        <s v="MEDECRD024796AUTOSERVICIOBPO" u="1"/>
        <s v="MEDECRD024842AUTOSERVICIOBPO" u="1"/>
        <s v="MEDECRD024843AUTOSERVICIOBPO" u="1"/>
        <s v="MEDECRD024844AUTOSERVICIOBPO" u="1"/>
        <s v="MEDECRD024845AUTOSERVICIOBPO" u="1"/>
        <s v="PERECRD000122TRADICIONALPROMOTORES" u="1"/>
        <s v="PERECRD001420TRADICIONALPROMOTORES" u="1"/>
        <s v="PERECRD010774TRADICIONALPROMOTORES" u="1"/>
        <s v="PERECRD011220TRADICIONALPROMOTORES" u="1"/>
        <s v="PERECRD013990TRADICIONALPROMOTORES" u="1"/>
        <s v="PERECRD015649TRADICIONALPROMOTORES" u="1"/>
        <s v="PERECRD016004TRADICIONALPROMOTORES" u="1"/>
        <s v="PERECRD020109TRADICIONALPROMOTORES" u="1"/>
        <s v="PERECRD022173TRADICIONALPROMOTORES" u="1"/>
        <s v="PERECRD022174TRADICIONALPROMOTORES" u="1"/>
        <s v="PERECRD022175TRADICIONALPROMOTORES" u="1"/>
        <s v="PERECRD022293TRADICIONALPROMOTORES" u="1"/>
        <s v="PEREACT000071TRADICIONALNUTRESA" u="1"/>
        <s v="PEREACT000300TRADICIONALNUTRESA" u="1"/>
        <s v="PERECRD000245TRADICIONALNUTRESA" u="1"/>
        <s v="PERECRD003574TRADICIONALNUTRESA" u="1"/>
        <s v="PERECRD003576TRADICIONALNUTRESA" u="1"/>
        <s v="PERECRD003605TRADICIONALNUTRESA" u="1"/>
        <s v="PERECRD003973TRADICIONALNUTRESA" u="1"/>
        <s v="PERECRD009805TRADICIONALNUTRESA" u="1"/>
        <s v="PERECRD010275TRADICIONALNUTRESA" u="1"/>
        <s v="PERECRD012718TRADICIONALNUTRESA" u="1"/>
        <s v="PERECRD013288TRADICIONALNUTRESA" u="1"/>
        <s v="PERECRD013796TRADICIONALNUTRESA" u="1"/>
        <s v="PERECRD015482TRADICIONALNUTRESA" u="1"/>
        <s v="PERECRD016977TRADICIONALNUTRESA" u="1"/>
        <s v="PERECRD017899TRADICIONALNUTRESA" u="1"/>
        <s v="PERECRD018933TRADICIONALNUTRESA" u="1"/>
        <s v="PERECRD021015TRADICIONALNUTRESA" u="1"/>
        <s v="PERECRD021041TRADICIONALNUTRESA" u="1"/>
        <s v="PERECRD021042TRADICIONALNUTRESA" u="1"/>
        <s v="PERECRD021724TRADICIONALNUTRESA" u="1"/>
        <s v="PERECRD021787TRADICIONALNUTRESA" u="1"/>
        <s v="PERECRD022517TRADICIONALNUTRESA" u="1"/>
        <s v="PERECRD022568TRADICIONALNUTRESA" u="1"/>
        <s v="PERECRD022574TRADICIONALNUTRESA" u="1"/>
        <s v="PERECRD022874TRADICIONALNUTRESA" u="1"/>
        <s v="PERECRD022876TRADICIONALNUTRESA" u="1"/>
        <s v="PERECRD022877TRADICIONALNUTRESA" u="1"/>
        <s v="PERECRD023441TRADICIONALNUTRESA" u="1"/>
        <s v="PERECRD024517TRADICIONALNUTRESA" u="1"/>
        <s v="PERECRD025006TRADICIONALNUTRESA" u="1"/>
        <s v="PERECRD025008TRADICIONALNUTRESA" u="1"/>
        <s v="PERECRD025009TRADICIONALNUTRESA" u="1"/>
        <s v="PERECRD025010TRADICIONALNUTRESA" u="1"/>
        <s v="MEDEACT000499AUTOSERVICIODESARROLLADORES" u="1"/>
        <s v="MEDEACT000514AUTOSERVICIODESARROLLADORES" u="1"/>
        <s v="MEDEACT000515AUTOSERVICIODESARROLLADORES" u="1"/>
        <s v="MEDEACT000516AUTOSERVICIODESARROLLADORES" u="1"/>
        <s v="MEDEACT000522AUTOSERVICIODESARROLLADORES" u="1"/>
        <s v="MEDECRD023557AUTOSERVICIODESARROLLADORES" u="1"/>
        <s v="CALIACT000303AUTOSERVICIONUTRESA" u="1"/>
        <s v="CALIACT000434AUTOSERVICIONUTRESA" u="1"/>
        <s v="CALIACT000502AUTOSERVICIONUTRESA" u="1"/>
        <s v="CALIACT000531AUTOSERVICIONUTRESA" u="1"/>
        <s v="CALIACT000551AUTOSERVICIONUTRESA" u="1"/>
        <s v="CALICRD013677AUTOSERVICIONUTRESA" u="1"/>
        <s v="CALICRD016684AUTOSERVICIONUTRESA" u="1"/>
        <s v="CALICRD017758AUTOSERVICIONUTRESA" u="1"/>
        <s v="CALICRD017899AUTOSERVICIONUTRESA" u="1"/>
        <s v="CALICRD018324AUTOSERVICIONUTRESA" u="1"/>
        <s v="CALICRD018325AUTOSERVICIONUTRESA" u="1"/>
        <s v="CALICRD020501AUTOSERVICIONUTRESA" u="1"/>
        <s v="CALICRD021092AUTOSERVICIONUTRESA" u="1"/>
        <s v="CALICRD022088AUTOSERVICIONUTRESA" u="1"/>
        <s v="CALICRD022765AUTOSERVICIONUTRESA" u="1"/>
        <s v="CALICRD023240AUTOSERVICIONUTRESA" u="1"/>
        <s v="CALICRD023535AUTOSERVICIONUTRESA" u="1"/>
        <s v="CALICRD023584AUTOSERVICIONUTRESA" u="1"/>
        <s v="CALICRD023585AUTOSERVICIONUTRESA" u="1"/>
        <s v="CALICRD023815AUTOSERVICIONUTRESA" u="1"/>
        <s v="CALICRD023912AUTOSERVICIONUTRESA" u="1"/>
        <s v="CALICRD024517AUTOSERVICIONUTRESA" u="1"/>
        <s v="CALICRD024527AUTOSERVICIONUTRESA" u="1"/>
        <s v="CALICRD024528AUTOSERVICIONUTRESA" u="1"/>
        <s v="CALICRD024692AUTOSERVICIONUTRESA" u="1"/>
        <s v="CALICRD024694AUTOSERVICIONUTRESA" u="1"/>
        <s v="CALICRD024695AUTOSERVICIONUTRESA" u="1"/>
        <s v="CALICRD024700AUTOSERVICIONUTRESA" u="1"/>
        <s v="CALICRD024731AUTOSERVICIONUTRESA" u="1"/>
        <s v="CALICRD024733AUTOSERVICIONUTRESA" u="1"/>
        <s v="CALICRD024734AUTOSERVICIONUTRESA" u="1"/>
        <s v="CALICRD024810AUTOSERVICIONUTRESA" u="1"/>
        <s v="CALICRD024835AUTOSERVICIONUTRESA" u="1"/>
        <s v="CALICRD024883AUTOSERVICIONUTRESA" u="1"/>
        <s v="CALICRD024884AUTOSERVICIONUTRESA" u="1"/>
        <s v="CALICRD024885AUTOSERVICIONUTRESA" u="1"/>
        <s v="CALICRD024908AUTOSERVICIONUTRESA" u="1"/>
        <s v="CALICRD024912AUTOSERVICIONUTRESA" u="1"/>
        <s v="CALICRD024920AUTOSERVICIONUTRESA" u="1"/>
        <s v="CALICRD024955AUTOSERVICIONUTRESA" u="1"/>
        <s v="CALICRD024956AUTOSERVICIONUTRESA" u="1"/>
        <s v="CALICRD024964AUTOSERVICIONUTRESA" u="1"/>
        <s v="CALICRD024965AUTOSERVICIONUTRESA" u="1"/>
        <s v="CALICRD024967AUTOSERVICIONUTRESA" u="1"/>
        <s v="CALICRD024968AUTOSERVICIONUTRESA" u="1"/>
        <s v="CALICRD024969AUTOSERVICIONUTRESA" u="1"/>
        <s v="CALICRD024970AUTOSERVICIONUTRESA" u="1"/>
        <s v="CALICRD024980AUTOSERVICIONUTRESA" u="1"/>
        <s v="CALICRD024981AUTOSERVICIONUTRESA" u="1"/>
        <s v="CALICRD025001AUTOSERVICIONUTRESA" u="1"/>
        <s v="CALICRD025002AUTOSERVICIONUTRESA" u="1"/>
        <s v="CALICRD025023AUTOSERVICIONUTRESA" u="1"/>
        <s v="IBA1CRD010773TRADICIONALPROMOTORES" u="1"/>
        <s v="IBA1CRD011220TRADICIONALPROMOTORES" u="1"/>
        <s v="IBA1CRD016004TRADICIONALPROMOTORES" u="1"/>
        <s v="IBA1CRD018793TRADICIONALPROMOTORES" u="1"/>
        <s v="IBA1CRD018796TRADICIONALPROMOTORES" u="1"/>
        <s v="IBA1CRD022173TRADICIONALPROMOTORES" u="1"/>
        <s v="IBA1CRD022174TRADICIONALPROMOTORES" u="1"/>
        <s v="IBA1CRD022175TRADICIONALPROMOTORES" u="1"/>
        <s v="IBA1CRD022293TRADICIONALPROMOTORES" u="1"/>
        <s v="IBA1ACT000035TRADICIONALNUTRESA" u="1"/>
        <s v="IBA1ACT000063TRADICIONALNUTRESA" u="1"/>
        <s v="IBA1ACT000225TRADICIONALNUTRESA" u="1"/>
        <s v="IBA1ACT000433TRADICIONALNUTRESA" u="1"/>
        <s v="IBA1CRD012607TRADICIONALNUTRESA" u="1"/>
        <s v="IBA1CRD015649TRADICIONALNUTRESA" u="1"/>
        <s v="IBA1CRD016566TRADICIONALNUTRESA" u="1"/>
        <s v="IBA1CRD016684TRADICIONALNUTRESA" u="1"/>
        <s v="IBA1CRD016974TRADICIONALNUTRESA" u="1"/>
        <s v="IBA1CRD016975TRADICIONALNUTRESA" u="1"/>
        <s v="IBA1CRD016978TRADICIONALNUTRESA" u="1"/>
        <s v="IBA1CRD016979TRADICIONALNUTRESA" u="1"/>
        <s v="IBA1CRD018193TRADICIONALNUTRESA" u="1"/>
        <s v="IBA1CRD018934TRADICIONALNUTRESA" u="1"/>
        <s v="IBA1CRD018935TRADICIONALNUTRESA" u="1"/>
        <s v="IBA1CRD020109TRADICIONALNUTRESA" u="1"/>
        <s v="IBA1CRD020579TRADICIONALNUTRESA" u="1"/>
        <s v="IBA1CRD020970TRADICIONALNUTRESA" u="1"/>
        <s v="IBA1CRD021014TRADICIONALNUTRESA" u="1"/>
        <s v="IBA1CRD021015TRADICIONALNUTRESA" u="1"/>
        <s v="IBA1CRD021040TRADICIONALNUTRESA" u="1"/>
        <s v="IBA1CRD021041TRADICIONALNUTRESA" u="1"/>
        <s v="IBA1CRD021042TRADICIONALNUTRESA" u="1"/>
        <s v="IBA1CRD021724TRADICIONALNUTRESA" u="1"/>
        <s v="IBA1CRD022517TRADICIONALNUTRESA" u="1"/>
        <s v="IBA1CRD023442TRADICIONALNUTRESA" u="1"/>
        <s v="IBA1CRD023482TRADICIONALNUTRESA" u="1"/>
        <s v="IBA1CRD023497TRADICIONALNUTRESA" u="1"/>
        <s v="IBA1CRD023571TRADICIONALNUTRESA" u="1"/>
        <s v="IBA1CRD023709TRADICIONALNUTRESA" u="1"/>
        <s v="IBA1CRD024159TRADICIONALNUTRESA" u="1"/>
        <s v="IBA1CRD024161TRADICIONALNUTRESA" u="1"/>
        <s v="IBA1CRD024260TRADICIONALNUTRESA" u="1"/>
        <s v="IBA1CRD025009TRADICIONALNUTRESA" u="1"/>
        <s v="CALIACT000055CADENASNUTRESA" u="1"/>
        <s v="CALICRD009112CADENASNUTRESA" u="1"/>
        <s v="CALICRD013564CADENASNUTRESA" u="1"/>
        <s v="CALICRD017925CADENASNUTRESA" u="1"/>
        <s v="CALICRD018076CADENASNUTRESA" u="1"/>
        <s v="CALICRD018614CADENASNUTRESA" u="1"/>
        <s v="CALICRD020715CADENASNUTRESA" u="1"/>
        <s v="CALICRD020854CADENASNUTRESA" u="1"/>
        <s v="CALICRD020861CADENASNUTRESA" u="1"/>
        <s v="CALICRD021284CADENASNUTRESA" u="1"/>
        <s v="CALICRD021296CADENASNUTRESA" u="1"/>
        <s v="CALICRD022430CADENASNUTRESA" u="1"/>
        <s v="CALICRD022807CADENASNUTRESA" u="1"/>
        <s v="CALICRD023141CADENASNUTRESA" u="1"/>
        <s v="CALICRD023165CADENASNUTRESA" u="1"/>
        <s v="CALICRD023166CADENASNUTRESA" u="1"/>
        <s v="CALICRD023227CADENASNUTRESA" u="1"/>
        <s v="CALICRD023690CADENASNUTRESA" u="1"/>
        <s v="CALICRD023691CADENASNUTRESA" u="1"/>
        <s v="CALICRD024125CADENASNUTRESA" u="1"/>
        <s v="CALICRD024162CADENASNUTRESA" u="1"/>
        <s v="CALICRD024537CADENASNUTRESA" u="1"/>
        <s v="CALICRD024566CADENASNUTRESA" u="1"/>
        <s v="CALICRD024568CADENASNUTRESA" u="1"/>
        <s v="CALICRD024630CADENASNUTRESA" u="1"/>
        <s v="CALICRD024631CADENASNUTRESA" u="1"/>
        <s v="CALICRD024953CADENASNUTRESA" u="1"/>
        <s v="CALICRD024997CADENASNUTRESA" u="1"/>
        <s v="CALIACT000436AUTOSERVICIOBPO" u="1"/>
        <s v="CALICRD000122AUTOSERVICIOBPO" u="1"/>
        <s v="CALICRD001420AUTOSERVICIOBPO" u="1"/>
        <s v="CALICRD002178AUTOSERVICIOBPO" u="1"/>
        <s v="CALICRD002204AUTOSERVICIOBPO" u="1"/>
        <s v="CALICRD005001AUTOSERVICIOBPO" u="1"/>
        <s v="CALICRD006670AUTOSERVICIOBPO" u="1"/>
        <s v="CALICRD007355AUTOSERVICIOBPO" u="1"/>
        <s v="CALICRD008428AUTOSERVICIOBPO" u="1"/>
        <s v="CALICRD008430AUTOSERVICIOBPO" u="1"/>
        <s v="CALICRD008623AUTOSERVICIOBPO" u="1"/>
        <s v="CALICRD008638AUTOSERVICIOBPO" u="1"/>
        <s v="CALICRD010532AUTOSERVICIOBPO" u="1"/>
        <s v="CALICRD011220AUTOSERVICIOBPO" u="1"/>
        <s v="CALICRD012588AUTOSERVICIOBPO" u="1"/>
        <s v="CALICRD013990AUTOSERVICIOBPO" u="1"/>
        <s v="CALICRD019238AUTOSERVICIOBPO" u="1"/>
        <s v="CALICRD019529AUTOSERVICIOBPO" u="1"/>
        <s v="CALICRD019555AUTOSERVICIOBPO" u="1"/>
        <s v="CALICRD019638AUTOSERVICIOBPO" u="1"/>
        <s v="CALICRD019915AUTOSERVICIOBPO" u="1"/>
        <s v="CALICRD020847AUTOSERVICIOBPO" u="1"/>
        <s v="CALICRD020865AUTOSERVICIOBPO" u="1"/>
        <s v="CALICRD020971AUTOSERVICIOBPO" u="1"/>
        <s v="CALICRD020973AUTOSERVICIOBPO" u="1"/>
        <s v="CALICRD020975AUTOSERVICIOBPO" u="1"/>
        <s v="CALICRD021130AUTOSERVICIOBPO" u="1"/>
        <s v="CALICRD021162AUTOSERVICIOBPO" u="1"/>
        <s v="CALICRD021163AUTOSERVICIOBPO" u="1"/>
        <s v="CALICRD021482AUTOSERVICIOBPO" u="1"/>
        <s v="CALICRD021681AUTOSERVICIOBPO" u="1"/>
        <s v="CALICRD022322AUTOSERVICIOBPO" u="1"/>
        <s v="CALICRD023138AUTOSERVICIOBPO" u="1"/>
        <s v="CALICRD023661AUTOSERVICIOBPO" u="1"/>
        <s v="CALICRD023809AUTOSERVICIOBPO" u="1"/>
        <s v="CALICRD024308AUTOSERVICIOBPO" u="1"/>
        <s v="CALICRD024365AUTOSERVICIOBPO" u="1"/>
        <s v="CALICRD024437AUTOSERVICIOBPO" u="1"/>
        <s v="CALICRD024443AUTOSERVICIOBPO" u="1"/>
        <s v="CALICRD024469AUTOSERVICIOBPO" u="1"/>
        <s v="CALICRD024470AUTOSERVICIOBPO" u="1"/>
        <s v="CALICRD024796AUTOSERVICIOBPO" u="1"/>
        <s v="CALICRD024804AUTOSERVICIOBPO" u="1"/>
        <s v="CALICRD024842AUTOSERVICIOBPO" u="1"/>
        <s v="CALICRD024843AUTOSERVICIOBPO" u="1"/>
        <s v="CALICRD024844AUTOSERVICIOBPO" u="1"/>
        <s v="CALICRD024845AUTOSERVICIOBPO" u="1"/>
        <s v="CALICRD024867AUTOSERVICIOBPO" u="1"/>
      </sharedItems>
    </cacheField>
    <cacheField name="punto" numFmtId="0">
      <sharedItems/>
    </cacheField>
    <cacheField name="nombre_punto" numFmtId="0">
      <sharedItems/>
    </cacheField>
    <cacheField name="bodega" numFmtId="0">
      <sharedItems/>
    </cacheField>
    <cacheField name="nombre_bodega" numFmtId="0">
      <sharedItems/>
    </cacheField>
    <cacheField name="tipo_producto" numFmtId="0">
      <sharedItems/>
    </cacheField>
    <cacheField name="equivalencia_uno" numFmtId="0">
      <sharedItems containsSemiMixedTypes="0" containsString="0" containsNumber="1" containsInteger="1" minValue="1" maxValue="1"/>
    </cacheField>
    <cacheField name="articulo" numFmtId="0">
      <sharedItems count="879">
        <s v="CRD011367"/>
        <s v="CRD020907" u="1"/>
        <s v="CRD023288" u="1"/>
        <s v="CRD024732" u="1"/>
        <s v="CRD024824" u="1"/>
        <s v="CRD022024" u="1"/>
        <s v="CRD024924" u="1"/>
        <s v="CRD023488" u="1"/>
        <s v="CRD024840" u="1"/>
        <s v="NUTDUR000004" u="1"/>
        <s v="CRD023688" u="1"/>
        <s v="CRD019998" u="1"/>
        <s v="CRD010532" u="1"/>
        <s v="CRD021096" u="1"/>
        <s v="CRD024125" u="1"/>
        <s v="CRD024309" u="1"/>
        <s v="CRD018934" u="1"/>
        <s v="CRD021296" u="1"/>
        <s v="CRD010924" u="1"/>
        <s v="CRD024517" u="1"/>
        <s v="CRD016342" u="1"/>
        <s v="CRD024341" u="1"/>
        <s v="CRD024809" u="1"/>
        <s v="CRD008551" u="1"/>
        <s v="CRD024541" u="1"/>
        <s v="CRD024817" u="1"/>
        <s v="CRD016642" u="1"/>
        <s v="CRD014118" u="1"/>
        <s v="CRD024641" u="1"/>
        <s v="CRD024733" u="1"/>
        <s v="CRD011197" u="1"/>
        <s v="CRD024925" u="1"/>
        <s v="CRD024841" u="1"/>
        <s v="CRD023497" u="1"/>
        <s v="CRD022325" u="1"/>
        <s v="CRD023597" u="1"/>
        <s v="CRD023689" u="1"/>
        <s v="CRD022517" u="1"/>
        <s v="CRD010609" u="1"/>
        <s v="CRD022533" u="1"/>
        <s v="CRD022717" u="1"/>
        <s v="CRD021097" u="1"/>
        <s v="CRD020109" u="1"/>
        <s v="CRD018835" u="1"/>
        <s v="CRD018927" u="1"/>
        <s v="CRD024126" u="1"/>
        <s v="CRD018935" u="1"/>
        <s v="CRD008428" u="1"/>
        <s v="CRD020317" u="1"/>
        <s v="CRD018951" u="1"/>
        <s v="CRD016151" u="1"/>
        <s v="ACT000300" u="1"/>
        <s v="CRD020241" u="1"/>
        <s v="CRD024618" u="1"/>
        <s v="ACT000400" u="1"/>
        <s v="ACT000500" u="1"/>
        <s v="CRD017899" u="1"/>
        <s v="CRD012718" u="1"/>
        <s v="CRD024542" u="1"/>
        <s v="CRD024726" u="1"/>
        <s v="CRD024818" u="1"/>
        <s v="CRD014119" u="1"/>
        <s v="CRD020909" u="1"/>
        <s v="CRD024550" u="1"/>
        <s v="CRD024642" u="1"/>
        <s v="CRD024734" u="1"/>
        <s v="CRD024650" u="1"/>
        <s v="CRD024834" u="1"/>
        <s v="CRD024842" u="1"/>
        <s v="CRD024850" u="1"/>
        <s v="CRD023598" u="1"/>
        <s v="CRD022242" u="1"/>
        <s v="CRD022718" u="1"/>
        <s v="CRD024119" u="1"/>
        <s v="CRD000119" u="1"/>
        <s v="CRD000043" u="1"/>
        <s v="CRD024327" u="1"/>
        <s v="CRD024243" u="1"/>
        <s v="CRD020426" u="1"/>
        <s v="CRD024527" u="1"/>
        <s v="CRD024443" u="1"/>
        <s v="CRD024535" u="1"/>
        <s v="ACT000501" u="1"/>
        <s v="CRD024819" u="1"/>
        <s v="CRD024643" u="1"/>
        <s v="CRD024651" u="1"/>
        <s v="CRD024835" u="1"/>
        <s v="CRD002036" u="1"/>
        <s v="CRD024843" u="1"/>
        <s v="CRD024851" u="1"/>
        <s v="CRD023599" u="1"/>
        <s v="CRD014536" u="1"/>
        <s v="CRD022443" u="1"/>
        <s v="CRD024128" u="1"/>
        <s v="CRD014744" u="1"/>
        <s v="CRD021299" u="1"/>
        <s v="CRD024244" u="1"/>
        <s v="CRD024336" u="1"/>
        <s v="CRD024428" u="1"/>
        <s v="CRD024528" u="1"/>
        <s v="ACT000310" u="1"/>
        <s v="CRD008638" u="1"/>
        <s v="CRD024260" u="1"/>
        <s v="ACT000502" u="1"/>
        <s v="CRD024644" u="1"/>
        <s v="CRD024560" u="1"/>
        <s v="CRD024652" u="1"/>
        <s v="CRD024836" u="1"/>
        <s v="CRD024844" u="1"/>
        <s v="CRD024860" u="1"/>
        <s v="CRD024952" u="1"/>
        <s v="CRD022244" u="1"/>
        <s v="NUTDUR000005" u="1"/>
        <s v="CRD024129" u="1"/>
        <s v="ACT000003" u="1"/>
        <s v="CRD022744" u="1"/>
        <s v="CRD006670" u="1"/>
        <s v="CRD020044" u="1"/>
        <s v="CRD024329" u="1"/>
        <s v="ACT000203" u="1"/>
        <s v="CRD024061" u="1"/>
        <s v="CRD024337" u="1"/>
        <s v="CRD024429" u="1"/>
        <s v="ACT000303" u="1"/>
        <s v="CRD018870" u="1"/>
        <s v="CRD022860" u="1"/>
        <s v="CRD000245" u="1"/>
        <s v="CRD024161" u="1"/>
        <s v="CRD024345" u="1"/>
        <s v="CRD024437" u="1"/>
        <s v="CRD024261" u="1"/>
        <s v="CRD024353" u="1"/>
        <s v="CRD024445" u="1"/>
        <s v="CRD024537" u="1"/>
        <s v="ACT000503" u="1"/>
        <s v="CRD024637" u="1"/>
        <s v="CRD024729" u="1"/>
        <s v="CRD024645" u="1"/>
        <s v="CRD024737" u="1"/>
        <s v="CRD024653" u="1"/>
        <s v="CRD024929" u="1"/>
        <s v="CRD024845" u="1"/>
        <s v="CRD024861" u="1"/>
        <s v="CRD024953" u="1"/>
        <s v="CRD024062" u="1"/>
        <s v="ACT000120" u="1"/>
        <s v="CRD018963" u="1"/>
        <s v="CRD022861" u="1"/>
        <s v="CRD020061" u="1"/>
        <s v="CRD024162" u="1"/>
        <s v="CRD024346" u="1"/>
        <s v="ACT000220" u="1"/>
        <s v="CRD024262" u="1"/>
        <s v="CRD024446" u="1"/>
        <s v="ACT000504" u="1"/>
        <s v="CRD024546" u="1"/>
        <s v="CRD024638" u="1"/>
        <s v="ACT000420" u="1"/>
        <s v="CRD020361" u="1"/>
        <s v="CRD024646" u="1"/>
        <s v="CRD024470" u="1"/>
        <s v="CRD024562" u="1"/>
        <s v="CRD024654" u="1"/>
        <s v="CRD024838" u="1"/>
        <s v="CRD014047" u="1"/>
        <s v="CRD024846" u="1"/>
        <s v="CRD024670" u="1"/>
        <s v="CRD024946" u="1"/>
        <s v="CRD012670" u="1"/>
        <s v="CRD024954" u="1"/>
        <s v="CRD020861" u="1"/>
        <s v="CRD024870" u="1"/>
        <s v="CRD024962" u="1"/>
        <s v="CRD024970" u="1"/>
        <s v="CRD022662" u="1"/>
        <s v="CRD024239" u="1"/>
        <s v="CRD022670" u="1"/>
        <s v="CRD022946" u="1"/>
        <s v="CRD022862" u="1"/>
        <s v="CRD020062" u="1"/>
        <s v="CRD024439" u="1"/>
        <s v="CRD022870" u="1"/>
        <s v="CRD020162" u="1"/>
        <s v="ACT000505" u="1"/>
        <s v="CRD024639" u="1"/>
        <s v="ACT000421" u="1"/>
        <s v="ACT000513" u="1"/>
        <s v="CRD024647" u="1"/>
        <s v="CRD024563" u="1"/>
        <s v="CRD024655" u="1"/>
        <s v="CRD024839" u="1"/>
        <s v="CRD024847" u="1"/>
        <s v="CRD024671" u="1"/>
        <s v="CRD020854" u="1"/>
        <s v="CRD024771" u="1"/>
        <s v="CRD024955" u="1"/>
        <s v="CRD022155" u="1"/>
        <s v="CRD020862" u="1"/>
        <s v="CRD024963" u="1"/>
        <s v="CRD005001" u="1"/>
        <s v="CRD025000" u="1"/>
        <s v="CRD024971" u="1"/>
        <s v="CRD020970" u="1"/>
        <s v="CRD022663" u="1"/>
        <s v="CRD022847" u="1"/>
        <s v="CRD022939" u="1"/>
        <s v="ACT000122" u="1"/>
        <s v="CRD020063" u="1"/>
        <s v="CRD022871" u="1"/>
        <s v="CRD024080" u="1"/>
        <s v="CRD024456" u="1"/>
        <s v="ACT000514" u="1"/>
        <s v="CRD024556" u="1"/>
        <s v="CRD024648" u="1"/>
        <s v="ACT000430" u="1"/>
        <s v="ACT000522" u="1"/>
        <s v="CRD012464" u="1"/>
        <s v="CRD024380" u="1"/>
        <s v="CRD024656" u="1"/>
        <s v="CRD023300" u="1"/>
        <s v="CRD020847" u="1"/>
        <s v="CRD024580" u="1"/>
        <s v="CRD024672" u="1"/>
        <s v="CRD024948" u="1"/>
        <s v="CRD024772" u="1"/>
        <s v="CRD024956" u="1"/>
        <s v="CRD018082" u="1"/>
        <s v="CRD024964" u="1"/>
        <s v="CRD025001" u="1"/>
        <s v="CRD020971" u="1"/>
        <s v="CRD024980" u="1"/>
        <s v="NUTDUR000006" u="1"/>
        <s v="ACT000007" u="1"/>
        <s v="CRD014657" u="1"/>
        <s v="CRD024057" u="1"/>
        <s v="CRD022864" u="1"/>
        <s v="CRD024073" u="1"/>
        <s v="ACT000315" u="1"/>
        <s v="CRD024081" u="1"/>
        <s v="CRD024173" u="1"/>
        <s v="CRD020172" u="1"/>
        <s v="CRD024181" u="1"/>
        <s v="CRD024365" u="1"/>
        <s v="CRD024457" u="1"/>
        <s v="ACT000423" u="1"/>
        <s v="ACT000515" u="1"/>
        <s v="CRD024649" u="1"/>
        <s v="CRD016566" u="1"/>
        <s v="CRD024473" u="1"/>
        <s v="CRD024657" u="1"/>
        <s v="ACT000531" u="1"/>
        <s v="CRD024849" u="1"/>
        <s v="CRD024581" u="1"/>
        <s v="CRD024673" u="1"/>
        <s v="CRD024949" u="1"/>
        <s v="CRD024773" u="1"/>
        <s v="CRD012773" u="1"/>
        <s v="CRD024965" u="1"/>
        <s v="CRD016974" u="1"/>
        <s v="CRD025002" u="1"/>
        <s v="CRD020872" u="1"/>
        <s v="CRD022173" u="1"/>
        <s v="CRD009112" u="1"/>
        <s v="CRD025010" u="1"/>
        <s v="CRD020972" u="1"/>
        <s v="CRD024981" u="1"/>
        <s v="CRD022273" u="1"/>
        <s v="CRD020980" u="1"/>
        <s v="CRD010373" u="1"/>
        <s v="CRD024058" u="1"/>
        <s v="CRD022765" u="1"/>
        <s v="CRD024066" u="1"/>
        <s v="CRD024074" u="1"/>
        <s v="CRD007004" u="1"/>
        <s v="CRD010773" u="1"/>
        <s v="CRD024174" u="1"/>
        <s v="ACT000324" u="1"/>
        <s v="CRD022881" u="1"/>
        <s v="CRD024366" u="1"/>
        <s v="CRD024458" u="1"/>
        <s v="ACT000516" u="1"/>
        <s v="CRD020181" u="1"/>
        <s v="ACT000432" u="1"/>
        <s v="ACT000524" u="1"/>
        <s v="CRD024474" u="1"/>
        <s v="CRD024566" u="1"/>
        <s v="CRD024658" u="1"/>
        <s v="ACT000440" u="1"/>
        <s v="ACT000540" u="1"/>
        <s v="CRD024582" u="1"/>
        <s v="CRD024674" u="1"/>
        <s v="CRD018076" u="1"/>
        <s v="CRD024682" u="1"/>
        <s v="CRD024774" u="1"/>
        <s v="CRD020865" u="1"/>
        <s v="CRD024874" u="1"/>
        <s v="CRD016975" u="1"/>
        <s v="CRD025003" u="1"/>
        <s v="CRD020873" u="1"/>
        <s v="CRD024882" u="1"/>
        <s v="CRD022174" u="1"/>
        <s v="CRD990305" u="1"/>
        <s v="CRD020973" u="1"/>
        <s v="CRD002091" u="1"/>
        <s v="CRD019920" u="1"/>
        <s v="CRD020981" u="1"/>
        <s v="CRD017312" u="1"/>
        <s v="ACT000017" u="1"/>
        <s v="ACT000109" u="1"/>
        <s v="CRD022574" u="1"/>
        <s v="CRD022666" u="1"/>
        <s v="CRD017512" u="1"/>
        <s v="CRD022858" u="1"/>
        <s v="CRD024159" u="1"/>
        <s v="CRD022866" u="1"/>
        <s v="CRD009805" u="1"/>
        <s v="CRD024075" u="1"/>
        <s v="CRD024259" u="1"/>
        <s v="ACT000225" u="1"/>
        <s v="ACT000317" u="1"/>
        <s v="CRD010774" u="1"/>
        <s v="CRD006884" u="1"/>
        <s v="CRD022782" u="1"/>
        <s v="CRD022874" u="1"/>
        <s v="CRD008369" u="1"/>
        <s v="ACT000417" u="1"/>
        <s v="CRD016184" u="1"/>
        <s v="CRD021710" u="1"/>
        <s v="CRD024183" u="1"/>
        <s v="CRD024275" u="1"/>
        <s v="CRD024367" u="1"/>
        <s v="CRD024459" u="1"/>
        <s v="CRD024467" u="1"/>
        <s v="ACT000433" u="1"/>
        <s v="ACT000525" u="1"/>
        <s v="CRD020190" u="1"/>
        <s v="CRD024567" u="1"/>
        <s v="CRD024659" u="1"/>
        <s v="ACT000441" u="1"/>
        <s v="CRD019413" u="1"/>
        <s v="CRD024391" u="1"/>
        <s v="CRD024491" u="1"/>
        <s v="CRD024583" u="1"/>
        <s v="CRD024859" u="1"/>
        <s v="CRD023503" u="1"/>
        <s v="CRD016684" u="1"/>
        <s v="CRD024775" u="1"/>
        <s v="CRD024867" u="1"/>
        <s v="CRD024691" u="1"/>
        <s v="CRD024967" u="1"/>
        <s v="CRD023611" u="1"/>
        <s v="CRD025004" u="1"/>
        <s v="CRD024883" u="1"/>
        <s v="CRD022175" u="1"/>
        <s v="CRD022267" u="1"/>
        <s v="CRD023803" u="1"/>
        <s v="CRD018193" u="1"/>
        <s v="CRD018285" u="1"/>
        <s v="CRD020974" u="1"/>
        <s v="CRD025020" u="1"/>
        <s v="CRD010275" u="1"/>
        <s v="CRD020890" u="1"/>
        <s v="CRD020982" u="1"/>
        <s v="CRD022467" u="1"/>
        <s v="CRD024068" u="1"/>
        <s v="CRD018785" u="1"/>
        <s v="CRD001420" u="1"/>
        <s v="CRD024076" u="1"/>
        <s v="CRD018793" u="1"/>
        <s v="CRD024084" u="1"/>
        <s v="CRD024268" u="1"/>
        <s v="ACT000418" u="1"/>
        <s v="ACT000242" u="1"/>
        <s v="ACT000334" u="1"/>
        <s v="CRD020183" u="1"/>
        <s v="ACT000434" u="1"/>
        <s v="CRD020191" u="1"/>
        <s v="CRD024568" u="1"/>
        <s v="ACT000350" u="1"/>
        <s v="ACT000442" u="1"/>
        <s v="CRD016669" u="1"/>
        <s v="CRD024392" u="1"/>
        <s v="CRD023312" u="1"/>
        <s v="CRD023404" u="1"/>
        <s v="CRD011220" u="1"/>
        <s v="CRD020391" u="1"/>
        <s v="CRD024584" u="1"/>
        <s v="CRD003605" u="1"/>
        <s v="CRD024692" u="1"/>
        <s v="CRD024968" u="1"/>
        <s v="CRD023520" u="1"/>
        <s v="CRD016977" u="1"/>
        <s v="CRD025005" u="1"/>
        <s v="CRD024884" u="1"/>
        <s v="CRD023620" u="1"/>
        <s v="CRD020975" u="1"/>
        <s v="CRD025021" u="1"/>
        <s v="CRD020891" u="1"/>
        <s v="CRD020983" u="1"/>
        <s v="CRD023912" u="1"/>
        <s v="CRD005030" u="1"/>
        <s v="NUTDUR000007" u="1"/>
        <s v="CRD022568" u="1"/>
        <s v="ACT000027" u="1"/>
        <s v="CRD014493" u="1"/>
        <s v="CRD017330" u="1"/>
        <s v="CRD006778" u="1"/>
        <s v="CRD022584" u="1"/>
        <s v="ACT000035" u="1"/>
        <s v="CRD006786" u="1"/>
        <s v="CRD022868" u="1"/>
        <s v="ACT000227" u="1"/>
        <s v="CRD022876" u="1"/>
        <s v="CRD024177" u="1"/>
        <s v="CRD024277" u="1"/>
        <s v="CRD019031" u="1"/>
        <s v="CRD024469" u="1"/>
        <s v="ACT000435" u="1"/>
        <s v="CRD024569" u="1"/>
        <s v="ACT000443" u="1"/>
        <s v="CRD024393" u="1"/>
        <s v="CRD024577" u="1"/>
        <s v="CRD023405" u="1"/>
        <s v="CRD019331" u="1"/>
        <s v="CRD024585" u="1"/>
        <s v="ACT000551" u="1"/>
        <s v="CRD024685" u="1"/>
        <s v="CRD024693" u="1"/>
        <s v="CRD024785" u="1"/>
        <s v="CRD024877" u="1"/>
        <s v="CRD024969" u="1"/>
        <s v="CRD016978" u="1"/>
        <s v="CRD025006" u="1"/>
        <s v="CRD017015" u="1"/>
        <s v="CRD017107" u="1"/>
        <s v="CRD024885" u="1"/>
        <s v="CRD002178" u="1"/>
        <s v="CRD019915" u="1"/>
        <s v="CRD020976" u="1"/>
        <s v="CRD025022" u="1"/>
        <s v="CRD020984" u="1"/>
        <s v="CRD023821" u="1"/>
        <s v="CRD022293" u="1"/>
        <s v="CRD006779" u="1"/>
        <s v="CRD022585" u="1"/>
        <s v="CRD022869" u="1"/>
        <s v="CRD022877" u="1"/>
        <s v="CRD021613" u="1"/>
        <s v="CRD024186" u="1"/>
        <s v="CRD024278" u="1"/>
        <s v="ACT000152" u="1"/>
        <s v="ACT000244" u="1"/>
        <s v="CRD019032" u="1"/>
        <s v="CRD024194" u="1"/>
        <s v="CRD024378" u="1"/>
        <s v="ACT000436" u="1"/>
        <s v="ACT000528" u="1"/>
        <s v="CRD024478" u="1"/>
        <s v="ACT000352" u="1"/>
        <s v="ACT000444" u="1"/>
        <s v="CRD020393" u="1"/>
        <s v="CRD024694" u="1"/>
        <s v="CRD024878" u="1"/>
        <s v="CRD016979" u="1"/>
        <s v="CRD023530" u="1"/>
        <s v="CRD015723" u="1"/>
        <s v="CRD019916" u="1"/>
        <s v="CRD020977" u="1"/>
        <s v="CRD022278" u="1"/>
        <s v="CRD021014" u="1"/>
        <s v="CRD025023" u="1"/>
        <s v="CRD020985" u="1"/>
        <s v="CRD023822" u="1"/>
        <s v="CRD021130" u="1"/>
        <s v="CRD021322" u="1"/>
        <s v="ACT000045" u="1"/>
        <s v="CRD018796" u="1"/>
        <s v="ACT000429" u="1"/>
        <s v="ACT000437" u="1"/>
        <s v="ACT000529" u="1"/>
        <s v="CRD023115" u="1"/>
        <s v="CRD021822" u="1"/>
        <s v="CRD024387" u="1"/>
        <s v="ACT000445" u="1"/>
        <s v="CRD024395" u="1"/>
        <s v="CRD020394" u="1"/>
        <s v="CRD021930" u="1"/>
        <s v="CRD024495" u="1"/>
        <s v="ACT000461" u="1"/>
        <s v="CRD024687" u="1"/>
        <s v="CRD024695" u="1"/>
        <s v="CRD025008" u="1"/>
        <s v="CRD024795" u="1"/>
        <s v="CRD024887" u="1"/>
        <s v="CRD023531" u="1"/>
        <s v="CRD020978" u="1"/>
        <s v="CRD023815" u="1"/>
        <s v="CRD021015" u="1"/>
        <s v="CRD020986" u="1"/>
        <s v="CRD023823" u="1"/>
        <s v="CRD022295" u="1"/>
        <s v="CRD018497" u="1"/>
        <s v="CRD001316" u="1"/>
        <s v="CRD021331" u="1"/>
        <s v="CRD019018" u="1"/>
        <s v="CRD024088" u="1"/>
        <s v="CRD022887" u="1"/>
        <s v="CRD005541" u="1"/>
        <s v="CRD024188" u="1"/>
        <s v="CRD011016" u="1"/>
        <s v="CRD022895" u="1"/>
        <s v="CRD023116" u="1"/>
        <s v="CRD017925" u="1"/>
        <s v="CRD024388" u="1"/>
        <s v="CRD023308" u="1"/>
        <s v="CRD019326" u="1"/>
        <s v="CRD024396" u="1"/>
        <s v="ACT000454" u="1"/>
        <s v="CRD020395" u="1"/>
        <s v="CRD020579" u="1"/>
        <s v="CRD024588" u="1"/>
        <s v="ACT000370" u="1"/>
        <s v="ACT000462" u="1"/>
        <s v="CRD023140" u="1"/>
        <s v="CRD023508" u="1"/>
        <s v="CRD012588" u="1"/>
        <s v="CRD024688" u="1"/>
        <s v="ACT000470" u="1"/>
        <s v="CRD023240" u="1"/>
        <s v="CRD023608" u="1"/>
        <s v="CRD019718" u="1"/>
        <s v="CRD024788" u="1"/>
        <s v="CRD025009" u="1"/>
        <s v="CRD024796" u="1"/>
        <s v="CRD022088" u="1"/>
        <s v="CRD023532" u="1"/>
        <s v="CRD023808" u="1"/>
        <s v="CRD025017" u="1"/>
        <s v="CRD020979" u="1"/>
        <s v="CRD023632" u="1"/>
        <s v="CRD023816" u="1"/>
        <s v="CRD023824" u="1"/>
        <s v="CRD023916" u="1"/>
        <s v="CRD009243" u="1"/>
        <s v="CRD021040" u="1"/>
        <s v="CRD017334" u="1"/>
        <s v="CRD022496" u="1"/>
        <s v="ACT000139" u="1"/>
        <s v="ACT000055" u="1"/>
        <s v="ACT000063" u="1"/>
        <s v="CRD023109" u="1"/>
        <s v="CRD021724" u="1"/>
        <s v="ACT000071" u="1"/>
        <s v="ACT000439" u="1"/>
        <s v="CRD024297" u="1"/>
        <s v="CRD024397" u="1"/>
        <s v="CRD023317" u="1"/>
        <s v="CRD019427" u="1"/>
        <s v="CRD023141" u="1"/>
        <s v="CRD023509" u="1"/>
        <s v="CRD023241" u="1"/>
        <s v="CRD023525" u="1"/>
        <s v="CRD023709" u="1"/>
        <s v="CRD024889" u="1"/>
        <s v="CRD023441" u="1"/>
        <s v="CRD023533" u="1"/>
        <s v="CRD023809" u="1"/>
        <s v="CRD025018" u="1"/>
        <s v="CRD023633" u="1"/>
        <s v="CRD024997" u="1"/>
        <s v="CRD023825" u="1"/>
        <s v="CRD023917" u="1"/>
        <s v="CRD021125" u="1"/>
        <s v="CRD021041" u="1"/>
        <s v="CRD022497" u="1"/>
        <s v="CRD022897" u="1"/>
        <s v="CRD005735" u="1"/>
        <s v="CRD021725" u="1"/>
        <s v="CRD005935" u="1"/>
        <s v="CRD024398" u="1"/>
        <s v="ACT000280" u="1"/>
        <s v="ACT000472" u="1"/>
        <s v="CRD023518" u="1"/>
        <s v="CRD023250" u="1"/>
        <s v="CRD023342" u="1"/>
        <s v="CRD023618" u="1"/>
        <s v="CRD019360" u="1"/>
        <s v="CRD000698" u="1"/>
        <s v="CRD023442" u="1"/>
        <s v="CRD023534" u="1"/>
        <s v="CRD021126" u="1"/>
        <s v="CRD021042" u="1"/>
        <s v="CRD021334" u="1"/>
        <s v="CRD021350" u="1"/>
        <s v="CRD021534" u="1"/>
        <s v="ACT000181" u="1"/>
        <s v="ACT000457" u="1"/>
        <s v="CRD023227" u="1"/>
        <s v="CRD023327" u="1"/>
        <s v="CRD019529" u="1"/>
        <s v="CRD024599" u="1"/>
        <s v="ACT000381" u="1"/>
        <s v="CRD023251" u="1"/>
        <s v="CRD023351" u="1"/>
        <s v="CRD023535" u="1"/>
        <s v="CRD022299" u="1"/>
        <s v="CRD005045" u="1"/>
        <s v="CRD017329" u="1"/>
        <s v="CRD021135" u="1"/>
        <s v="CRD021235" u="1"/>
        <s v="CRD021451" u="1"/>
        <s v="ACT000166" u="1"/>
        <s v="CRD019238" u="1"/>
        <s v="ACT000274" u="1"/>
        <s v="ACT000458" u="1"/>
        <s v="ACT000466" u="1"/>
        <s v="CRD023244" u="1"/>
        <s v="CRD019262" u="1"/>
        <s v="ACT000482" u="1"/>
        <s v="CRD023252" u="1"/>
        <s v="NUTDUR000001" u="1"/>
        <s v="CRD019638" u="1"/>
        <s v="CRD023360" u="1"/>
        <s v="CRD023552" u="1"/>
        <s v="CRD021136" u="1"/>
        <s v="ACT000075" u="1"/>
        <s v="ACT000091" u="1"/>
        <s v="CRD007355" u="1"/>
        <s v="CRD023253" u="1"/>
        <s v="CRD023345" u="1"/>
        <s v="CRD011253" u="1"/>
        <s v="ACT000491" u="1"/>
        <s v="CRD023261" u="1"/>
        <s v="CRD023537" u="1"/>
        <s v="CRD019463" u="1"/>
        <s v="CRD019555" u="1"/>
        <s v="CRD023361" u="1"/>
        <s v="CRD023553" u="1"/>
        <s v="CRD023837" u="1"/>
        <s v="CRD021129" u="1"/>
        <s v="CRD023661" u="1"/>
        <s v="CRD021137" u="1"/>
        <s v="CRD023761" u="1"/>
        <s v="CRD009480" u="1"/>
        <s v="ACT000176" u="1"/>
        <s v="CRD023138" u="1"/>
        <s v="CRD021937" u="1"/>
        <s v="ACT000376" u="1"/>
        <s v="ACT000476" u="1"/>
        <s v="CRD023246" u="1"/>
        <s v="ACT000484" u="1"/>
        <s v="CRD023254" u="1"/>
        <s v="CRD011254" u="1"/>
        <s v="CRD019364" u="1"/>
        <s v="CRD023262" u="1"/>
        <s v="CRD019464" u="1"/>
        <s v="CRD023270" u="1"/>
        <s v="CRD023362" u="1"/>
        <s v="CRD025039" u="1"/>
        <s v="CRD023570" u="1"/>
        <s v="CRD023662" u="1"/>
        <s v="CRD021138" u="1"/>
        <s v="CRD018600" u="1"/>
        <s v="CRD017348" u="1"/>
        <s v="CRD013163" u="1"/>
        <s v="CRD021162" u="1"/>
        <s v="CRD017380" u="1"/>
        <s v="CRD021738" u="1"/>
        <s v="ACT000177" u="1"/>
        <s v="ACT000277" u="1"/>
        <s v="CRD023139" u="1"/>
        <s v="CRD021754" u="1"/>
        <s v="ACT000377" u="1"/>
        <s v="ACT000393" u="1"/>
        <s v="ACT000485" u="1"/>
        <s v="CRD023255" u="1"/>
        <s v="CRD019365" u="1"/>
        <s v="ACT000493" u="1"/>
        <s v="CRD023447" u="1"/>
        <s v="CRD021970" u="1"/>
        <s v="CRD023271" u="1"/>
        <s v="CRD023363" u="1"/>
        <s v="CRD023547" u="1"/>
        <s v="CRD023571" u="1"/>
        <s v="CRD021163" u="1"/>
        <s v="ACT000086" u="1"/>
        <s v="CRD013564" u="1"/>
        <s v="ACT000378" u="1"/>
        <s v="CRD024500" u="1"/>
        <s v="ACT000386" u="1"/>
        <s v="CRD023248" u="1"/>
        <s v="CRD023256" u="1"/>
        <s v="CRD024700" u="1"/>
        <s v="CRD019458" u="1"/>
        <s v="CRD023448" u="1"/>
        <s v="CRD023272" u="1"/>
        <s v="NUTDUR000002" u="1"/>
        <s v="CRD015649" u="1"/>
        <s v="CRD023280" u="1"/>
        <s v="CRD023556" u="1"/>
        <s v="CRD023564" u="1"/>
        <s v="CRD022300" u="1"/>
        <s v="CRD023672" u="1"/>
        <s v="CRD009167" u="1"/>
        <s v="CRD003973" u="1"/>
        <s v="CRD023980" u="1"/>
        <s v="CRD017758" u="1"/>
        <s v="ACT000279" u="1"/>
        <s v="CRD023249" u="1"/>
        <s v="CRD023165" u="1"/>
        <s v="CRD024701" u="1"/>
        <s v="CRD017882" u="1"/>
        <s v="CRD023265" u="1"/>
        <s v="CRD023273" u="1"/>
        <s v="CRD023281" u="1"/>
        <s v="CRD023557" u="1"/>
        <s v="CRD022301" u="1"/>
        <s v="CRD015482" u="1"/>
        <s v="CRD003574" u="1"/>
        <s v="CRD023665" u="1"/>
        <s v="CRD023673" u="1"/>
        <s v="CRD023681" u="1"/>
        <s v="CRD021073" u="1"/>
        <s v="CRD003974" u="1"/>
        <s v="CRD021265" u="1"/>
        <s v="CRD023981" u="1"/>
        <s v="CRD001182" u="1"/>
        <s v="CRD001290" u="1"/>
        <s v="ACT000096" u="1"/>
        <s v="CRD024402" u="1"/>
        <s v="CRD020501" u="1"/>
        <s v="CRD024602" u="1"/>
        <s v="CRD019268" u="1"/>
        <s v="CRD018004" u="1"/>
        <s v="CRD021681" u="1"/>
        <s v="CRD023166" u="1"/>
        <s v="CRD024702" u="1"/>
        <s v="CRD017883" u="1"/>
        <s v="ACT000496" u="1"/>
        <s v="CRD024802" u="1"/>
        <s v="CRD021973" u="1"/>
        <s v="CRD023274" u="1"/>
        <s v="CRD024810" u="1"/>
        <s v="CRD019292" u="1"/>
        <s v="CRD023282" u="1"/>
        <s v="CRD013990" u="1"/>
        <s v="CRD023290" u="1"/>
        <s v="CRD023658" u="1"/>
        <s v="CRD023482" u="1"/>
        <s v="CRD019868" u="1"/>
        <s v="CRD023774" u="1"/>
        <s v="CRD016004" u="1"/>
        <s v="CRD023690" u="1"/>
        <s v="CRD024103" u="1"/>
        <s v="CRD023982" u="1"/>
        <s v="CRD021458" u="1"/>
        <s v="CRD000103" u="1"/>
        <s v="CRD020102" u="1"/>
        <s v="CRD020202" u="1"/>
        <s v="CRD021482" u="1"/>
        <s v="ACT000289" u="1"/>
        <s v="CRD023167" u="1"/>
        <s v="ACT000497" u="1"/>
        <s v="CRD023275" u="1"/>
        <s v="CRD002204" u="1"/>
        <s v="CRD014120" u="1"/>
        <s v="CRD023291" u="1"/>
        <s v="CRD003576" u="1"/>
        <s v="CRD023675" u="1"/>
        <s v="CRD023691" u="1"/>
        <s v="CRD023891" u="1"/>
        <s v="CRD021283" u="1"/>
        <s v="CRD022911" u="1"/>
        <s v="CRD021291" u="1"/>
        <s v="CRD024312" u="1"/>
        <s v="CRD008430" u="1"/>
        <s v="ACT000498" u="1"/>
        <s v="CRD023268" u="1"/>
        <s v="CRD024804" u="1"/>
        <s v="CRD023276" u="1"/>
        <s v="CRD012720" u="1"/>
        <s v="CRD024820" u="1"/>
        <s v="CRD024912" u="1"/>
        <s v="CRD023292" u="1"/>
        <s v="CRD024920" u="1"/>
        <s v="NUTDUR000003" u="1"/>
        <s v="CRD022312" u="1"/>
        <s v="CRD023584" u="1"/>
        <s v="CRD018614" u="1"/>
        <s v="CRD021092" u="1"/>
        <s v="CRD024113" u="1"/>
        <s v="CRD016122" u="1"/>
        <s v="CRD023992" u="1"/>
        <s v="CRD021284" u="1"/>
        <s v="CRD022912" u="1"/>
        <s v="CRD013677" u="1"/>
        <s v="CRD016422" u="1"/>
        <s v="ACT000299" u="1"/>
        <s v="CRD008431" u="1"/>
        <s v="CRD008623" u="1"/>
        <s v="CRD024521" u="1"/>
        <s v="CRD021968" u="1"/>
        <s v="ACT000499" u="1"/>
        <s v="CRD023277" u="1"/>
        <s v="CRD024813" u="1"/>
        <s v="CRD018315" u="1"/>
        <s v="CRD021992" u="1"/>
        <s v="CRD023293" u="1"/>
        <s v="CRD023585" u="1"/>
        <s v="CRD023677" u="1"/>
        <s v="CRD010321" u="1"/>
        <s v="CRD010413" u="1"/>
        <s v="CRD023685" u="1"/>
        <s v="CRD023777" u="1"/>
        <s v="CRD021077" u="1"/>
        <s v="CRD022521" u="1"/>
        <s v="CRD022905" u="1"/>
        <s v="CRD024114" u="1"/>
        <s v="CRD024206" u="1"/>
        <s v="CRD022913" u="1"/>
        <s v="CRD000114" u="1"/>
        <s v="CRD024122" u="1"/>
        <s v="CRD000122" u="1"/>
        <s v="CRD024430" u="1"/>
        <s v="CRD024522" u="1"/>
        <s v="CRD023178" u="1"/>
        <s v="CRD024714" u="1"/>
        <s v="CRD024806" u="1"/>
        <s v="CRD023094" u="1"/>
        <s v="CRD023278" u="1"/>
        <s v="CRD024630" u="1"/>
        <s v="CRD023286" u="1"/>
        <s v="CRD018324" u="1"/>
        <s v="CRD022322" u="1"/>
        <s v="CRD014423" u="1"/>
        <s v="CRD022430" u="1"/>
        <s v="CRD023794" u="1"/>
        <s v="CRD023894" u="1"/>
        <s v="CRD009297" u="1"/>
        <s v="CRD021094" u="1"/>
        <s v="CRD022906" u="1"/>
        <s v="CRD024115" u="1"/>
        <s v="CRD022914" u="1"/>
        <s v="CRD000115" u="1"/>
        <s v="CRD024131" u="1"/>
        <s v="CRD024315" u="1"/>
        <s v="CRD012607" u="1"/>
        <s v="CRD016708" u="1"/>
        <s v="CRD024431" u="1"/>
        <s v="CRD024715" u="1"/>
        <s v="CRD023095" u="1"/>
        <s v="CRD023279" u="1"/>
        <s v="CRD024631" u="1"/>
        <s v="CRD014116" u="1"/>
        <s v="CRD024731" u="1"/>
        <s v="CRD018325" u="1"/>
        <s v="CRD014424" u="1"/>
        <s v="CRD018617" u="1"/>
        <s v="CRD023687" u="1"/>
        <s v="CRD022807" u="1"/>
        <s v="CRD020007" u="1"/>
        <s v="CRD023895" u="1"/>
        <s v="CRD021095" u="1"/>
        <s v="CRD022907" u="1"/>
        <s v="CRD013288" u="1"/>
        <s v="CRD024124" u="1"/>
        <s v="CRD024308" u="1"/>
        <s v="CRD018933" u="1"/>
        <s v="CRD020315" u="1"/>
        <s v="CRD024432" u="1"/>
        <s v="CRD021787" u="1"/>
        <s v="CRD024624" u="1"/>
        <s v="CRD024716" u="1"/>
        <s v="CRD013796" u="1"/>
        <s v="CRD012624" u="1"/>
        <s v="CRD020715" u="1"/>
        <s v="CRD024816" u="1"/>
        <s v="CRD024908" u="1"/>
        <s v="CRD014117" u="1"/>
      </sharedItems>
    </cacheField>
    <cacheField name="nombre_articulo" numFmtId="0">
      <sharedItems/>
    </cacheField>
    <cacheField name="presentacion" numFmtId="0">
      <sharedItems/>
    </cacheField>
    <cacheField name="alterno1" numFmtId="0">
      <sharedItems/>
    </cacheField>
    <cacheField name="alterno2" numFmtId="14">
      <sharedItems containsSemiMixedTypes="0" containsNonDate="0" containsDate="1" containsString="0" minDate="2040-12-31T00:00:00" maxDate="2041-01-01T00:00:00"/>
    </cacheField>
    <cacheField name="cantidad" numFmtId="0">
      <sharedItems containsSemiMixedTypes="0" containsString="0" containsNumber="1" containsInteger="1" minValue="1" maxValue="1"/>
    </cacheField>
    <cacheField name="disponible" numFmtId="0">
      <sharedItems containsSemiMixedTypes="0" containsString="0" containsNumber="1" containsInteger="1" minValue="1" maxValue="1"/>
    </cacheField>
    <cacheField name="por_alistar" numFmtId="0">
      <sharedItems containsSemiMixedTypes="0" containsString="0" containsNumber="1" containsInteger="1" minValue="0" maxValue="0"/>
    </cacheField>
    <cacheField name="empacada" numFmtId="0">
      <sharedItems containsSemiMixedTypes="0" containsString="0" containsNumber="1" containsInteger="1" minValue="0" maxValue="0"/>
    </cacheField>
    <cacheField name="valor_mercado" numFmtId="0">
      <sharedItems containsSemiMixedTypes="0" containsString="0" containsNumber="1" containsInteger="1" minValue="32550" maxValue="32550"/>
    </cacheField>
    <cacheField name="valor_total" numFmtId="0">
      <sharedItems containsSemiMixedTypes="0" containsString="0" containsNumber="1" containsInteger="1" minValue="32550" maxValue="32550"/>
    </cacheField>
    <cacheField name="lote" numFmtId="0">
      <sharedItems containsSemiMixedTypes="0" containsString="0" containsNumber="1" containsInteger="1" minValue="0" maxValue="0"/>
    </cacheField>
    <cacheField name="serie" numFmtId="0">
      <sharedItems containsSemiMixedTypes="0" containsString="0" containsNumber="1" containsInteger="1" minValue="0" maxValue="0"/>
    </cacheField>
    <cacheField name="documento1" numFmtId="0">
      <sharedItems count="3">
        <s v="TRADICIONAL"/>
        <s v="AUTOSERVICIO" u="1"/>
        <s v="CADENAS" u="1"/>
      </sharedItems>
    </cacheField>
    <cacheField name="documento2" numFmtId="0">
      <sharedItems/>
    </cacheField>
    <cacheField name="estado_articulo" numFmtId="0">
      <sharedItems/>
    </cacheField>
    <cacheField name="fecha_vencimiento(A-M-D)" numFmtId="0">
      <sharedItems containsNonDate="0" containsString="0" containsBlank="1"/>
    </cacheField>
    <cacheField name="fecha_detalle_articulos" numFmtId="14">
      <sharedItems containsSemiMixedTypes="0" containsNonDate="0" containsDate="1" containsString="0" minDate="2019-03-01T00:00:00" maxDate="2019-03-02T00:00:00"/>
    </cacheField>
    <cacheField name="fecha_entrada" numFmtId="14">
      <sharedItems containsSemiMixedTypes="0" containsNonDate="0" containsDate="1" containsString="0" minDate="2021-10-01T00:00:00" maxDate="2021-10-02T00:00:00"/>
    </cacheField>
    <cacheField name="fecha_salida" numFmtId="0">
      <sharedItems containsNonDate="0" containsString="0" containsBlank="1"/>
    </cacheField>
    <cacheField name="fecha_ultimo_despacho" numFmtId="47">
      <sharedItems containsSemiMixedTypes="0" containsNonDate="0" containsDate="1" containsString="0" minDate="2020-02-10T17:08:17" maxDate="2020-02-10T17:08:17"/>
    </cacheField>
    <cacheField name="nombre_grupo_linea" numFmtId="0">
      <sharedItems/>
    </cacheField>
    <cacheField name="nombre_tipo_linea" numFmtId="0">
      <sharedItems/>
    </cacheField>
    <cacheField name="nombre_linea" numFmtId="0">
      <sharedItems/>
    </cacheField>
    <cacheField name="nombre_sublinea" numFmtId="0">
      <sharedItems/>
    </cacheField>
    <cacheField name="interfaz" numFmtId="0">
      <sharedItems/>
    </cacheField>
    <cacheField name="fecha_1_recep" numFmtId="14">
      <sharedItems containsSemiMixedTypes="0" containsNonDate="0" containsDate="1" containsString="0" minDate="2015-06-26T00:00:00" maxDate="2015-06-27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Practicante Direccion de Servicio Cordialsa Colombia" refreshedDate="44553.561360069441" createdVersion="6" refreshedVersion="6" minRefreshableVersion="3" recordCount="514">
  <cacheSource type="worksheet">
    <worksheetSource name="Ingresos"/>
  </cacheSource>
  <cacheFields count="35">
    <cacheField name="Concatenar" numFmtId="0">
      <sharedItems count="685">
        <s v="BARRCRD024947CADENASNUTRESA"/>
        <s v="BARRACT000300TRADICIONALNUTRESA"/>
        <s v="BARRCRD024843CADENASBPO"/>
        <s v="BARRCRD024845CADENASBPO"/>
        <s v="BARRCRD024845AUTOSERVICIOBPO"/>
        <s v="BARRCRD024844CADENASBPO"/>
        <s v="BARRCRD024844AUTOSERVICIOBPO"/>
        <s v="BARRCRD024842AUTOSERVICIOBPO"/>
        <s v="BARRCRD024843AUTOSERVICIOBPO"/>
        <s v="BARRCRD024842CADENASBPO"/>
        <s v="BARRCRD024124CADENASNUTRESA"/>
        <s v="BARRCRD024849AUTOSERVICIONUTRESA"/>
        <s v="BARRCRD025003CADENASBPO"/>
        <s v="BARRCRD024648TRADICIONALNUTRESA"/>
        <s v="BARRACT000436AUTOSERVICIOBPO"/>
        <s v="BARRCRD025017CADENASNUTRESA"/>
        <s v="BARRCRD024645TRADICIONALNUTRESA"/>
        <s v="BARRCRD024647TRADICIONALNUTRESA"/>
        <s v="BARRCRD024644TRADICIONALNUTRESA"/>
        <s v="BARRCRD024646TRADICIONALNUTRESA"/>
        <s v="BARRCRD025004TRADICIONALNUTRESA"/>
        <s v="BARRCRD025001AUTOSERVICIONUTRESA"/>
        <s v="BARRCRD025002AUTOSERVICIONUTRESA"/>
        <s v="BARRCRD025008TRADICIONALNUTRESA"/>
        <s v="BARRCRD025009TRADICIONALNUTRESA"/>
        <s v="BARRCRD025010TRADICIONALNUTRESA"/>
        <s v="BARRCRD024643TRADICIONALNUTRESA"/>
        <s v="BARRCRD024847CADENASBPO"/>
        <s v="BARRCRD024262CADENASBPO"/>
        <s v="BARRCRD024971TRADICIONALNUTRESA"/>
        <s v="BARRCRD025006TRADICIONALNUTRESA"/>
        <s v="BARRCRD020181CADENASBPO"/>
        <s v="BARRCRD008430CADENASBPO"/>
        <s v="BARRCRD025013CADENASNUTRESA"/>
        <s v="BARRCRD025015CADENASNUTRESA"/>
        <s v="BARRCRD025014CADENASNUTRESA"/>
        <s v="BARRCRD025012CADENASNUTRESA"/>
        <s v="BARRCRD025023AUTOSERVICIONUTRESA"/>
        <s v="BARRCRD019238CADENASBPO"/>
        <s v="BARRACT000225TRADICIONALNUTRESA"/>
        <s v="BARRCRD025016AUTOSERVICIONUTRESA"/>
        <s v="BARRCRD025021AUTOSERVICIONUTRESA"/>
        <s v="BARRCRD019356CADENASNUTRESA"/>
        <s v="BARRCRD019355CADENASNUTRESA"/>
        <s v="BARRCRD019354CADENASNUTRESA"/>
        <s v="BARRCRD019353CADENASNUTRESA"/>
        <s v="BARRCRD025041TRADICIONALNUTRESA"/>
        <s v="BGTACRD024946CADENASNUTRESA"/>
        <s v="BGTACRD024845AUTOSERVICIOALTILLANO_BPO"/>
        <s v="BGTACRD024844AUTOSERVICIOALTILLANO_BPO"/>
        <s v="BGTACRD024844AUTOSERVICIOBPO"/>
        <s v="BGTACRD024845CADENASBPO"/>
        <s v="BGTACRD024844CADENASBPO"/>
        <s v="BGTACRD024843AUTOSERVICIOALTILLANO_BPO"/>
        <s v="BGTACRD024842CADENASBPO"/>
        <s v="BGTACRD024843AUTOSERVICIOBPO"/>
        <s v="BGTACRD024842AUTOSERVICIOALTILLANO_BPO"/>
        <s v="BGTACRD024845AUTOSERVICIOBPO"/>
        <s v="BGTACRD024843CADENASBPO"/>
        <s v="BGTACRD024842AUTOSERVICIOBPO"/>
        <s v="BGTAACT000120AUTOSERVICIONUTRESA"/>
        <s v="BGTACRD022670CADENASBPO"/>
        <s v="BGTACRD016151CADENASBPO"/>
        <s v="BGTACRD014117CADENASBPO"/>
        <s v="BGTACRD025003CADENASBPO"/>
        <s v="BGTACRD024981AUTOSERVICIONUTRESA"/>
        <s v="BGTACRD024981AUTOSERVICIOALTILLANO"/>
        <s v="BGTACRD012726CADENASNUTRESA"/>
        <s v="BGTACRD012721CADENASNUTRESA"/>
        <s v="BGTACRD012719CADENASNUTRESA"/>
        <s v="BGTACRD002384CADENASNUTRESA"/>
        <s v="BGTACRD001185CADENASNUTRESA"/>
        <s v="BGTACRD021829CADENASNUTRESA"/>
        <s v="BGTACRD012466CADENASNUTRESA"/>
        <s v="BGTACRD023444CADENASNUTRESA"/>
        <s v="BGTACRD025017CADENASNUTRESA"/>
        <s v="BGTACRD024849AUTOSERVICIONUTRESA"/>
        <s v="BGTACRD025007CADENASNUTRESA"/>
        <s v="BGTACRD024830AUTOSERVICIONUTRESA"/>
        <s v="BGTACRD024126AUTOSERVICIONUTRESA"/>
        <s v="BGTACRD025004TRADICIONALNUTRESA"/>
        <s v="BGTACRD025004TRADICIONALALTILLANO"/>
        <s v="BGTACRD024971TRADICIONALALTILLANO"/>
        <s v="BGTACRD024971TRADICIONALNUTRESA"/>
        <s v="BGTACRD018765CADENASBPO"/>
        <s v="BGTACRD025009TRADICIONALNUTRESA"/>
        <s v="BGTACRD025010TRADICIONALNUTRESA"/>
        <s v="BGTACRD025010TRADICIONALALTILLANO"/>
        <s v="BGTACRD025008TRADICIONALNUTRESA"/>
        <s v="BGTACRD025009TRADICIONALALTILLANO"/>
        <s v="BGTACRD025002AUTOSERVICIONUTRESA"/>
        <s v="BGTACRD025001AUTOSERVICIONUTRESA"/>
        <s v="BGTACRD025001AUTOSERVICIOALTILLANO"/>
        <s v="BGTACRD025002AUTOSERVICIOALTILLANO"/>
        <s v="BGTACRD024945CADENASNUTRESA"/>
        <s v="BGTACRD024353CADENASNUTRESA"/>
        <s v="BGTACRD025005TRADICIONALNUTRESA"/>
        <s v="BGTACRD025005TRADICIONALALTILLANO"/>
        <s v="BGTACRD024788AUTOSERVICIOBPO"/>
        <s v="BGTACRD025023AUTOSERVICIOALTILLANO"/>
        <s v="BGTACRD025023AUTOSERVICIONUTRESA"/>
        <s v="BGTACRD025022AUTOSERVICIOALTILLANO"/>
        <s v="BGTACRD025039AUTOSERVICIONUTRESA"/>
        <s v="BGTACRD025039AUTOSERVICIOALTILLANO"/>
        <s v="BGTACRD025021AUTOSERVICIOALTILLANO"/>
        <s v="BGTACRD025020AUTOSERVICIOALTILLANO"/>
        <s v="BGTACRD025020AUTOSERVICIONUTRESA"/>
        <s v="BGTACRD025021AUTOSERVICIONUTRESA"/>
        <s v="BGTACRD025006TRADICIONALNUTRESA"/>
        <s v="BGTACRD025006TRADICIONALALTILLANO"/>
        <s v="BGTACRD025041AUTOSERVICIOALTILLANO"/>
        <s v="BGTACRD025041TRADICIONALALTILLANO"/>
        <s v="BGTACRD025040TRADICIONALALTILLANO"/>
        <s v="BGTACRD025040AUTOSERVICIOALTILLANO"/>
        <s v="BGTACRD025041AUTOSERVICIONUTRESA"/>
        <s v="BGTACRD025041TRADICIONALNUTRESA"/>
        <s v="BUCACRD024844AUTOSERVICIOBPO"/>
        <s v="BUCACRD024845AUTOSERVICIOBPO"/>
        <s v="BUCACRD024842CADENASBPO"/>
        <s v="BUCACRD024842AUTOSERVICIOBPO"/>
        <s v="BUCACRD024844CADENASBPO"/>
        <s v="BUCACRD024843AUTOSERVICIOBPO"/>
        <s v="BUCACRD024843CADENASBPO"/>
        <s v="BUCACRD024845CADENASBPO"/>
        <s v="BUCACRD024849AUTOSERVICIONUTRESA"/>
        <s v="BUCACRD024646TRADICIONALNUTRESA"/>
        <s v="BUCACRD024645TRADICIONALNUTRESA"/>
        <s v="BUCACRD024644TRADICIONALNUTRESA"/>
        <s v="BUCACRD024647TRADICIONALNUTRESA"/>
        <s v="BUCACRD025009TRADICIONALNUTRESA"/>
        <s v="BUCACRD025010TRADICIONALNUTRESA"/>
        <s v="BUCACRD025008TRADICIONALNUTRESA"/>
        <s v="BUCACRD025002AUTOSERVICIONUTRESA"/>
        <s v="BUCACRD025001AUTOSERVICIONUTRESA"/>
        <s v="BUCACRD018765CADENASBPO"/>
        <s v="BUCACRD025004TRADICIONALNUTRESA"/>
        <s v="BUCACRD025023AUTOSERVICIONUTRESA"/>
        <s v="BUCACRD025020AUTOSERVICIONUTRESA"/>
        <s v="BUCACRD025021AUTOSERVICIONUTRESA"/>
        <s v="BUCACRD025006TRADICIONALNUTRESA"/>
        <s v="BUCACRD025041AUTOSERVICIONUTRESA"/>
        <s v="BUCACRD025041TRADICIONALNUTRESA"/>
        <s v="BUCACRD025040TRADICIONALNUTRESA"/>
        <s v="BUCACRD025040AUTOSERVICIONUTRESA"/>
        <s v="CALIACT000436AUTOSERVICIOBPO"/>
        <s v="CALICRD024843AUTOSERVICIOBPO"/>
        <s v="CALICRD024842AUTOSERVICIOBPO"/>
        <s v="CALICRD024842CADENASBPO"/>
        <s v="CALICRD024843CADENASBPO"/>
        <s v="CALICRD024844AUTOSERVICIOBPO"/>
        <s v="CALICRD024844CADENASBPO"/>
        <s v="CALICRD024845AUTOSERVICIOBPO"/>
        <s v="CALICRD024845CADENASBPO"/>
        <s v="CALICRD022322AUTOSERVICIOBPO"/>
        <s v="CALICRD023535AUTOSERVICIONUTRESA"/>
        <s v="CALICRD025003CADENASBPO"/>
        <s v="CALICRD024849AUTOSERVICIONUTRESA"/>
        <s v="CALIACT000225TRADICIONALNUTRESA"/>
        <s v="CALIACT000035TRADICIONALNUTRESA"/>
        <s v="CALICRD025004TRADICIONALNUTRESA"/>
        <s v="CALICRD024971TRADICIONALNUTRESA"/>
        <s v="CALICRD025001AUTOSERVICIONUTRESA"/>
        <s v="CALICRD025002AUTOSERVICIONUTRESA"/>
        <s v="CALICRD025008TRADICIONALNUTRESA"/>
        <s v="CALICRD025010TRADICIONALNUTRESA"/>
        <s v="CALICRD025009TRADICIONALNUTRESA"/>
        <s v="CALICRD018324AUTOSERVICIONUTRESA"/>
        <s v="CALICRD018325AUTOSERVICIONUTRESA"/>
        <s v="CALICRD025006TRADICIONALNUTRESA"/>
        <s v="CALICRD018765CADENASBPO"/>
        <s v="CALICRD025023AUTOSERVICIONUTRESA"/>
        <s v="CALICRD016151CADENASBPO"/>
        <s v="CALICRD022670CADENASBPO"/>
        <s v="CALICRD014117CADENASBPO"/>
        <s v="CALICRD024953CADENASNUTRESA"/>
        <s v="CALICRD025020AUTOSERVICIONUTRESA"/>
        <s v="CALICRD025021AUTOSERVICIONUTRESA"/>
        <s v="CALICRD023611CADENASBPO"/>
        <s v="CALICRD023405CADENASBPO"/>
        <s v="CALICRD014118CADENASBPO"/>
        <s v="CALICRD014120CADENASBPO"/>
        <s v="CALICRD019868CADENASBPO"/>
        <s v="CALICRD021350CADENASBPO"/>
        <s v="CALICRD021973CADENASBPO"/>
        <s v="CALICRD025026CADENASNUTRESA"/>
        <s v="CARTCRD024946CADENASNUTRESA"/>
        <s v="CARTCRD024945CADENASNUTRESA"/>
        <s v="CARTACT000176AUTOSERVICIONUTRESA"/>
        <s v="CARTACT000063TRADICIONALNUTRESA"/>
        <s v="CARTCRD008369TRADICIONALNUTRESA"/>
        <s v="CARTCRD024642TRADICIONALNUTRESA"/>
        <s v="CARTCRD012773TRADICIONALNUTRESA"/>
        <s v="CARTCRD007133TRADICIONALNUTRESA"/>
        <s v="CARTCRD024657TRADICIONALNUTRESA"/>
        <s v="CARTCRD024643TRADICIONALNUTRESA"/>
        <s v="CARTACT000436AUTOSERVICIOBPO"/>
        <s v="CARTCRD024849AUTOSERVICIONUTRESA"/>
        <s v="CARTCRD025017CADENASNUTRESA"/>
        <s v="CARTACT000225TRADICIONALNUTRESA"/>
        <s v="CARTCRD025004TRADICIONALNUTRESA"/>
        <s v="CARTCRD024647TRADICIONALNUTRESA"/>
        <s v="CARTCRD024646TRADICIONALNUTRESA"/>
        <s v="CARTCRD024645TRADICIONALNUTRESA"/>
        <s v="CARTCRD024644TRADICIONALNUTRESA"/>
        <s v="CARTCRD025002AUTOSERVICIONUTRESA"/>
        <s v="CARTCRD025001AUTOSERVICIONUTRESA"/>
        <s v="CARTCRD025010TRADICIONALNUTRESA"/>
        <s v="CARTCRD025009TRADICIONALNUTRESA"/>
        <s v="CARTCRD025008TRADICIONALNUTRESA"/>
        <s v="CARTCRD024971TRADICIONALNUTRESA"/>
        <s v="CARTCRD025006TRADICIONALNUTRESA"/>
        <s v="CARTCRD025023AUTOSERVICIONUTRESA"/>
        <s v="CARTCRD025021AUTOSERVICIONUTRESA"/>
        <s v="CARTCRD008430CADENASBPO"/>
        <s v="CARTCRD020181CADENASBPO"/>
        <s v="CARTCRD019238AUTOSERVICIOBPO"/>
        <s v="CARTCRD024397CADENASBPO"/>
        <s v="CARTACT000435TRADICIONALNUTRESA"/>
        <s v="CARTCRD019355CADENASNUTRESA"/>
        <s v="CARTCRD019354CADENASNUTRESA"/>
        <s v="CARTCRD019356CADENASNUTRESA"/>
        <s v="CARTCRD025041TRADICIONALNUTRESA"/>
        <s v="IBA1ACT000436AUTOSERVICIOBPO"/>
        <s v="IBA1ACT000063TRADICIONALNUTRESA"/>
        <s v="IBA1CRD024844AUTOSERVICIOBPO"/>
        <s v="IBA1CRD024843CADENASBPO"/>
        <s v="IBA1CRD024843AUTOSERVICIOBPO"/>
        <s v="IBA1CRD024845CADENASBPO"/>
        <s v="IBA1CRD024844CADENASBPO"/>
        <s v="IBA1CRD024842AUTOSERVICIOBPO"/>
        <s v="IBA1CRD024845AUTOSERVICIOBPO"/>
        <s v="IBA1CRD024842CADENASBPO"/>
        <s v="IBA1ACT000075TRADICIONALNUTRESA"/>
        <s v="IBA1ACT000225AUTOSERVICIONUTRESA"/>
        <s v="IBA1ACT000063AUTOSERVICIONUTRESA"/>
        <s v="IBA1ACT000120AUTOSERVICIONUTRESA"/>
        <s v="IBA1ACT000075AUTOSERVICIONUTRESA"/>
        <s v="IBA1CRD023531AUTOSERVICIONUTRESA"/>
        <s v="IBA1CRD023535AUTOSERVICIONUTRESA"/>
        <s v="IBA1CRD024889CADENASNUTRESA"/>
        <s v="IBA1CRD024162CADENASNUTRESA"/>
        <s v="IBA1CRD023141CADENASBPO"/>
        <s v="IBA1CRD024849AUTOSERVICIONUTRESA"/>
        <s v="IBA1CRD019238AUTOSERVICIOBPO"/>
        <s v="IBA1CRD025004TRADICIONALNUTRESA"/>
        <s v="IBA1CRD022322TRADICIONALBPO"/>
        <s v="IBA1CRD024971TRADICIONALNUTRESA"/>
        <s v="IBA1ACT000434AUTOSERVICIONUTRESA"/>
        <s v="IBA1CRD025008TRADICIONALNUTRESA"/>
        <s v="IBA1CRD025009TRADICIONALNUTRESA"/>
        <s v="IBA1CRD025010TRADICIONALNUTRESA"/>
        <s v="IBA1CRD025001AUTOSERVICIONUTRESA"/>
        <s v="IBA1CRD025002AUTOSERVICIONUTRESA"/>
        <s v="IBA1ACT000433TRADICIONALNUTRESA"/>
        <s v="IBA1CRD025006TRADICIONALNUTRESA"/>
        <s v="IBA1CRD018765CADENASBPO"/>
        <s v="IBA1ACT000454CADENASNUTRESA"/>
        <s v="IBA1ACT000441AUTOSERVICIONUTRESA"/>
        <s v="IBA1ACT000444TRADICIONALNUTRESA"/>
        <s v="IBA1CRD025021AUTOSERVICIONUTRESA"/>
        <s v="IBA1CRD021225TRADICIONALNUTRESA"/>
        <s v="IBA1CRD020036TRADICIONALNUTRESA"/>
        <s v="IBA1CRD017903TRADICIONALNUTRESA"/>
        <s v="IBA1CRD015545TRADICIONALNUTRESA"/>
        <s v="IBA1CRD012719TRADICIONALNUTRESA"/>
        <s v="IBA1CRD022526TRADICIONALNUTRESA"/>
        <s v="IBA1CRD012718TRADICIONALNUTRESA"/>
        <s v="IBA1CRD012660TRADICIONALNUTRESA"/>
        <s v="IBA1CRD012466TRADICIONALNUTRESA"/>
        <s v="IBA1CRD010924TRADICIONALNUTRESA"/>
        <s v="IBA1CRD010050TRADICIONALNUTRESA"/>
        <s v="IBA1CRD009297TRADICIONALNUTRESA"/>
        <s v="IBA1CRD003938TRADICIONALNUTRESA"/>
        <s v="IBA1CRD003573TRADICIONALNUTRESA"/>
        <s v="IBA1CRD000698TRADICIONALNUTRESA"/>
        <s v="IBA1CRD023690TRADICIONALNUTRESA"/>
        <s v="IBA1CRD002384TRADICIONALNUTRESA"/>
        <s v="IBA1CRD001544TRADICIONALNUTRESA"/>
        <s v="IBA1CRD024366TRADICIONALNUTRESA"/>
        <s v="IBA1CRD023781TRADICIONALNUTRESA"/>
        <s v="IBA1CRD001182TRADICIONALNUTRESA"/>
        <s v="IBA1CRD004411TRADICIONALNUTRESA"/>
        <s v="IBA1ACT000071TRADICIONALNUTRESA"/>
        <s v="IBA1CRD024979CADENASNUTRESA"/>
        <s v="IBA1CRD025040AUTOSERVICIONUTRESA"/>
        <s v="IBA1CRD025040TRADICIONALNUTRESA"/>
        <s v="IBA1CRD025041TRADICIONALNUTRESA"/>
        <s v="IBA1CRD025041AUTOSERVICIONUTRESA"/>
        <s v="IBA1CRD023414CADENASNUTRESA"/>
        <s v="IBA1CRD025023AUTOSERVICIONUTRESA"/>
        <s v="MEDECRD019238CADENASBPO"/>
        <s v="MEDECRD019238AUTOSERVICIOBPO"/>
        <s v="MEDEACT000436AUTOSERVICIOBPO"/>
        <s v="MEDECRD024388AUTOSERVICIONUTRESA"/>
        <s v="MEDECRD024387AUTOSERVICIONUTRESA"/>
        <s v="MEDECRD024953CADENASNUTRESA"/>
        <s v="MEDEACT000377AUTOSERVICIONUTRESA"/>
        <s v="MEDECRD024844CADENASBPO"/>
        <s v="MEDECRD024842CADENASBPO"/>
        <s v="MEDECRD024842AUTOSERVICIOBPO"/>
        <s v="MEDECRD024843CADENASBPO"/>
        <s v="MEDECRD024845AUTOSERVICIOBPO"/>
        <s v="MEDECRD024845CADENASBPO"/>
        <s v="MEDECRD024844AUTOSERVICIOBPO"/>
        <s v="MEDECRD024843AUTOSERVICIOBPO"/>
        <s v="MEDECRD022273AUTOSERVICIONUTRESA"/>
        <s v="MEDEACT000007AUTOSERVICIONUTRESA"/>
        <s v="MEDECRD022322AUTOSERVICIONUTRESA"/>
        <s v="MEDECRD025003CADENASBPO"/>
        <s v="MEDECRD014118CADENASBPO"/>
        <s v="MEDECRD019868CADENASBPO"/>
        <s v="MEDECRD014120CADENASBPO"/>
        <s v="MEDECRD014424CADENASBPO"/>
        <s v="MEDECRD014119CADENASBPO"/>
        <s v="MEDECRD014116CADENASBPO"/>
        <s v="MEDECRD024849AUTOSERVICIONUTRESA"/>
        <s v="MEDECRD024999CADENASNUTRESA"/>
        <s v="MEDECRD012466CADENASNUTRESA"/>
        <s v="MEDECRD023444CADENASNUTRESA"/>
        <s v="MEDECRD012719CADENASNUTRESA"/>
        <s v="MEDECRD012726CADENASNUTRESA"/>
        <s v="MEDECRD002384CADENASNUTRESA"/>
        <s v="MEDECRD001185CADENASNUTRESA"/>
        <s v="MEDEACT000244TRADICIONALNUTRESA"/>
        <s v="MEDECRD019458AUTOSERVICIONUTRESA"/>
        <s v="MEDEACT000017AUTOSERVICIONUTRESA"/>
        <s v="MEDEACT000378AUTOSERVICIONUTRESA"/>
        <s v="MEDECRD021334CADENASNUTRESA"/>
        <s v="MEDECRD025017CADENASNUTRESA"/>
        <s v="MEDEACT000436AUTOSERVICIONUTRESA"/>
        <s v="MEDECRD021331CADENASNUTRESA"/>
        <s v="MEDEACT000279AUTOSERVICIONUTRESA"/>
        <s v="MEDEACT000430AUTOSERVICIONUTRESA"/>
        <s v="MEDEACT000423AUTOSERVICIONUTRESA"/>
        <s v="MEDECRD024847CADENASBPO"/>
        <s v="MEDECRD024443AUTOSERVICIOBPO"/>
        <s v="MEDECRD025004TRADICIONALNUTRESA"/>
        <s v="MEDECRD024981AUTOSERVICIONUTRESA"/>
        <s v="MEDECRD024980AUTOSERVICIONUTRESA"/>
        <s v="MEDECRD020854AUTOSERVICIOBPO"/>
        <s v="MEDECRD020181CADENASBPO"/>
        <s v="MEDECRD008623CADENASBPO"/>
        <s v="MEDEACT000071AUTOSERVICIONUTRESA"/>
        <s v="MEDEACT000091AUTOSERVICIONUTRESA"/>
        <s v="MEDECRD018765CADENASBPO"/>
        <s v="MEDECRD025006TRADICIONALNUTRESA"/>
        <s v="MEDECRD023981AUTOSERVICIONUTRESA"/>
        <s v="MEDECRD025021AUTOSERVICIONUTRESA"/>
        <s v="MEDECRD025010TRADICIONALNUTRESA"/>
        <s v="MEDECRD025008TRADICIONALNUTRESA"/>
        <s v="MEDECRD025009TRADICIONALNUTRESA"/>
        <s v="MEDECRD025002AUTOSERVICIONUTRESA"/>
        <s v="MEDECRD025001AUTOSERVICIONUTRESA"/>
        <s v="MEDECRD021350CADENASBPO"/>
        <s v="MEDECRD014117CADENASBPO"/>
        <s v="MEDECRD022670CADENASBPO"/>
        <s v="MEDECRD021973CADENASBPO"/>
        <s v="MEDECRD024953CADENASBPO"/>
        <s v="MEDECRD016669CADENASBPO"/>
        <s v="MEDECRD023611CADENASBPO"/>
        <s v="MEDECRD016151CADENASBPO"/>
        <s v="MEDEACT000451CADENASNUTRESA"/>
        <s v="MEDEACT000225TRADICIONALNUTRESA"/>
        <s v="MEDECRD024997CADENASNUTRESA"/>
        <s v="MEDECRD024895CADENASNUTRESA"/>
        <s v="MEDECRD025023AUTOSERVICIONUTRESA"/>
        <s v="MEDECRD025011AUTOSERVICIONUTRESA"/>
        <s v="MEDECRD024994AUTOSERVICIONUTRESA"/>
        <s v="MEDECRD024995AUTOSERVICIONUTRESA"/>
        <s v="MEDECRD024993AUTOSERVICIONUTRESA"/>
        <s v="MEDECRD024996AUTOSERVICIONUTRESA"/>
        <s v="MEDECRD023301AUTOSERVICIONUTRESA"/>
        <s v="MEDEACT000499AUTOSERVICIONUTRESA"/>
        <s v="PEREACT000434AUTOSERVICIONUTRESA"/>
        <s v="PEREACT000027AUTOSERVICIONUTRESA"/>
        <s v="PERECRD022897AUTOSERVICIOBPO"/>
        <s v="PERECRD019458AUTOSERVICIONUTRESA"/>
        <s v="PEREACT000063TRADICIONALNUTRESA"/>
        <s v="PEREACT000436AUTOSERVICIOBPO"/>
        <s v="PERECRD023598AUTOSERVICIONUTRESA"/>
        <s v="PERECRD023597AUTOSERVICIONUTRESA"/>
        <s v="PERECRD023685AUTOSERVICIONUTRESA"/>
        <s v="PERECRD024845CADENASBPO"/>
        <s v="PERECRD024842AUTOSERVICIOBPO"/>
        <s v="PERECRD024843AUTOSERVICIOBPO"/>
        <s v="PERECRD024843CADENASBPO"/>
        <s v="PERECRD024844AUTOSERVICIOBPO"/>
        <s v="PERECRD024844CADENASBPO"/>
        <s v="PERECRD024842CADENASBPO"/>
        <s v="PERECRD024845AUTOSERVICIOBPO"/>
        <s v="PEREACT000300AUTOSERVICIONUTRESA"/>
        <s v="PERECRD024849AUTOSERVICIONUTRESA"/>
        <s v="PERECRD025017CADENASNUTRESA"/>
        <s v="PERECRD000911CADENASNUTRESA"/>
        <s v="PERECRD012719CADENASNUTRESA"/>
        <s v="PERECRD012726CADENASNUTRESA"/>
        <s v="PERECRD020909TRADICIONALNUTRESA"/>
        <s v="PERECRD024981AUTOSERVICIONUTRESA"/>
        <s v="PERECRD023444CADENASNUTRESA"/>
        <s v="PERECRD012466CADENASNUTRESA"/>
        <s v="PERECRD001185CADENASNUTRESA"/>
        <s v="PERECRD010924CADENASNUTRESA"/>
        <s v="PERECRD002384CADENASNUTRESA"/>
        <s v="PERECRD001182CADENASNUTRESA"/>
        <s v="PERECRD024980AUTOSERVICIONUTRESA"/>
        <s v="PERECRD025004TRADICIONALNUTRESA"/>
        <s v="PERECRD024908AUTOSERVICIONUTRESA"/>
        <s v="PERECRD024955AUTOSERVICIONUTRESA"/>
        <s v="PERECRD024956AUTOSERVICIONUTRESA"/>
        <s v="PERECRD024874AUTOSERVICIONUTRESA"/>
        <s v="PERECRD025008TRADICIONALNUTRESA"/>
        <s v="PERECRD025010TRADICIONALNUTRESA"/>
        <s v="PERECRD025009TRADICIONALNUTRESA"/>
        <s v="PERECRD025002AUTOSERVICIONUTRESA"/>
        <s v="PERECRD025001AUTOSERVICIONUTRESA"/>
        <s v="PERECRD025006TRADICIONALNUTRESA"/>
        <s v="PERECRD012718TRADICIONALNUTRESA"/>
        <s v="PERECRD015482TRADICIONALNUTRESA"/>
        <s v="PERECRD022568TRADICIONALNUTRESA"/>
        <s v="PERECRD000245TRADICIONALNUTRESA"/>
        <s v="PERECRD013796TRADICIONALNUTRESA"/>
        <s v="PERECRD023441TRADICIONALNUTRESA"/>
        <s v="PERECRD025005TRADICIONALNUTRESA"/>
        <s v="PERECRD003574TRADICIONALNUTRESA"/>
        <s v="PERECRD003576TRADICIONALNUTRESA"/>
        <s v="PERECRD024517TRADICIONALNUTRESA"/>
        <s v="PERECRD009805TRADICIONALNUTRESA"/>
        <s v="PERECRD003973TRADICIONALNUTRESA"/>
        <s v="PERECRD003605TRADICIONALNUTRESA"/>
        <s v="PERECRD022897CADENASBPO"/>
        <s v="PERECRD025021AUTOSERVICIONUTRESA"/>
        <s v="PERECRD025020AUTOSERVICIONUTRESA"/>
        <s v="PEREACT000225TRADICIONALNUTRESA"/>
        <s v="PERECRD025023AUTOSERVICIONUTRESA"/>
        <s v="PERECRD025041AUTOSERVICIONUTRESA"/>
        <s v="PERECRD025040AUTOSERVICIONUTRESA"/>
        <s v="PERECRD025039AUTOSERVICIONUTRESA"/>
        <s v="VILACRD024946CADENASNUTRESA"/>
        <s v="VILACRD024849AUTOSERVICIONUTRESA"/>
        <s v="VILACRD025018TRADICIONALNUTRESA"/>
        <s v="VILACRD022322TRADICIONALNUTRESA"/>
        <s v="VILACRD022322AUTOSERVICIONUTRESA"/>
        <s v="VILACRD024971TRADICIONALNUTRESA"/>
        <s v="VILACRD025001AUTOSERVICIONUTRESA"/>
        <s v="VILACRD025002AUTOSERVICIONUTRESA"/>
        <s v="VILACRD025010TRADICIONALNUTRESA"/>
        <s v="VILACRD025009TRADICIONALNUTRESA"/>
        <s v="VILACRD025008TRADICIONALNUTRESA"/>
        <s v="VILACRD025021AUTOSERVICIONUTRESA"/>
        <s v="VILACRD025020AUTOSERVICIONUTRESA"/>
        <s v="VILACRD025022AUTOSERVICIONUTRESA"/>
        <s v="VILACRD025023AUTOSERVICIONUTRESA"/>
        <s v="VILACRD025041AUTOSERVICIONUTRESA"/>
        <s v="VILACRD025041TRADICIONALNUTRESA"/>
        <s v="VILACRD025040AUTOSERVICIONUTRESA"/>
        <s v="BUCACRD022322TRADICIONALBPO" u="1"/>
        <s v="VILACRD024788CADENASBPO" u="1"/>
        <s v="BUCACRD023535AUTOSERVICIONUTRESA" u="1"/>
        <s v="BUCACRD024967AUTOSERVICIONUTRESA" u="1"/>
        <s v="BUCACRD024968AUTOSERVICIONUTRESA" u="1"/>
        <s v="BUCACRD024969AUTOSERVICIONUTRESA" u="1"/>
        <s v="BUCACRD024970AUTOSERVICIONUTRESA" u="1"/>
        <s v="BUCACRD024932CADENASNUTRESA" u="1"/>
        <s v="BUCACRD024933CADENASNUTRESA" u="1"/>
        <s v="BUCACRD024934CADENASNUTRESA" u="1"/>
        <s v="BUCACRD024951CADENASNUTRESA" u="1"/>
        <s v="BUCACRD024953CADENASNUTRESA" u="1"/>
        <s v="BUCACRD024954CADENASNUTRESA" u="1"/>
        <s v="BUCACRD022322AUTOSERVICIOBPO" u="1"/>
        <s v="BGTACRD024877TRADICIONALNUTRESA" u="1"/>
        <s v="BGTACRD024878TRADICIONALNUTRESA" u="1"/>
        <s v="BGTACRD024882TRADICIONALNUTRESA" u="1"/>
        <s v="BGTACRD024887TRADICIONALNUTRESA" u="1"/>
        <s v="BGTACRD024909TRADICIONALNUTRESA" u="1"/>
        <s v="IBA1CRD024788CADENASBPO" u="1"/>
        <s v="BARRACT000035TRADICIONALNUTRESA" u="1"/>
        <s v="BARRACT000063TRADICIONALNUTRESA" u="1"/>
        <s v="BARRACT000227TRADICIONALNUTRESA" u="1"/>
        <s v="BARRCRD024877TRADICIONALNUTRESA" u="1"/>
        <s v="BARRCRD024878TRADICIONALNUTRESA" u="1"/>
        <s v="BARRCRD024882TRADICIONALNUTRESA" u="1"/>
        <s v="VILACRD024788TRADICIONALBPO" u="1"/>
        <s v="CARTCRD024967AUTOSERVICIONUTRESA" u="1"/>
        <s v="CARTCRD024968AUTOSERVICIONUTRESA" u="1"/>
        <s v="CARTCRD024969AUTOSERVICIONUTRESA" u="1"/>
        <s v="CARTCRD024970AUTOSERVICIONUTRESA" u="1"/>
        <s v="VILACRD024527AUTOSERVICIONUTRESA" u="1"/>
        <s v="VILACRD024528AUTOSERVICIONUTRESA" u="1"/>
        <s v="VILACRD024692AUTOSERVICIONUTRESA" u="1"/>
        <s v="VILACRD024967AUTOSERVICIONUTRESA" u="1"/>
        <s v="VILACRD024968AUTOSERVICIONUTRESA" u="1"/>
        <s v="VILACRD024969AUTOSERVICIONUTRESA" u="1"/>
        <s v="VILACRD024970AUTOSERVICIONUTRESA" u="1"/>
        <s v="BGTACRD024877TRADICIONALALTILLANO" u="1"/>
        <s v="BGTACRD024887TRADICIONALALTILLANO" u="1"/>
        <s v="BGTACRD024912TRADICIONALALTILLANO" u="1"/>
        <s v="CARTCRD024932CADENASNUTRESA" u="1"/>
        <s v="CARTCRD024933CADENASNUTRESA" u="1"/>
        <s v="CARTCRD024934CADENASNUTRESA" u="1"/>
        <s v="VILACRD024788AUTOSERVICIOBPO" u="1"/>
        <s v="MEDEACT000242TRADICIONALNUTRESA" u="1"/>
        <s v="MEDEACT000400TRADICIONALNUTRESA" u="1"/>
        <s v="MEDEACT000442TRADICIONALNUTRESA" u="1"/>
        <s v="MEDECRD018870TRADICIONALNUTRESA" u="1"/>
        <s v="MEDECRD020909TRADICIONALNUTRESA" u="1"/>
        <s v="MEDECRD021613TRADICIONALNUTRESA" u="1"/>
        <s v="MEDECRD021822TRADICIONALNUTRESA" u="1"/>
        <s v="MEDECRD023178TRADICIONALNUTRESA" u="1"/>
        <s v="MEDECRD023981TRADICIONALNUTRESA" u="1"/>
        <s v="MEDECRD024716TRADICIONALNUTRESA" u="1"/>
        <s v="MEDECRD024795TRADICIONALNUTRESA" u="1"/>
        <s v="MEDECRD024877TRADICIONALNUTRESA" u="1"/>
        <s v="MEDECRD024878TRADICIONALNUTRESA" u="1"/>
        <s v="MEDECRD024882TRADICIONALNUTRESA" u="1"/>
        <s v="MEDECRD024949TRADICIONALNUTRESA" u="1"/>
        <s v="MEDECRD024956TRADICIONALNUTRESA" u="1"/>
        <s v="BGTACRD024469CADENASBPO" u="1"/>
        <s v="BGTACRD024470CADENASBPO" u="1"/>
        <s v="BGTACRD024961CADENASBPO" u="1"/>
        <s v="IBA1CRD024788TRADICIONALBPO" u="1"/>
        <s v="PEREACT000418AUTOSERVICIONUTRESA" u="1"/>
        <s v="PEREACT000484AUTOSERVICIONUTRESA" u="1"/>
        <s v="PEREACT000550AUTOSERVICIONUTRESA" u="1"/>
        <s v="PERECRD024387AUTOSERVICIONUTRESA" u="1"/>
        <s v="PERECRD024388AUTOSERVICIONUTRESA" u="1"/>
        <s v="PERECRD024885AUTOSERVICIONUTRESA" u="1"/>
        <s v="PERECRD024924AUTOSERVICIONUTRESA" u="1"/>
        <s v="PERECRD024925AUTOSERVICIONUTRESA" u="1"/>
        <s v="PERECRD024967AUTOSERVICIONUTRESA" u="1"/>
        <s v="PERECRD024968AUTOSERVICIONUTRESA" u="1"/>
        <s v="PERECRD024969AUTOSERVICIONUTRESA" u="1"/>
        <s v="PERECRD024970AUTOSERVICIONUTRESA" u="1"/>
        <s v="PERECRD024945CADENASNUTRESA" u="1"/>
        <s v="PERECRD024946CADENASNUTRESA" u="1"/>
        <s v="PERECRD024947CADENASNUTRESA" u="1"/>
        <s v="CALIACT000063TRADICIONALNUTRESA" u="1"/>
        <s v="CALICRD023685TRADICIONALNUTRESA" u="1"/>
        <s v="CALICRD024877TRADICIONALNUTRESA" u="1"/>
        <s v="CALICRD024878TRADICIONALNUTRESA" u="1"/>
        <s v="CALICRD024882TRADICIONALNUTRESA" u="1"/>
        <s v="CALICRD024909TRADICIONALNUTRESA" u="1"/>
        <s v="CALICRD024912TRADICIONALNUTRESA" u="1"/>
        <s v="BGTAACT000531AUTOSERVICIOALTILLANO" u="1"/>
        <s v="BGTACRD022322AUTOSERVICIOALTILLANO" u="1"/>
        <s v="BGTACRD024885AUTOSERVICIOALTILLANO" u="1"/>
        <s v="BGTACRD024912AUTOSERVICIOALTILLANO" u="1"/>
        <s v="BGTACRD024967AUTOSERVICIOALTILLANO" u="1"/>
        <s v="BGTACRD024968AUTOSERVICIOALTILLANO" u="1"/>
        <s v="BGTACRD024969AUTOSERVICIOALTILLANO" u="1"/>
        <s v="BGTACRD024970AUTOSERVICIOALTILLANO" u="1"/>
        <s v="IBA1ACT000429AUTOSERVICIONUTRESA" u="1"/>
        <s v="IBA1CRD018193AUTOSERVICIONUTRESA" u="1"/>
        <s v="IBA1CRD024967AUTOSERVICIONUTRESA" u="1"/>
        <s v="IBA1CRD024968AUTOSERVICIONUTRESA" u="1"/>
        <s v="IBA1CRD024969AUTOSERVICIONUTRESA" u="1"/>
        <s v="IBA1CRD024970AUTOSERVICIONUTRESA" u="1"/>
        <s v="IBA1CRD024932CADENASNUTRESA" u="1"/>
        <s v="IBA1CRD024933CADENASNUTRESA" u="1"/>
        <s v="IBA1CRD024934CADENASNUTRESA" u="1"/>
        <s v="IBA1CRD024954CADENASNUTRESA" u="1"/>
        <s v="IBA1CRD024963CADENASNUTRESA" u="1"/>
        <s v="IBA1CRD022322AUTOSERVICIOBPO" u="1"/>
        <s v="IBA1CRD024788AUTOSERVICIOBPO" u="1"/>
        <s v="MEDECRD024584CADENASBPO" u="1"/>
        <s v="MEDECRD024585CADENASBPO" u="1"/>
        <s v="MEDECRD024788CADENASBPO" u="1"/>
        <s v="BUCACRD024877TRADICIONALNUTRESA" u="1"/>
        <s v="BUCACRD024878TRADICIONALNUTRESA" u="1"/>
        <s v="BUCACRD024882TRADICIONALNUTRESA" u="1"/>
        <s v="BARRCRD024788TRADICIONALBPO" u="1"/>
        <s v="BARRCRD024861TRADICIONALBPO" u="1"/>
        <s v="CALICRD019238CADENASBPO" u="1"/>
        <s v="BGTAACT000496AUTOSERVICIONUTRESA" u="1"/>
        <s v="BGTAACT000502AUTOSERVICIONUTRESA" u="1"/>
        <s v="BGTAACT000531AUTOSERVICIONUTRESA" u="1"/>
        <s v="BGTACRD022322AUTOSERVICIONUTRESA" u="1"/>
        <s v="BGTACRD024885AUTOSERVICIONUTRESA" u="1"/>
        <s v="BGTACRD024910AUTOSERVICIONUTRESA" u="1"/>
        <s v="BGTACRD024912AUTOSERVICIONUTRESA" u="1"/>
        <s v="BGTACRD024955AUTOSERVICIONUTRESA" u="1"/>
        <s v="BGTACRD024956AUTOSERVICIONUTRESA" u="1"/>
        <s v="BGTACRD024967AUTOSERVICIONUTRESA" u="1"/>
        <s v="BGTACRD024968AUTOSERVICIONUTRESA" u="1"/>
        <s v="BGTACRD024969AUTOSERVICIONUTRESA" u="1"/>
        <s v="BGTACRD024970AUTOSERVICIONUTRESA" u="1"/>
        <s v="BGTAACT000334CADENASNUTRESA" u="1"/>
        <s v="BGTACRD024669CADENASNUTRESA" u="1"/>
        <s v="BGTACRD024947CADENASNUTRESA" u="1"/>
        <s v="BGTACRD024951CADENASNUTRESA" u="1"/>
        <s v="BGTACRD024954CADENASNUTRESA" u="1"/>
        <s v="BGTACRD024469AUTOSERVICIOBPO" u="1"/>
        <s v="BGTACRD024470AUTOSERVICIOBPO" u="1"/>
        <s v="BGTACRD024961AUTOSERVICIOBPO" u="1"/>
        <s v="BGTACRD024997AUTOSERVICIOBPO" u="1"/>
        <s v="BARRACT000441AUTOSERVICIONUTRESA" u="1"/>
        <s v="BARRACT000498AUTOSERVICIONUTRESA" u="1"/>
        <s v="BARRACT000500AUTOSERVICIONUTRESA" u="1"/>
        <s v="BARRACT000501AUTOSERVICIONUTRESA" u="1"/>
        <s v="BARRCRD024967AUTOSERVICIONUTRESA" u="1"/>
        <s v="BARRCRD024968AUTOSERVICIONUTRESA" u="1"/>
        <s v="BARRCRD024969AUTOSERVICIONUTRESA" u="1"/>
        <s v="BARRCRD024970AUTOSERVICIONUTRESA" u="1"/>
        <s v="BARRCRD024905CADENASNUTRESA" u="1"/>
        <s v="BARRCRD024932CADENASNUTRESA" u="1"/>
        <s v="BARRCRD024933CADENASNUTRESA" u="1"/>
        <s v="BARRCRD024934CADENASNUTRESA" u="1"/>
        <s v="BARRCRD024945CADENASNUTRESA" u="1"/>
        <s v="BARRCRD024946CADENASNUTRESA" u="1"/>
        <s v="BARRCRD024953CADENASNUTRESA" u="1"/>
        <s v="BARRCRD024954CADENASNUTRESA" u="1"/>
        <s v="BARRCRD023110AUTOSERVICIOBPO" u="1"/>
        <s v="BARRCRD024861AUTOSERVICIOBPO" u="1"/>
        <s v="MEDECRD024788TRADICIONALBPO" u="1"/>
        <s v="CARTACT000035TRADICIONALNUTRESA" u="1"/>
        <s v="CARTACT000303TRADICIONALNUTRESA" u="1"/>
        <s v="CARTCRD018324TRADICIONALNUTRESA" u="1"/>
        <s v="CARTCRD018325TRADICIONALNUTRESA" u="1"/>
        <s v="CARTCRD024877TRADICIONALNUTRESA" u="1"/>
        <s v="CARTCRD024878TRADICIONALNUTRESA" u="1"/>
        <s v="CARTCRD024882TRADICIONALNUTRESA" u="1"/>
        <s v="VILACRD012606TRADICIONALNUTRESA" u="1"/>
        <s v="VILACRD024877TRADICIONALNUTRESA" u="1"/>
        <s v="VILACRD024878TRADICIONALNUTRESA" u="1"/>
        <s v="VILACRD024882TRADICIONALNUTRESA" u="1"/>
        <s v="BUCACRD024180CADENASBPO" u="1"/>
        <s v="MEDEACT000003AUTOSERVICIONUTRESA" u="1"/>
        <s v="MEDEACT000352AUTOSERVICIONUTRESA" u="1"/>
        <s v="MEDEACT000457AUTOSERVICIONUTRESA" u="1"/>
        <s v="MEDECRD020473AUTOSERVICIONUTRESA" u="1"/>
        <s v="MEDECRD022887AUTOSERVICIONUTRESA" u="1"/>
        <s v="MEDECRD023094AUTOSERVICIONUTRESA" u="1"/>
        <s v="MEDECRD023165AUTOSERVICIONUTRESA" u="1"/>
        <s v="MEDECRD023166AUTOSERVICIONUTRESA" u="1"/>
        <s v="MEDECRD023894AUTOSERVICIONUTRESA" u="1"/>
        <s v="MEDECRD024874AUTOSERVICIONUTRESA" u="1"/>
        <s v="MEDECRD024908AUTOSERVICIONUTRESA" u="1"/>
        <s v="MEDECRD024912AUTOSERVICIONUTRESA" u="1"/>
        <s v="MEDECRD024924AUTOSERVICIONUTRESA" u="1"/>
        <s v="MEDECRD024925AUTOSERVICIONUTRESA" u="1"/>
        <s v="MEDECRD024955AUTOSERVICIONUTRESA" u="1"/>
        <s v="MEDECRD024967AUTOSERVICIONUTRESA" u="1"/>
        <s v="MEDECRD024968AUTOSERVICIONUTRESA" u="1"/>
        <s v="MEDECRD024969AUTOSERVICIONUTRESA" u="1"/>
        <s v="MEDECRD024970AUTOSERVICIONUTRESA" u="1"/>
        <s v="MEDECRD024932CADENASNUTRESA" u="1"/>
        <s v="MEDECRD024933CADENASNUTRESA" u="1"/>
        <s v="MEDECRD024934CADENASNUTRESA" u="1"/>
        <s v="MEDECRD024945CADENASNUTRESA" u="1"/>
        <s v="MEDECRD024946CADENASNUTRESA" u="1"/>
        <s v="MEDECRD024947CADENASNUTRESA" u="1"/>
        <s v="MEDECRD024954CADENASNUTRESA" u="1"/>
        <s v="MEDECRD024957CADENASNUTRESA" u="1"/>
        <s v="MEDECRD023109AUTOSERVICIOBPO" u="1"/>
        <s v="MEDECRD024788AUTOSERVICIOBPO" u="1"/>
        <s v="PEREACT000071TRADICIONALNUTRESA" u="1"/>
        <s v="PEREACT000300TRADICIONALNUTRESA" u="1"/>
        <s v="PERECRD024716TRADICIONALNUTRESA" u="1"/>
        <s v="PERECRD024877TRADICIONALNUTRESA" u="1"/>
        <s v="PERECRD024878TRADICIONALNUTRESA" u="1"/>
        <s v="PERECRD024882TRADICIONALNUTRESA" u="1"/>
        <s v="PERECRD024887TRADICIONALNUTRESA" u="1"/>
        <s v="CALICRD020501AUTOSERVICIONUTRESA" u="1"/>
        <s v="CALICRD023546AUTOSERVICIONUTRESA" u="1"/>
        <s v="CALICRD024910AUTOSERVICIONUTRESA" u="1"/>
        <s v="CALICRD024912AUTOSERVICIONUTRESA" u="1"/>
        <s v="CALICRD024967AUTOSERVICIONUTRESA" u="1"/>
        <s v="CALICRD024968AUTOSERVICIONUTRESA" u="1"/>
        <s v="CALICRD024969AUTOSERVICIONUTRESA" u="1"/>
        <s v="CALICRD024970AUTOSERVICIONUTRESA" u="1"/>
        <s v="IBA1ACT000035TRADICIONALNUTRESA" u="1"/>
        <s v="IBA1CRD018870TRADICIONALNUTRESA" u="1"/>
        <s v="IBA1CRD020909TRADICIONALNUTRESA" u="1"/>
        <s v="IBA1CRD021822TRADICIONALNUTRESA" u="1"/>
        <s v="IBA1CRD022870TRADICIONALNUTRESA" u="1"/>
        <s v="IBA1CRD024795TRADICIONALNUTRESA" u="1"/>
        <s v="IBA1CRD024877TRADICIONALNUTRESA" u="1"/>
        <s v="IBA1CRD024878TRADICIONALNUTRESA" u="1"/>
        <s v="IBA1CRD024882TRADICIONALNUTRESA" u="1"/>
        <s v="IBA1CRD024948TRADICIONALNUTRESA" u="1"/>
        <s v="IBA1CRD024949TRADICIONALNUTRESA" u="1"/>
        <s v="CALICRD024945CADENASNUTRESA" u="1"/>
        <s v="CALICRD024946CADENASNUTRESA" u="1"/>
        <s v="CALICRD024947CADENASNUTRESA" u="1"/>
        <s v="CALICRD024954CADENASNUTRESA" u="1"/>
        <s v="CALICRD019238AUTOSERVICIOBPO" u="1"/>
      </sharedItems>
    </cacheField>
    <cacheField name="punto" numFmtId="0">
      <sharedItems/>
    </cacheField>
    <cacheField name="recepcion" numFmtId="0">
      <sharedItems containsSemiMixedTypes="0" containsString="0" containsNumber="1" containsInteger="1" minValue="1528" maxValue="64466"/>
    </cacheField>
    <cacheField name="proveedor" numFmtId="0">
      <sharedItems/>
    </cacheField>
    <cacheField name="nombre_proveedor" numFmtId="0">
      <sharedItems/>
    </cacheField>
    <cacheField name="fecha" numFmtId="14">
      <sharedItems containsSemiMixedTypes="0" containsNonDate="0" containsDate="1" containsString="0" minDate="2021-11-27T00:00:00" maxDate="2021-12-23T00:00:00"/>
    </cacheField>
    <cacheField name="estado" numFmtId="0">
      <sharedItems/>
    </cacheField>
    <cacheField name="bodega" numFmtId="0">
      <sharedItems/>
    </cacheField>
    <cacheField name="muelle" numFmtId="0">
      <sharedItems containsSemiMixedTypes="0" containsString="0" containsNumber="1" containsInteger="1" minValue="1" maxValue="1"/>
    </cacheField>
    <cacheField name="placa" numFmtId="0">
      <sharedItems/>
    </cacheField>
    <cacheField name="usuario_legaliza" numFmtId="0">
      <sharedItems containsBlank="1"/>
    </cacheField>
    <cacheField name="fecha_legaliza" numFmtId="0">
      <sharedItems/>
    </cacheField>
    <cacheField name="planilla" numFmtId="0">
      <sharedItems containsMixedTypes="1" containsNumber="1" containsInteger="1" minValue="0" maxValue="1"/>
    </cacheField>
    <cacheField name="numero_guia" numFmtId="0">
      <sharedItems containsMixedTypes="1" containsNumber="1" containsInteger="1" minValue="0" maxValue="999070481026"/>
    </cacheField>
    <cacheField name="observacion" numFmtId="0">
      <sharedItems/>
    </cacheField>
    <cacheField name="tipo_producto" numFmtId="0">
      <sharedItems/>
    </cacheField>
    <cacheField name="articulo" numFmtId="0">
      <sharedItems count="255">
        <s v="CRD024947"/>
        <s v="ACT000300"/>
        <s v="CRD024843"/>
        <s v="CRD024845"/>
        <s v="CRD024844"/>
        <s v="CRD024842"/>
        <s v="CRD024124"/>
        <s v="CRD024849"/>
        <s v="CRD025003"/>
        <s v="CRD024648"/>
        <s v="ACT000436"/>
        <s v="CRD025017"/>
        <s v="CRD024645"/>
        <s v="CRD024647"/>
        <s v="CRD024644"/>
        <s v="CRD024646"/>
        <s v="CRD025004"/>
        <s v="CRD025001"/>
        <s v="CRD025002"/>
        <s v="CRD025008"/>
        <s v="CRD025009"/>
        <s v="CRD025010"/>
        <s v="CRD024643"/>
        <s v="CRD024847"/>
        <s v="CRD024262"/>
        <s v="CRD024971"/>
        <s v="CRD025006"/>
        <s v="CRD020181"/>
        <s v="CRD008430"/>
        <s v="CRD025013"/>
        <s v="CRD025015"/>
        <s v="CRD025014"/>
        <s v="CRD025012"/>
        <s v="CRD025023"/>
        <s v="CRD019238"/>
        <s v="ACT000225"/>
        <s v="CRD025016"/>
        <s v="CRD025021"/>
        <s v="CRD019356"/>
        <s v="CRD019355"/>
        <s v="CRD019354"/>
        <s v="CRD019353"/>
        <s v="CRD025041"/>
        <s v="CRD024946"/>
        <s v="ACT000120"/>
        <s v="CRD022670"/>
        <s v="CRD016151"/>
        <s v="CRD014117"/>
        <s v="CRD024981"/>
        <s v="CRD012726"/>
        <s v="CRD012721"/>
        <s v="CRD012719"/>
        <s v="CRD002384"/>
        <s v="CRD001185"/>
        <s v="CRD021829"/>
        <s v="CRD012466"/>
        <s v="CRD023444"/>
        <s v="CRD025007"/>
        <s v="CRD024830"/>
        <s v="CRD024126"/>
        <s v="CRD018765"/>
        <s v="CRD024945"/>
        <s v="CRD024353"/>
        <s v="CRD025005"/>
        <s v="CRD024788"/>
        <s v="CRD025022"/>
        <s v="CRD025039"/>
        <s v="CRD025020"/>
        <s v="CRD025040"/>
        <s v="CRD022322"/>
        <s v="CRD023535"/>
        <s v="ACT000035"/>
        <s v="CRD018324"/>
        <s v="CRD018325"/>
        <s v="CRD024953"/>
        <s v="CRD023611"/>
        <s v="CRD023405"/>
        <s v="CRD014118"/>
        <s v="CRD014120"/>
        <s v="CRD019868"/>
        <s v="CRD021350"/>
        <s v="CRD021973"/>
        <s v="CRD025026"/>
        <s v="ACT000176"/>
        <s v="ACT000063"/>
        <s v="CRD008369"/>
        <s v="CRD024642"/>
        <s v="CRD012773"/>
        <s v="CRD007133"/>
        <s v="CRD024657"/>
        <s v="CRD024397"/>
        <s v="ACT000435"/>
        <s v="ACT000075"/>
        <s v="CRD023531"/>
        <s v="CRD024889"/>
        <s v="CRD024162"/>
        <s v="CRD023141"/>
        <s v="ACT000434"/>
        <s v="ACT000433"/>
        <s v="ACT000454"/>
        <s v="ACT000441"/>
        <s v="ACT000444"/>
        <s v="CRD021225"/>
        <s v="CRD020036"/>
        <s v="CRD017903"/>
        <s v="CRD015545"/>
        <s v="CRD022526"/>
        <s v="CRD012718"/>
        <s v="CRD012660"/>
        <s v="CRD010924"/>
        <s v="CRD010050"/>
        <s v="CRD009297"/>
        <s v="CRD003938"/>
        <s v="CRD003573"/>
        <s v="CRD000698"/>
        <s v="CRD023690"/>
        <s v="CRD001544"/>
        <s v="CRD024366"/>
        <s v="CRD023781"/>
        <s v="CRD001182"/>
        <s v="CRD004411"/>
        <s v="ACT000071"/>
        <s v="CRD024979"/>
        <s v="CRD023414"/>
        <s v="CRD024388"/>
        <s v="CRD024387"/>
        <s v="ACT000377"/>
        <s v="CRD022273"/>
        <s v="ACT000007"/>
        <s v="CRD014424"/>
        <s v="CRD014119"/>
        <s v="CRD014116"/>
        <s v="CRD024999"/>
        <s v="ACT000244"/>
        <s v="CRD019458"/>
        <s v="ACT000017"/>
        <s v="ACT000378"/>
        <s v="CRD021334"/>
        <s v="CRD021331"/>
        <s v="ACT000279"/>
        <s v="ACT000430"/>
        <s v="ACT000423"/>
        <s v="CRD024443"/>
        <s v="CRD024980"/>
        <s v="CRD020854"/>
        <s v="CRD008623"/>
        <s v="ACT000091"/>
        <s v="CRD023981"/>
        <s v="CRD016669"/>
        <s v="ACT000451"/>
        <s v="CRD024997"/>
        <s v="CRD024895"/>
        <s v="CRD025011"/>
        <s v="CRD024994"/>
        <s v="CRD024995"/>
        <s v="CRD024993"/>
        <s v="CRD024996"/>
        <s v="CRD023301"/>
        <s v="ACT000499"/>
        <s v="ACT000027"/>
        <s v="CRD022897"/>
        <s v="CRD023598"/>
        <s v="CRD023597"/>
        <s v="CRD023685"/>
        <s v="CRD000911"/>
        <s v="CRD020909"/>
        <s v="CRD024908"/>
        <s v="CRD024955"/>
        <s v="CRD024956"/>
        <s v="CRD024874"/>
        <s v="CRD015482"/>
        <s v="CRD022568"/>
        <s v="CRD000245"/>
        <s v="CRD013796"/>
        <s v="CRD023441"/>
        <s v="CRD003574"/>
        <s v="CRD003576"/>
        <s v="CRD024517"/>
        <s v="CRD009805"/>
        <s v="CRD003973"/>
        <s v="CRD003605"/>
        <s v="CRD025018"/>
        <s v="CRD024470" u="1"/>
        <s v="CRD024968" u="1"/>
        <s v="CRD024924" u="1"/>
        <s v="ACT000498" u="1"/>
        <s v="ACT000501" u="1"/>
        <s v="CRD024877" u="1"/>
        <s v="CRD024949" u="1"/>
        <s v="CRD023094" u="1"/>
        <s v="CRD024692" u="1"/>
        <s v="CRD024861" u="1"/>
        <s v="CRD024905" u="1"/>
        <s v="ACT000429" u="1"/>
        <s v="CRD023166" u="1"/>
        <s v="CRD022870" u="1"/>
        <s v="CRD024933" u="1"/>
        <s v="ACT000003" u="1"/>
        <s v="ACT000457" u="1"/>
        <s v="CRD024961" u="1"/>
        <s v="CRD024795" u="1"/>
        <s v="CRD021613" u="1"/>
        <s v="CRD024970" u="1"/>
        <s v="ACT000400" u="1"/>
        <s v="CRD023178" u="1"/>
        <s v="CRD024585" u="1"/>
        <s v="CRD024967" u="1"/>
        <s v="ACT000303" u="1"/>
        <s v="ACT000500" u="1"/>
        <s v="CRD024951" u="1"/>
        <s v="ACT000550" u="1"/>
        <s v="CRD023109" u="1"/>
        <s v="CRD024948" u="1"/>
        <s v="CRD024469" u="1"/>
        <s v="CRD024882" u="1"/>
        <s v="ACT000334" u="1"/>
        <s v="CRD023165" u="1"/>
        <s v="CRD024954" u="1"/>
        <s v="CRD024932" u="1"/>
        <s v="ACT000531" u="1"/>
        <s v="CRD021822" u="1"/>
        <s v="CRD024910" u="1"/>
        <s v="CRD024885" u="1"/>
        <s v="ACT000484" u="1"/>
        <s v="CRD024716" u="1"/>
        <s v="CRD024957" u="1"/>
        <s v="CRD024669" u="1"/>
        <s v="CRD018870" u="1"/>
        <s v="CRD023894" u="1"/>
        <s v="CRD024963" u="1"/>
        <s v="CRD024528" u="1"/>
        <s v="CRD024584" u="1"/>
        <s v="ACT000227" u="1"/>
        <s v="ACT000418" u="1"/>
        <s v="CRD024180" u="1"/>
        <s v="ACT000352" u="1"/>
        <s v="ACT000496" u="1"/>
        <s v="CRD024969" u="1"/>
        <s v="CRD012606" u="1"/>
        <s v="CRD024925" u="1"/>
        <s v="ACT000502" u="1"/>
        <s v="CRD023546" u="1"/>
        <s v="CRD024878" u="1"/>
        <s v="CRD022887" u="1"/>
        <s v="ACT000242" u="1"/>
        <s v="CRD018193" u="1"/>
        <s v="CRD024934" u="1"/>
        <s v="CRD024912" u="1"/>
        <s v="CRD024887" u="1"/>
        <s v="CRD024527" u="1"/>
        <s v="CRD024909" u="1"/>
        <s v="ACT000442" u="1"/>
        <s v="CRD020473" u="1"/>
        <s v="CRD020501" u="1"/>
        <s v="CRD023110" u="1"/>
      </sharedItems>
    </cacheField>
    <cacheField name="referencia_proveedor" numFmtId="0">
      <sharedItems/>
    </cacheField>
    <cacheField name="nombre" numFmtId="0">
      <sharedItems/>
    </cacheField>
    <cacheField name="presentacion" numFmtId="0">
      <sharedItems/>
    </cacheField>
    <cacheField name="codigo_barra" numFmtId="0">
      <sharedItems containsBlank="1"/>
    </cacheField>
    <cacheField name="cantidad" numFmtId="3">
      <sharedItems containsSemiMixedTypes="0" containsString="0" containsNumber="1" containsInteger="1" minValue="1000000" maxValue="61110000000"/>
    </cacheField>
    <cacheField name="cantidad_almacenada" numFmtId="0">
      <sharedItems containsMixedTypes="1" containsNumber="1" containsInteger="1" minValue="1000000" maxValue="61110000000"/>
    </cacheField>
    <cacheField name="cantidad_por_almacenar" numFmtId="0">
      <sharedItems containsMixedTypes="1" containsNumber="1" containsInteger="1" minValue="1000000" maxValue="1000000"/>
    </cacheField>
    <cacheField name="serie" numFmtId="0">
      <sharedItems containsSemiMixedTypes="0" containsString="0" containsNumber="1" containsInteger="1" minValue="0" maxValue="183733"/>
    </cacheField>
    <cacheField name="lote" numFmtId="0">
      <sharedItems containsMixedTypes="1" containsNumber="1" containsInteger="1" minValue="0" maxValue="0"/>
    </cacheField>
    <cacheField name="documento1" numFmtId="0">
      <sharedItems count="3">
        <s v="CADENAS"/>
        <s v="TRADICIONAL"/>
        <s v="AUTOSERVICIO"/>
      </sharedItems>
    </cacheField>
    <cacheField name="documento2" numFmtId="0">
      <sharedItems/>
    </cacheField>
    <cacheField name="estado_articulo" numFmtId="0">
      <sharedItems/>
    </cacheField>
    <cacheField name="fecha_vencimiento_ing" numFmtId="0">
      <sharedItems containsNonDate="0" containsDate="1" containsString="0" containsBlank="1" minDate="2022-02-06T00:00:00" maxDate="2025-08-12T00:00:00"/>
    </cacheField>
    <cacheField name="fecha_fabricacion" numFmtId="0">
      <sharedItems containsNonDate="0" containsString="0" containsBlank="1"/>
    </cacheField>
    <cacheField name="fecha_vencimiento" numFmtId="0">
      <sharedItems containsNonDate="0" containsDate="1" containsString="0" containsBlank="1" minDate="2022-02-06T00:00:00" maxDate="2025-08-12T00:00:00"/>
    </cacheField>
    <cacheField name="sscc" numFmtId="0">
      <sharedItems containsNonDate="0" containsString="0" containsBlank="1"/>
    </cacheField>
    <cacheField name="usuario_insercion" numFmtId="0">
      <sharedItems/>
    </cacheField>
    <cacheField name="fecha_insercion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saveData="0" refreshedBy="Practicante Direccion de Servicio Cordialsa Colombia" refreshedDate="44553.561360185187" createdVersion="3" refreshedVersion="6" minRefreshableVersion="3" recordCount="1">
  <cacheSource type="worksheet">
    <worksheetSource ref="A1:AG2" sheet="Base de Datos"/>
  </cacheSource>
  <cacheFields count="34">
    <cacheField name="BODEGA" numFmtId="0">
      <sharedItems/>
    </cacheField>
    <cacheField name="BUSCADOR" numFmtId="0">
      <sharedItems/>
    </cacheField>
    <cacheField name="CÓDIGO" numFmtId="0">
      <sharedItems/>
    </cacheField>
    <cacheField name="DESCRIPCIÓN" numFmtId="0">
      <sharedItems/>
    </cacheField>
    <cacheField name="PROVEEDOR" numFmtId="0">
      <sharedItems/>
    </cacheField>
    <cacheField name="ASIGNACION" numFmtId="0">
      <sharedItems containsSemiMixedTypes="0" containsString="0" containsNumber="1" containsInteger="1" minValue="1" maxValue="1"/>
    </cacheField>
    <cacheField name="INICIATIVA" numFmtId="0">
      <sharedItems count="19">
        <s v="BEBIDAS VEGETALES TOSH"/>
        <s v="EXHIBIDOR LA ESPECIAL CAVA OLÍMPICA BELÉN" u="1"/>
        <s v="IMAGEN MUEBLE AUTODEGUSTADOR" u="1"/>
        <s v="REJILLA AUTOSOPORTADA LA ESPECIAL" u="1"/>
        <s v="POP ADICIONAL AU" u="1"/>
        <s v="PLAN CAJERO MONTBLANC" u="1"/>
        <s v="PEDIDO KIT CAFE AU" u="1"/>
        <s v="MUEBLES NAVIDAD FARMATODO" u="1"/>
        <s v="CHOCOLISTO MAS CONTENIDO GRATIS" u="1"/>
        <s v="CARULLA EN FAMILIA" u="1"/>
        <s v="VESTIDOS MUEBLES CORONA /MAGDE" u="1"/>
        <s v="PLAN MATE LA ESPECIAL" u="1"/>
        <s v="MATIZ" u="1"/>
        <s v="REJILLAS BENET PANAMERICANA" u="1"/>
        <s v="ESTIBA AUTOMUESTREO" u="1"/>
        <s v="RISTRA BEBIDAS TOSH" u="1"/>
        <s v="NAVIDAD NOEL 2021" u="1"/>
        <s v="SHIPPER NAVIDAD CHOCOLATES 2021" u="1"/>
        <s v="NAVIDAD LARGA VIDA 2021" u="1"/>
      </sharedItems>
    </cacheField>
    <cacheField name="CANAL" numFmtId="0">
      <sharedItems/>
    </cacheField>
    <cacheField name="DOCUMENTO 2" numFmtId="0">
      <sharedItems/>
    </cacheField>
    <cacheField name="TIPO" numFmtId="0">
      <sharedItems count="2">
        <s v="MATERIAL POP"/>
        <s v="MUEBLE EXHIBICION" u="1"/>
      </sharedItems>
    </cacheField>
    <cacheField name="DESPACHO/DIA CERO" numFmtId="14">
      <sharedItems containsSemiMixedTypes="0" containsNonDate="0" containsDate="1" containsString="0" minDate="2021-09-29T00:00:00" maxDate="2022-01-16T00:00:00" count="14">
        <d v="2021-11-17T00:00:00"/>
        <d v="2021-11-23T00:00:00" u="1"/>
        <d v="2021-11-16T00:00:00" u="1"/>
        <d v="2021-11-26T00:00:00" u="1"/>
        <d v="2021-11-12T00:00:00" u="1"/>
        <d v="2021-11-05T00:00:00" u="1"/>
        <d v="2021-12-29T00:00:00" u="1"/>
        <d v="2021-11-10T00:00:00" u="1"/>
        <d v="2022-01-03T00:00:00" u="1"/>
        <d v="2022-01-15T00:00:00" u="1"/>
        <d v="2021-10-22T00:00:00" u="1"/>
        <d v="2021-09-29T00:00:00" u="1"/>
        <d v="2021-11-13T00:00:00" u="1"/>
        <d v="2021-11-18T00:00:00" u="1"/>
      </sharedItems>
    </cacheField>
    <cacheField name="DIA CERO PLUS" numFmtId="14">
      <sharedItems containsNonDate="0" containsDate="1" containsBlank="1" containsMixedTypes="1" minDate="2021-11-01T00:00:00" maxDate="2021-12-02T00:00:00" count="8">
        <d v="2021-11-17T00:00:00"/>
        <m u="1"/>
        <d v="2021-11-16T00:00:00" u="1"/>
        <s v="PENDIENTE" u="1"/>
        <d v="2021-12-01T00:00:00" u="1"/>
        <d v="2021-11-15T00:00:00" u="1"/>
        <d v="2021-11-01T00:00:00" u="1"/>
        <d v="2021-11-25T00:00:00" u="1"/>
      </sharedItems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/>
    </cacheField>
    <cacheField name="DIA INFO" numFmtId="0">
      <sharedItems containsNonDate="0" containsString="0" containsBlank="1"/>
    </cacheField>
    <cacheField name="BUSCADOR2" numFmtId="0">
      <sharedItems/>
    </cacheField>
    <cacheField name="INGRESADO" numFmtId="0">
      <sharedItems containsNonDate="0" containsString="0" containsBlank="1"/>
    </cacheField>
    <cacheField name="SALDO" numFmtId="0">
      <sharedItems containsNonDate="0" containsString="0" containsBlank="1"/>
    </cacheField>
    <cacheField name="% CUM ING" numFmtId="9">
      <sharedItems containsSemiMixedTypes="0" containsString="0" containsNumber="1" containsInteger="1" minValue="0" maxValue="0"/>
    </cacheField>
    <cacheField name="EVACUADO" numFmtId="0">
      <sharedItems containsSemiMixedTypes="0" containsString="0" containsNumber="1" containsInteger="1" minValue="0" maxValue="0"/>
    </cacheField>
    <cacheField name="% CUM EVAC" numFmtId="9">
      <sharedItems containsSemiMixedTypes="0" containsString="0" containsNumber="1" containsInteger="1" minValue="0" maxValue="0"/>
    </cacheField>
    <cacheField name="Novedad2" numFmtId="0">
      <sharedItems containsNonDate="0" containsString="0" containsBlank="1"/>
    </cacheField>
    <cacheField name="largo" numFmtId="0">
      <sharedItems containsSemiMixedTypes="0" containsString="0" containsNumber="1" containsInteger="1" minValue="6000000" maxValue="6000000"/>
    </cacheField>
    <cacheField name="ancho" numFmtId="0">
      <sharedItems containsSemiMixedTypes="0" containsString="0" containsNumber="1" containsInteger="1" minValue="30000000" maxValue="30000000"/>
    </cacheField>
    <cacheField name="alto" numFmtId="0">
      <sharedItems containsSemiMixedTypes="0" containsString="0" containsNumber="1" containsInteger="1" minValue="0" maxValue="0"/>
    </cacheField>
    <cacheField name="Volumen" numFmtId="0">
      <sharedItems containsSemiMixedTypes="0" containsString="0" containsNumber="1" containsInteger="1" minValue="1.8E+22" maxValue="1.8E+22"/>
    </cacheField>
    <cacheField name="Volumen Total" numFmtId="0">
      <sharedItems containsSemiMixedTypes="0" containsString="0" containsNumber="1" containsInteger="1" minValue="1.8E+22" maxValue="1.8E+22"/>
    </cacheField>
    <cacheField name="Calculo de posiciones" numFmtId="0">
      <sharedItems containsSemiMixedTypes="0" containsString="0" containsNumber="1" containsInteger="1" minValue="1.25E+16" maxValue="1.25E+16"/>
    </cacheField>
    <cacheField name="FECHA LÍMITE DE INGRESO " numFmtId="14">
      <sharedItems containsSemiMixedTypes="0" containsNonDate="0" containsDate="1" containsString="0" minDate="2021-11-21T00:00:00" maxDate="2021-11-22T00:00:00"/>
    </cacheField>
    <cacheField name="ALERTA" numFmtId="0">
      <sharedItems/>
    </cacheField>
    <cacheField name="Fecha hoy" numFmtId="14">
      <sharedItems containsSemiMixedTypes="0" containsNonDate="0" containsDate="1" containsString="0" minDate="2021-12-23T00:00:00" maxDate="2021-12-24T00:00:00"/>
    </cacheField>
    <cacheField name="Dias restantes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81"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6000000"/>
    <n v="30000000"/>
    <n v="0"/>
    <n v="1.8E+22"/>
    <n v="1.8E+22"/>
    <n v="1.25E+16"/>
    <d v="2021-11-21T00:00:00"/>
    <e v="#REF!"/>
    <d v="2021-12-23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3"/>
    <s v="CALI"/>
    <x v="0"/>
    <x v="0"/>
    <s v="OPEN MIND"/>
    <n v="4"/>
    <x v="0"/>
    <x v="0"/>
    <s v="NUTRESA"/>
    <x v="0"/>
    <d v="2021-11-17T00:00:00"/>
    <d v="2021-11-17T00:00:00"/>
    <m/>
    <m/>
    <x v="0"/>
    <x v="0"/>
    <s v="CALICRD024952CADENASNUTRESA"/>
    <x v="0"/>
    <m/>
    <n v="0"/>
    <n v="0"/>
    <n v="0"/>
    <m/>
    <n v="6000000"/>
    <n v="30000000"/>
    <n v="0"/>
    <n v="3000"/>
    <n v="12000"/>
    <n v="8.3333333333333332E-3"/>
    <d v="2021-11-21T00:00:00"/>
    <e v="#REF!"/>
    <d v="2021-12-23T00:00:00"/>
    <m/>
  </r>
  <r>
    <x v="4"/>
    <s v="CART"/>
    <x v="0"/>
    <x v="0"/>
    <s v="OPEN MIND"/>
    <n v="1"/>
    <x v="0"/>
    <x v="0"/>
    <s v="NUTRESA"/>
    <x v="0"/>
    <d v="2021-11-17T00:00:00"/>
    <d v="2021-11-17T00:00:00"/>
    <m/>
    <m/>
    <x v="0"/>
    <x v="0"/>
    <s v="CAR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5"/>
    <s v="MEDE"/>
    <x v="0"/>
    <x v="0"/>
    <s v="OPEN MIND"/>
    <n v="5"/>
    <x v="0"/>
    <x v="0"/>
    <s v="NUTRESA"/>
    <x v="0"/>
    <d v="2021-11-17T00:00:00"/>
    <d v="2021-11-17T00:00:00"/>
    <m/>
    <m/>
    <x v="0"/>
    <x v="0"/>
    <s v="MEDE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0"/>
    <s v="BARR"/>
    <x v="1"/>
    <x v="1"/>
    <s v="PAPELCARD"/>
    <n v="150"/>
    <x v="1"/>
    <x v="0"/>
    <s v="NUTRESA"/>
    <x v="0"/>
    <d v="2021-11-23T00:00:00"/>
    <d v="2021-12-01T00:00:00"/>
    <m/>
    <m/>
    <x v="0"/>
    <x v="0"/>
    <s v="BARRCRD024947CADENASNUTRESA"/>
    <x v="0"/>
    <m/>
    <n v="0"/>
    <n v="0"/>
    <n v="0"/>
    <m/>
    <n v="0.01"/>
    <n v="11000000"/>
    <n v="0"/>
    <n v="1.21"/>
    <n v="181.5"/>
    <n v="1.2604166666666666E-4"/>
    <d v="2021-11-27T00:00:00"/>
    <e v="#REF!"/>
    <d v="2021-12-23T00:00:00"/>
    <m/>
  </r>
  <r>
    <x v="1"/>
    <s v="BGTA"/>
    <x v="1"/>
    <x v="1"/>
    <s v="PAPELCARD"/>
    <n v="400"/>
    <x v="1"/>
    <x v="0"/>
    <s v="NUTRESA"/>
    <x v="0"/>
    <d v="2021-11-23T00:00:00"/>
    <d v="2021-12-01T00:00:00"/>
    <m/>
    <m/>
    <x v="0"/>
    <x v="0"/>
    <s v="BGTACRD024947CADENASNUTRESA"/>
    <x v="0"/>
    <m/>
    <n v="0"/>
    <n v="0"/>
    <n v="0"/>
    <m/>
    <n v="0.01"/>
    <n v="11000000"/>
    <n v="0"/>
    <n v="1.21"/>
    <n v="484"/>
    <n v="3.3611111111111114E-4"/>
    <d v="2021-11-27T00:00:00"/>
    <e v="#REF!"/>
    <d v="2021-12-23T00:00:00"/>
    <m/>
  </r>
  <r>
    <x v="3"/>
    <s v="CALI"/>
    <x v="1"/>
    <x v="1"/>
    <s v="PAPELCARD"/>
    <n v="50"/>
    <x v="1"/>
    <x v="0"/>
    <s v="NUTRESA"/>
    <x v="0"/>
    <d v="2021-11-23T00:00:00"/>
    <d v="2021-12-01T00:00:00"/>
    <m/>
    <m/>
    <x v="0"/>
    <x v="0"/>
    <s v="CALI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4"/>
    <s v="CART"/>
    <x v="1"/>
    <x v="1"/>
    <s v="PAPELCARD"/>
    <n v="50"/>
    <x v="1"/>
    <x v="0"/>
    <s v="NUTRESA"/>
    <x v="0"/>
    <d v="2021-11-23T00:00:00"/>
    <d v="2021-12-01T00:00:00"/>
    <m/>
    <m/>
    <x v="0"/>
    <x v="0"/>
    <s v="CART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5"/>
    <s v="MEDE"/>
    <x v="1"/>
    <x v="1"/>
    <s v="PAPELCARD"/>
    <n v="150"/>
    <x v="1"/>
    <x v="0"/>
    <s v="NUTRESA"/>
    <x v="0"/>
    <d v="2021-11-23T00:00:00"/>
    <d v="2021-12-01T00:00:00"/>
    <m/>
    <m/>
    <x v="0"/>
    <x v="0"/>
    <s v="MEDECRD024947CADENASNUTRESA"/>
    <x v="0"/>
    <m/>
    <n v="0"/>
    <n v="0"/>
    <n v="0"/>
    <m/>
    <n v="0.01"/>
    <n v="11000000"/>
    <n v="0"/>
    <n v="1.21"/>
    <n v="181.5"/>
    <n v="1.2604166666666666E-4"/>
    <d v="2021-11-27T00:00:00"/>
    <e v="#REF!"/>
    <d v="2021-12-23T00:00:00"/>
    <m/>
  </r>
  <r>
    <x v="6"/>
    <s v="PERE"/>
    <x v="1"/>
    <x v="1"/>
    <s v="PAPELCARD"/>
    <n v="50"/>
    <x v="1"/>
    <x v="0"/>
    <s v="NUTRESA"/>
    <x v="0"/>
    <d v="2021-11-23T00:00:00"/>
    <d v="2021-12-01T00:00:00"/>
    <m/>
    <m/>
    <x v="0"/>
    <x v="0"/>
    <s v="PERE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0"/>
    <s v="BARR"/>
    <x v="2"/>
    <x v="2"/>
    <s v="POP"/>
    <n v="2"/>
    <x v="1"/>
    <x v="0"/>
    <s v="NUTRESA"/>
    <x v="0"/>
    <d v="2021-11-23T00:00:00"/>
    <d v="2021-12-01T00:00:00"/>
    <m/>
    <m/>
    <x v="0"/>
    <x v="0"/>
    <s v="BARRCRD024945CADENASNUTRESA"/>
    <x v="0"/>
    <m/>
    <n v="0"/>
    <n v="0"/>
    <n v="0"/>
    <m/>
    <n v="1000000"/>
    <n v="25000000"/>
    <n v="0"/>
    <n v="3250"/>
    <n v="6500"/>
    <n v="4.5138888888888885E-3"/>
    <d v="2021-11-27T00:00:00"/>
    <e v="#REF!"/>
    <d v="2021-12-23T00:00:00"/>
    <m/>
  </r>
  <r>
    <x v="1"/>
    <s v="BGTA"/>
    <x v="2"/>
    <x v="2"/>
    <s v="POP"/>
    <n v="10"/>
    <x v="1"/>
    <x v="0"/>
    <s v="NUTRESA"/>
    <x v="0"/>
    <d v="2021-11-23T00:00:00"/>
    <d v="2021-12-01T00:00:00"/>
    <m/>
    <m/>
    <x v="0"/>
    <x v="0"/>
    <s v="BGTACRD024945CADENASNUTRESA"/>
    <x v="0"/>
    <m/>
    <n v="0"/>
    <n v="0"/>
    <n v="0"/>
    <m/>
    <n v="1000000"/>
    <n v="25000000"/>
    <n v="0"/>
    <n v="3250"/>
    <n v="32500"/>
    <n v="2.2569444444444444E-2"/>
    <d v="2021-11-27T00:00:00"/>
    <e v="#REF!"/>
    <d v="2021-12-23T00:00:00"/>
    <m/>
  </r>
  <r>
    <x v="3"/>
    <s v="CALI"/>
    <x v="2"/>
    <x v="2"/>
    <s v="POP"/>
    <n v="2"/>
    <x v="1"/>
    <x v="0"/>
    <s v="NUTRESA"/>
    <x v="0"/>
    <d v="2021-11-23T00:00:00"/>
    <d v="2021-12-01T00:00:00"/>
    <m/>
    <m/>
    <x v="0"/>
    <x v="0"/>
    <s v="CALICRD024945CADENASNUTRESA"/>
    <x v="0"/>
    <m/>
    <n v="0"/>
    <n v="0"/>
    <n v="0"/>
    <m/>
    <n v="1000000"/>
    <n v="25000000"/>
    <n v="0"/>
    <n v="3250"/>
    <n v="6500"/>
    <n v="4.5138888888888885E-3"/>
    <d v="2021-11-27T00:00:00"/>
    <e v="#REF!"/>
    <d v="2021-12-23T00:00:00"/>
    <m/>
  </r>
  <r>
    <x v="4"/>
    <s v="CART"/>
    <x v="2"/>
    <x v="2"/>
    <s v="POP"/>
    <n v="4"/>
    <x v="1"/>
    <x v="0"/>
    <s v="NUTRESA"/>
    <x v="0"/>
    <d v="2021-11-23T00:00:00"/>
    <d v="2021-12-01T00:00:00"/>
    <m/>
    <m/>
    <x v="0"/>
    <x v="0"/>
    <s v="CARTCRD024945CADENASNUTRESA"/>
    <x v="0"/>
    <m/>
    <n v="0"/>
    <n v="0"/>
    <n v="0"/>
    <m/>
    <n v="1000000"/>
    <n v="25000000"/>
    <n v="0"/>
    <n v="3250"/>
    <n v="13000"/>
    <n v="9.0277777777777769E-3"/>
    <d v="2021-11-27T00:00:00"/>
    <e v="#REF!"/>
    <d v="2021-12-23T00:00:00"/>
    <m/>
  </r>
  <r>
    <x v="5"/>
    <s v="MEDE"/>
    <x v="2"/>
    <x v="2"/>
    <s v="POP"/>
    <n v="4"/>
    <x v="1"/>
    <x v="0"/>
    <s v="NUTRESA"/>
    <x v="0"/>
    <d v="2021-11-23T00:00:00"/>
    <d v="2021-12-01T00:00:00"/>
    <m/>
    <m/>
    <x v="0"/>
    <x v="0"/>
    <s v="MEDECRD024945CADENASNUTRESA"/>
    <x v="0"/>
    <m/>
    <n v="0"/>
    <n v="0"/>
    <n v="0"/>
    <m/>
    <n v="1000000"/>
    <n v="25000000"/>
    <n v="0"/>
    <n v="3250"/>
    <n v="13000"/>
    <n v="9.0277777777777769E-3"/>
    <d v="2021-11-27T00:00:00"/>
    <e v="#REF!"/>
    <d v="2021-12-23T00:00:00"/>
    <m/>
  </r>
  <r>
    <x v="6"/>
    <s v="PERE"/>
    <x v="2"/>
    <x v="2"/>
    <s v="POP"/>
    <n v="3"/>
    <x v="1"/>
    <x v="0"/>
    <s v="NUTRESA"/>
    <x v="0"/>
    <d v="2021-11-23T00:00:00"/>
    <d v="2021-12-01T00:00:00"/>
    <m/>
    <m/>
    <x v="0"/>
    <x v="0"/>
    <s v="PERECRD024945CADENASNUTRESA"/>
    <x v="0"/>
    <m/>
    <n v="0"/>
    <n v="0"/>
    <n v="0"/>
    <m/>
    <n v="1000000"/>
    <n v="25000000"/>
    <n v="0"/>
    <n v="3250"/>
    <n v="9750"/>
    <n v="6.7708333333333336E-3"/>
    <d v="2021-11-27T00:00:00"/>
    <e v="#REF!"/>
    <d v="2021-12-23T00:00:00"/>
    <m/>
  </r>
  <r>
    <x v="0"/>
    <s v="BARR"/>
    <x v="3"/>
    <x v="3"/>
    <s v="POP"/>
    <n v="9"/>
    <x v="1"/>
    <x v="0"/>
    <s v="NUTRESA"/>
    <x v="0"/>
    <d v="2021-11-23T00:00:00"/>
    <d v="2021-12-01T00:00:00"/>
    <m/>
    <m/>
    <x v="0"/>
    <x v="0"/>
    <s v="BARRCRD024946CADENASNUTRESA"/>
    <x v="0"/>
    <m/>
    <n v="0"/>
    <n v="0"/>
    <n v="0"/>
    <m/>
    <n v="28000000"/>
    <n v="22000000"/>
    <n v="0"/>
    <n v="588"/>
    <n v="5292"/>
    <n v="3.6749999999999999E-3"/>
    <d v="2021-11-27T00:00:00"/>
    <e v="#REF!"/>
    <d v="2021-12-23T00:00:00"/>
    <m/>
  </r>
  <r>
    <x v="1"/>
    <s v="BGTA"/>
    <x v="3"/>
    <x v="3"/>
    <s v="POP"/>
    <n v="30"/>
    <x v="1"/>
    <x v="0"/>
    <s v="NUTRESA"/>
    <x v="0"/>
    <d v="2021-11-23T00:00:00"/>
    <d v="2021-12-01T00:00:00"/>
    <m/>
    <m/>
    <x v="0"/>
    <x v="0"/>
    <s v="BGTACRD024946CADENASNUTRESA"/>
    <x v="0"/>
    <m/>
    <n v="0"/>
    <n v="0"/>
    <n v="0"/>
    <m/>
    <n v="28000000"/>
    <n v="22000000"/>
    <n v="0"/>
    <n v="588"/>
    <n v="17640"/>
    <n v="1.225E-2"/>
    <d v="2021-11-27T00:00:00"/>
    <e v="#REF!"/>
    <d v="2021-12-23T00:00:00"/>
    <m/>
  </r>
  <r>
    <x v="3"/>
    <s v="CALI"/>
    <x v="3"/>
    <x v="3"/>
    <s v="POP"/>
    <n v="5"/>
    <x v="1"/>
    <x v="0"/>
    <s v="NUTRESA"/>
    <x v="0"/>
    <d v="2021-11-23T00:00:00"/>
    <d v="2021-12-01T00:00:00"/>
    <m/>
    <m/>
    <x v="0"/>
    <x v="0"/>
    <s v="CALICRD024946CADENASNUTRESA"/>
    <x v="0"/>
    <m/>
    <n v="0"/>
    <n v="0"/>
    <n v="0"/>
    <m/>
    <n v="28000000"/>
    <n v="22000000"/>
    <n v="0"/>
    <n v="588"/>
    <n v="2940"/>
    <n v="2.0416666666666665E-3"/>
    <d v="2021-11-27T00:00:00"/>
    <e v="#REF!"/>
    <d v="2021-12-23T00:00:00"/>
    <m/>
  </r>
  <r>
    <x v="4"/>
    <s v="CART"/>
    <x v="3"/>
    <x v="3"/>
    <s v="POP"/>
    <n v="4"/>
    <x v="1"/>
    <x v="0"/>
    <s v="NUTRESA"/>
    <x v="0"/>
    <d v="2021-11-23T00:00:00"/>
    <d v="2021-12-01T00:00:00"/>
    <m/>
    <m/>
    <x v="0"/>
    <x v="0"/>
    <s v="CARTCRD024946CADENASNUTRESA"/>
    <x v="0"/>
    <m/>
    <n v="0"/>
    <n v="0"/>
    <n v="0"/>
    <m/>
    <n v="28000000"/>
    <n v="22000000"/>
    <n v="0"/>
    <n v="588"/>
    <n v="2352"/>
    <n v="1.6333333333333334E-3"/>
    <d v="2021-11-27T00:00:00"/>
    <e v="#REF!"/>
    <d v="2021-12-23T00:00:00"/>
    <m/>
  </r>
  <r>
    <x v="5"/>
    <s v="MEDE"/>
    <x v="3"/>
    <x v="3"/>
    <s v="POP"/>
    <n v="7"/>
    <x v="1"/>
    <x v="0"/>
    <s v="NUTRESA"/>
    <x v="0"/>
    <d v="2021-11-23T00:00:00"/>
    <d v="2021-12-01T00:00:00"/>
    <m/>
    <m/>
    <x v="0"/>
    <x v="0"/>
    <s v="MEDECRD024946CADENASNUTRESA"/>
    <x v="0"/>
    <m/>
    <n v="0"/>
    <n v="0"/>
    <n v="0"/>
    <m/>
    <n v="28000000"/>
    <n v="22000000"/>
    <n v="0"/>
    <n v="588"/>
    <n v="4116"/>
    <n v="2.8583333333333334E-3"/>
    <d v="2021-11-27T00:00:00"/>
    <e v="#REF!"/>
    <d v="2021-12-23T00:00:00"/>
    <m/>
  </r>
  <r>
    <x v="6"/>
    <s v="PERE"/>
    <x v="3"/>
    <x v="3"/>
    <s v="POP"/>
    <n v="4"/>
    <x v="1"/>
    <x v="0"/>
    <s v="NUTRESA"/>
    <x v="0"/>
    <d v="2021-11-23T00:00:00"/>
    <d v="2021-12-01T00:00:00"/>
    <m/>
    <m/>
    <x v="0"/>
    <x v="0"/>
    <s v="PERECRD024946CADENASNUTRESA"/>
    <x v="0"/>
    <m/>
    <n v="0"/>
    <n v="0"/>
    <n v="0"/>
    <m/>
    <n v="28000000"/>
    <n v="22000000"/>
    <n v="0"/>
    <n v="588"/>
    <n v="2352"/>
    <n v="1.6333333333333334E-3"/>
    <d v="2021-11-27T00:00:00"/>
    <e v="#REF!"/>
    <d v="2021-12-23T00:00:00"/>
    <m/>
  </r>
  <r>
    <x v="7"/>
    <s v="VILA"/>
    <x v="3"/>
    <x v="3"/>
    <s v="POP"/>
    <n v="1"/>
    <x v="1"/>
    <x v="0"/>
    <s v="NUTRESA"/>
    <x v="0"/>
    <d v="2021-11-23T00:00:00"/>
    <d v="2021-12-01T00:00:00"/>
    <m/>
    <m/>
    <x v="0"/>
    <x v="0"/>
    <s v="VILACRD024946CADENASNUTRESA"/>
    <x v="0"/>
    <m/>
    <n v="0"/>
    <n v="0"/>
    <n v="0"/>
    <m/>
    <n v="28000000"/>
    <n v="22000000"/>
    <n v="0"/>
    <n v="588"/>
    <n v="588"/>
    <n v="4.0833333333333336E-4"/>
    <d v="2021-11-27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n v="3000"/>
    <n v="9000"/>
    <n v="6.2500000000000003E-3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n v="3000"/>
    <n v="12000"/>
    <n v="8.3333333333333332E-3"/>
    <d v="2022-01-02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n v="3000"/>
    <n v="45000"/>
    <n v="3.125E-2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n v="3000"/>
    <n v="6000"/>
    <n v="4.1666666666666666E-3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n v="3000"/>
    <n v="51000"/>
    <n v="3.5416666666666666E-2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n v="3000"/>
    <n v="18000"/>
    <n v="1.2500000000000001E-2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n v="3000"/>
    <n v="9000"/>
    <n v="6.2500000000000003E-3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n v="3000"/>
    <n v="3000"/>
    <n v="2.0833333333333333E-3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n v="3000"/>
    <n v="270000"/>
    <n v="0.1875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n v="3000"/>
    <n v="240000"/>
    <n v="0.16666666666666666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n v="3000"/>
    <n v="150000"/>
    <n v="0.10416666666666667"/>
    <d v="2022-01-07T00:00:00"/>
    <e v="#REF!"/>
    <d v="2021-12-23T00:00:00"/>
    <m/>
  </r>
  <r>
    <x v="1"/>
    <s v="BGTA"/>
    <x v="4"/>
    <x v="4"/>
    <s v="INNERCIA"/>
    <n v="12"/>
    <x v="2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0"/>
    <n v="3000"/>
    <n v="36000"/>
    <n v="2.5000000000000001E-2"/>
    <d v="2022-01-02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n v="3000"/>
    <n v="9000"/>
    <n v="6.2500000000000003E-3"/>
    <d v="2022-01-02T00:00:00"/>
    <e v="#REF!"/>
    <d v="2021-12-23T00:00:00"/>
    <m/>
  </r>
  <r>
    <x v="10"/>
    <s v="IBA1"/>
    <x v="4"/>
    <x v="4"/>
    <s v="INNERCIA"/>
    <n v="2"/>
    <x v="2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0"/>
    <n v="3000"/>
    <n v="6000"/>
    <n v="4.1666666666666666E-3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n v="3000"/>
    <n v="12000"/>
    <n v="8.3333333333333332E-3"/>
    <d v="2022-01-02T00:00:00"/>
    <e v="#REF!"/>
    <d v="2021-12-23T00:00:00"/>
    <m/>
  </r>
  <r>
    <x v="10"/>
    <s v="IBA1"/>
    <x v="9"/>
    <x v="9"/>
    <s v="INNERCIA"/>
    <n v="2"/>
    <x v="2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0"/>
    <n v="3000"/>
    <n v="6000"/>
    <n v="4.1666666666666666E-3"/>
    <d v="2022-01-07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n v="3000"/>
    <n v="45000"/>
    <n v="3.125E-2"/>
    <d v="2022-01-07T00:00:00"/>
    <e v="#REF!"/>
    <d v="2021-12-23T00:00:00"/>
    <m/>
  </r>
  <r>
    <x v="7"/>
    <s v="VILA"/>
    <x v="5"/>
    <x v="5"/>
    <s v="INNERCIA"/>
    <n v="10"/>
    <x v="2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0"/>
    <n v="3000"/>
    <n v="30000"/>
    <n v="2.0833333333333332E-2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n v="3000"/>
    <n v="6000"/>
    <n v="4.1666666666666666E-3"/>
    <d v="2022-01-07T00:00:00"/>
    <e v="#REF!"/>
    <d v="2021-12-23T00:00:00"/>
    <m/>
  </r>
  <r>
    <x v="6"/>
    <s v="PERE"/>
    <x v="5"/>
    <x v="5"/>
    <s v="INNERCIA"/>
    <n v="9"/>
    <x v="2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0"/>
    <n v="3000"/>
    <n v="27000"/>
    <n v="1.8749999999999999E-2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n v="3000"/>
    <n v="51000"/>
    <n v="3.5416666666666666E-2"/>
    <d v="2022-01-07T00:00:00"/>
    <e v="#REF!"/>
    <d v="2021-12-23T00:00:00"/>
    <m/>
  </r>
  <r>
    <x v="2"/>
    <s v="DUIT"/>
    <x v="6"/>
    <x v="6"/>
    <s v="INNERCIA"/>
    <n v="5"/>
    <x v="2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n v="3000"/>
    <n v="18000"/>
    <n v="1.2500000000000001E-2"/>
    <d v="2022-01-07T00:00:00"/>
    <e v="#REF!"/>
    <d v="2021-12-23T00:00:00"/>
    <m/>
  </r>
  <r>
    <x v="4"/>
    <s v="CART"/>
    <x v="6"/>
    <x v="6"/>
    <s v="INNERCIA"/>
    <n v="4"/>
    <x v="2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0"/>
    <n v="3000"/>
    <n v="12000"/>
    <n v="8.3333333333333332E-3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1"/>
    <s v="BGTA"/>
    <x v="4"/>
    <x v="4"/>
    <s v="INNERCIA"/>
    <n v="5"/>
    <x v="2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0"/>
    <n v="3000"/>
    <n v="15000"/>
    <n v="1.0416666666666666E-2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n v="3000"/>
    <n v="9000"/>
    <n v="6.2500000000000003E-3"/>
    <d v="2022-01-07T00:00:00"/>
    <e v="#REF!"/>
    <d v="2021-12-23T00:00:00"/>
    <m/>
  </r>
  <r>
    <x v="10"/>
    <s v="IBA1"/>
    <x v="4"/>
    <x v="4"/>
    <s v="INNERCIA"/>
    <n v="19"/>
    <x v="2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0"/>
    <n v="3000"/>
    <n v="57000"/>
    <n v="3.9583333333333331E-2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n v="3000"/>
    <n v="3000"/>
    <n v="2.0833333333333333E-3"/>
    <d v="2022-01-07T00:00:00"/>
    <e v="#REF!"/>
    <d v="2021-12-23T00:00:00"/>
    <m/>
  </r>
  <r>
    <x v="5"/>
    <s v="MEDE"/>
    <x v="7"/>
    <x v="7"/>
    <s v="INNERCIA"/>
    <n v="2"/>
    <x v="2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0"/>
    <n v="3000"/>
    <n v="6000"/>
    <n v="4.1666666666666666E-3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n v="3000"/>
    <n v="270000"/>
    <n v="0.1875"/>
    <d v="2022-01-07T00:00:00"/>
    <e v="#REF!"/>
    <d v="2021-12-23T00:00:00"/>
    <m/>
  </r>
  <r>
    <x v="2"/>
    <s v="DUIT"/>
    <x v="8"/>
    <x v="8"/>
    <s v="INNERCIA"/>
    <n v="20"/>
    <x v="2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0"/>
    <n v="3000"/>
    <n v="60000"/>
    <n v="4.1666666666666664E-2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n v="3000"/>
    <n v="240000"/>
    <n v="0.16666666666666666"/>
    <d v="2022-01-07T00:00:00"/>
    <e v="#REF!"/>
    <d v="2021-12-23T00:00:00"/>
    <m/>
  </r>
  <r>
    <x v="4"/>
    <s v="CART"/>
    <x v="8"/>
    <x v="8"/>
    <s v="INNERCIA"/>
    <n v="10"/>
    <x v="2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0"/>
    <n v="3000"/>
    <n v="30000"/>
    <n v="2.0833333333333332E-2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n v="3000"/>
    <n v="150000"/>
    <n v="0.10416666666666667"/>
    <d v="2022-01-07T00:00:00"/>
    <e v="#REF!"/>
    <d v="2021-12-23T00:00:00"/>
    <m/>
  </r>
  <r>
    <x v="0"/>
    <s v="BARR"/>
    <x v="4"/>
    <x v="4"/>
    <s v="INNERCIA"/>
    <n v="1"/>
    <x v="2"/>
    <x v="0"/>
    <s v="NUTRESA"/>
    <x v="0"/>
    <d v="2021-12-29T00:00:00"/>
    <m/>
    <m/>
    <m/>
    <x v="0"/>
    <x v="0"/>
    <s v="BARR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1"/>
    <s v="BGTA"/>
    <x v="4"/>
    <x v="4"/>
    <s v="INNERCIA"/>
    <n v="12"/>
    <x v="2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9"/>
    <s v="BUCA"/>
    <x v="4"/>
    <x v="4"/>
    <s v="INNERCIA"/>
    <n v="2"/>
    <x v="2"/>
    <x v="0"/>
    <s v="NUTRESA"/>
    <x v="0"/>
    <d v="2021-12-29T00:00:00"/>
    <m/>
    <m/>
    <m/>
    <x v="0"/>
    <x v="0"/>
    <s v="BUCA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4"/>
    <s v="CART"/>
    <x v="4"/>
    <x v="4"/>
    <s v="INNERCIA"/>
    <n v="3"/>
    <x v="2"/>
    <x v="0"/>
    <s v="NUTRESA"/>
    <x v="0"/>
    <d v="2021-12-29T00:00:00"/>
    <m/>
    <m/>
    <m/>
    <x v="0"/>
    <x v="0"/>
    <s v="CART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10"/>
    <s v="IBA1"/>
    <x v="4"/>
    <x v="4"/>
    <s v="INNERCIA"/>
    <n v="2"/>
    <x v="2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5"/>
    <s v="MEDE"/>
    <x v="4"/>
    <x v="4"/>
    <s v="INNERCIA"/>
    <n v="4"/>
    <x v="2"/>
    <x v="0"/>
    <s v="NUTRESA"/>
    <x v="0"/>
    <d v="2021-12-29T00:00:00"/>
    <m/>
    <m/>
    <m/>
    <x v="0"/>
    <x v="0"/>
    <s v="MEDE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3"/>
    <s v="CALI"/>
    <x v="9"/>
    <x v="9"/>
    <s v="INNERCIA"/>
    <n v="2"/>
    <x v="2"/>
    <x v="1"/>
    <s v="NUTRESA"/>
    <x v="1"/>
    <d v="2022-01-03T00:00:00"/>
    <m/>
    <m/>
    <m/>
    <x v="0"/>
    <x v="0"/>
    <s v="CALI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10"/>
    <s v="IBA1"/>
    <x v="9"/>
    <x v="9"/>
    <s v="INNERCIA"/>
    <n v="2"/>
    <x v="2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6"/>
    <s v="PERE"/>
    <x v="9"/>
    <x v="9"/>
    <s v="INNERCIA"/>
    <n v="1"/>
    <x v="2"/>
    <x v="1"/>
    <s v="NUTRESA"/>
    <x v="1"/>
    <d v="2022-01-03T00:00:00"/>
    <m/>
    <m/>
    <m/>
    <x v="0"/>
    <x v="0"/>
    <s v="PERE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2"/>
    <s v="DUIT"/>
    <x v="5"/>
    <x v="5"/>
    <s v="INNERCIA"/>
    <n v="10"/>
    <x v="2"/>
    <x v="1"/>
    <s v="NUTRESA"/>
    <x v="1"/>
    <d v="2022-01-03T00:00:00"/>
    <m/>
    <m/>
    <m/>
    <x v="0"/>
    <x v="0"/>
    <s v="DUIT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7"/>
    <s v="VILA"/>
    <x v="5"/>
    <x v="5"/>
    <s v="INNERCIA"/>
    <n v="10"/>
    <x v="2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9"/>
    <s v="BUCA"/>
    <x v="5"/>
    <x v="5"/>
    <s v="INNERCIA"/>
    <n v="4"/>
    <x v="2"/>
    <x v="1"/>
    <s v="NUTRESA"/>
    <x v="1"/>
    <d v="2022-01-03T00:00:00"/>
    <m/>
    <m/>
    <m/>
    <x v="0"/>
    <x v="0"/>
    <s v="BUCA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0"/>
    <s v="IBA1"/>
    <x v="5"/>
    <x v="5"/>
    <s v="INNERCIA"/>
    <n v="22"/>
    <x v="2"/>
    <x v="1"/>
    <s v="NUTRESA"/>
    <x v="1"/>
    <d v="2022-01-03T00:00:00"/>
    <m/>
    <m/>
    <m/>
    <x v="0"/>
    <x v="0"/>
    <s v="IBA1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6"/>
    <s v="PERE"/>
    <x v="5"/>
    <x v="5"/>
    <s v="INNERCIA"/>
    <n v="9"/>
    <x v="2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0"/>
    <s v="BARR"/>
    <x v="6"/>
    <x v="6"/>
    <s v="INNERCIA"/>
    <n v="4"/>
    <x v="2"/>
    <x v="1"/>
    <s v="NUTRESA"/>
    <x v="1"/>
    <d v="2022-01-03T00:00:00"/>
    <m/>
    <m/>
    <m/>
    <x v="0"/>
    <x v="0"/>
    <s v="BARR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8"/>
    <s v="BGTA ALT"/>
    <x v="6"/>
    <x v="6"/>
    <s v="INNERCIA"/>
    <n v="9"/>
    <x v="2"/>
    <x v="1"/>
    <s v="ALTILLANO"/>
    <x v="1"/>
    <d v="2022-01-03T00:00:00"/>
    <m/>
    <m/>
    <m/>
    <x v="0"/>
    <x v="0"/>
    <s v="BGTA ALTCRD025034AUTOSERVICIOALTILLANO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2"/>
    <s v="DUIT"/>
    <x v="6"/>
    <x v="6"/>
    <s v="INNERCIA"/>
    <n v="5"/>
    <x v="2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7"/>
    <s v="VILA"/>
    <x v="6"/>
    <x v="6"/>
    <s v="INNERCIA"/>
    <n v="5"/>
    <x v="2"/>
    <x v="1"/>
    <s v="NUTRESA"/>
    <x v="1"/>
    <d v="2022-01-03T00:00:00"/>
    <m/>
    <m/>
    <m/>
    <x v="0"/>
    <x v="0"/>
    <s v="VIL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3"/>
    <s v="CALI"/>
    <x v="6"/>
    <x v="6"/>
    <s v="INNERCIA"/>
    <n v="2"/>
    <x v="2"/>
    <x v="1"/>
    <s v="NUTRESA"/>
    <x v="1"/>
    <d v="2022-01-03T00:00:00"/>
    <m/>
    <m/>
    <m/>
    <x v="0"/>
    <x v="0"/>
    <s v="CALI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4"/>
    <s v="CART"/>
    <x v="6"/>
    <x v="6"/>
    <s v="INNERCIA"/>
    <n v="4"/>
    <x v="2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0"/>
    <s v="IBA1"/>
    <x v="6"/>
    <x v="6"/>
    <s v="INNERCIA"/>
    <n v="32"/>
    <x v="2"/>
    <x v="1"/>
    <s v="NUTRESA"/>
    <x v="1"/>
    <d v="2022-01-03T00:00:00"/>
    <m/>
    <m/>
    <m/>
    <x v="0"/>
    <x v="0"/>
    <s v="IBA1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6"/>
    <s v="PERE"/>
    <x v="6"/>
    <x v="6"/>
    <s v="INNERCIA"/>
    <n v="13"/>
    <x v="2"/>
    <x v="1"/>
    <s v="NUTRESA"/>
    <x v="1"/>
    <d v="2022-01-03T00:00:00"/>
    <m/>
    <m/>
    <m/>
    <x v="0"/>
    <x v="0"/>
    <s v="PERE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"/>
    <s v="BGTA"/>
    <x v="4"/>
    <x v="4"/>
    <s v="INNERCIA"/>
    <n v="5"/>
    <x v="2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8"/>
    <s v="BGTA ALT"/>
    <x v="4"/>
    <x v="4"/>
    <s v="INNERCIA"/>
    <n v="3"/>
    <x v="2"/>
    <x v="1"/>
    <s v="ALTILLANO"/>
    <x v="0"/>
    <d v="2022-01-03T00:00:00"/>
    <m/>
    <m/>
    <m/>
    <x v="0"/>
    <x v="0"/>
    <s v="BGTA ALTCRD025035AUTOSERVICIOALTILLANO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3"/>
    <s v="CALI"/>
    <x v="4"/>
    <x v="4"/>
    <s v="INNERCIA"/>
    <n v="1"/>
    <x v="2"/>
    <x v="1"/>
    <s v="NUTRESA"/>
    <x v="0"/>
    <d v="2022-01-03T00:00:00"/>
    <m/>
    <m/>
    <m/>
    <x v="0"/>
    <x v="0"/>
    <s v="CALI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10"/>
    <s v="IBA1"/>
    <x v="4"/>
    <x v="4"/>
    <s v="INNERCIA"/>
    <n v="19"/>
    <x v="2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6"/>
    <s v="PERE"/>
    <x v="4"/>
    <x v="4"/>
    <s v="INNERCIA"/>
    <n v="5"/>
    <x v="2"/>
    <x v="1"/>
    <s v="NUTRESA"/>
    <x v="0"/>
    <d v="2022-01-03T00:00:00"/>
    <m/>
    <m/>
    <m/>
    <x v="0"/>
    <x v="0"/>
    <s v="PERE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3"/>
    <s v="CALI"/>
    <x v="7"/>
    <x v="7"/>
    <s v="INNERCIA"/>
    <n v="2"/>
    <x v="2"/>
    <x v="1"/>
    <s v="NUTRESA"/>
    <x v="0"/>
    <d v="2022-01-03T00:00:00"/>
    <m/>
    <m/>
    <m/>
    <x v="0"/>
    <x v="0"/>
    <s v="CALI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5"/>
    <s v="MEDE"/>
    <x v="7"/>
    <x v="7"/>
    <s v="INNERCIA"/>
    <n v="2"/>
    <x v="2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0"/>
    <s v="BARR"/>
    <x v="8"/>
    <x v="8"/>
    <s v="INNERCIA"/>
    <n v="10"/>
    <x v="2"/>
    <x v="1"/>
    <s v="NUTRESA"/>
    <x v="0"/>
    <d v="2022-01-03T00:00:00"/>
    <m/>
    <m/>
    <m/>
    <x v="0"/>
    <x v="0"/>
    <s v="BARR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8"/>
    <s v="BGTA ALT"/>
    <x v="8"/>
    <x v="8"/>
    <s v="INNERCIA"/>
    <n v="30"/>
    <x v="2"/>
    <x v="1"/>
    <s v="ALTILLANO"/>
    <x v="0"/>
    <d v="2022-01-03T00:00:00"/>
    <m/>
    <m/>
    <m/>
    <x v="0"/>
    <x v="0"/>
    <s v="BGTA ALTCRD025037AUTOSERVICIOALTILLANO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2"/>
    <s v="DUIT"/>
    <x v="8"/>
    <x v="8"/>
    <s v="INNERCIA"/>
    <n v="20"/>
    <x v="2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7"/>
    <s v="VILA"/>
    <x v="8"/>
    <x v="8"/>
    <s v="INNERCIA"/>
    <n v="20"/>
    <x v="2"/>
    <x v="1"/>
    <s v="NUTRESA"/>
    <x v="0"/>
    <d v="2022-01-03T00:00:00"/>
    <m/>
    <m/>
    <m/>
    <x v="0"/>
    <x v="0"/>
    <s v="VIL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3"/>
    <s v="CALI"/>
    <x v="8"/>
    <x v="8"/>
    <s v="INNERCIA"/>
    <n v="60"/>
    <x v="2"/>
    <x v="1"/>
    <s v="NUTRESA"/>
    <x v="0"/>
    <d v="2022-01-03T00:00:00"/>
    <m/>
    <m/>
    <m/>
    <x v="0"/>
    <x v="0"/>
    <s v="CALI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4"/>
    <s v="CART"/>
    <x v="8"/>
    <x v="8"/>
    <s v="INNERCIA"/>
    <n v="10"/>
    <x v="2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10"/>
    <s v="IBA1"/>
    <x v="8"/>
    <x v="8"/>
    <s v="INNERCIA"/>
    <n v="140"/>
    <x v="2"/>
    <x v="1"/>
    <s v="NUTRESA"/>
    <x v="0"/>
    <d v="2022-01-03T00:00:00"/>
    <m/>
    <m/>
    <m/>
    <x v="0"/>
    <x v="0"/>
    <s v="IBA1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6"/>
    <s v="PERE"/>
    <x v="8"/>
    <x v="8"/>
    <s v="INNERCIA"/>
    <n v="50"/>
    <x v="2"/>
    <x v="1"/>
    <s v="NUTRESA"/>
    <x v="0"/>
    <d v="2022-01-03T00:00:00"/>
    <m/>
    <m/>
    <m/>
    <x v="0"/>
    <x v="0"/>
    <s v="PERE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n v="3000"/>
    <n v="6000"/>
    <n v="4.1666666666666666E-3"/>
    <d v="2022-01-19T00:00:00"/>
    <e v="#REF!"/>
    <d v="2021-12-23T00:00:00"/>
    <m/>
  </r>
  <r>
    <x v="0"/>
    <s v="BARR"/>
    <x v="10"/>
    <x v="10"/>
    <s v="POP"/>
    <n v="3"/>
    <x v="3"/>
    <x v="2"/>
    <s v="NUTRESA"/>
    <x v="1"/>
    <d v="2022-01-15T00:00:00"/>
    <m/>
    <m/>
    <m/>
    <x v="0"/>
    <x v="0"/>
    <s v="BARRACT000554TRADICIONALNUTRESA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7"/>
    <s v="VILA"/>
    <x v="10"/>
    <x v="10"/>
    <s v="POP"/>
    <n v="5"/>
    <x v="3"/>
    <x v="2"/>
    <s v="NUTRESA"/>
    <x v="1"/>
    <d v="2022-01-15T00:00:00"/>
    <m/>
    <m/>
    <m/>
    <x v="0"/>
    <x v="0"/>
    <s v="VILAACT000554TRADICIONALNUTRESA"/>
    <x v="0"/>
    <m/>
    <n v="0"/>
    <n v="0"/>
    <n v="0"/>
    <m/>
    <n v="50000000"/>
    <n v="50000000"/>
    <n v="0"/>
    <n v="3000"/>
    <n v="15000"/>
    <n v="1.0416666666666666E-2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10"/>
    <s v="IBA1"/>
    <x v="10"/>
    <x v="10"/>
    <s v="POP"/>
    <n v="8"/>
    <x v="3"/>
    <x v="2"/>
    <s v="NUTRESA"/>
    <x v="1"/>
    <d v="2022-01-15T00:00:00"/>
    <m/>
    <m/>
    <m/>
    <x v="0"/>
    <x v="0"/>
    <s v="IBA1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n v="3000"/>
    <n v="6000"/>
    <n v="4.1666666666666666E-3"/>
    <d v="2022-01-19T00:00:00"/>
    <e v="#REF!"/>
    <d v="2021-12-23T00:00:00"/>
    <m/>
  </r>
  <r>
    <x v="0"/>
    <s v="BARR"/>
    <x v="10"/>
    <x v="10"/>
    <s v="POP"/>
    <n v="3"/>
    <x v="3"/>
    <x v="2"/>
    <s v="NUTRESA"/>
    <x v="1"/>
    <d v="2022-01-15T00:00:00"/>
    <m/>
    <m/>
    <m/>
    <x v="0"/>
    <x v="0"/>
    <s v="BARR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1"/>
    <s v="BGTA"/>
    <x v="10"/>
    <x v="10"/>
    <s v="POP"/>
    <n v="5"/>
    <x v="3"/>
    <x v="2"/>
    <s v="NUTRESA"/>
    <x v="1"/>
    <d v="2022-01-15T00:00:00"/>
    <m/>
    <m/>
    <m/>
    <x v="0"/>
    <x v="0"/>
    <s v="BGT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2"/>
    <s v="DUIT"/>
    <x v="10"/>
    <x v="10"/>
    <s v="POP"/>
    <n v="2"/>
    <x v="3"/>
    <x v="2"/>
    <s v="NUTRESA"/>
    <x v="1"/>
    <d v="2022-01-15T00:00:00"/>
    <m/>
    <m/>
    <m/>
    <x v="0"/>
    <x v="0"/>
    <s v="DUIT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7"/>
    <s v="VILA"/>
    <x v="10"/>
    <x v="10"/>
    <s v="POP"/>
    <n v="5"/>
    <x v="3"/>
    <x v="2"/>
    <s v="NUTRESA"/>
    <x v="1"/>
    <d v="2022-01-15T00:00:00"/>
    <m/>
    <m/>
    <m/>
    <x v="0"/>
    <x v="0"/>
    <s v="VIL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9"/>
    <s v="BUCA"/>
    <x v="10"/>
    <x v="10"/>
    <s v="POP"/>
    <n v="8"/>
    <x v="3"/>
    <x v="2"/>
    <s v="NUTRESA"/>
    <x v="1"/>
    <d v="2022-01-15T00:00:00"/>
    <m/>
    <m/>
    <m/>
    <x v="0"/>
    <x v="0"/>
    <s v="BUC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4"/>
    <s v="CART"/>
    <x v="10"/>
    <x v="10"/>
    <s v="POP"/>
    <n v="11"/>
    <x v="3"/>
    <x v="2"/>
    <s v="NUTRESA"/>
    <x v="1"/>
    <d v="2022-01-15T00:00:00"/>
    <m/>
    <m/>
    <m/>
    <x v="0"/>
    <x v="0"/>
    <s v="CART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10"/>
    <s v="IBA1"/>
    <x v="10"/>
    <x v="10"/>
    <s v="POP"/>
    <n v="8"/>
    <x v="3"/>
    <x v="2"/>
    <s v="NUTRESA"/>
    <x v="1"/>
    <d v="2022-01-15T00:00:00"/>
    <m/>
    <m/>
    <m/>
    <x v="0"/>
    <x v="0"/>
    <s v="IBA1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5"/>
    <s v="MEDE"/>
    <x v="10"/>
    <x v="10"/>
    <s v="POP"/>
    <n v="15"/>
    <x v="3"/>
    <x v="2"/>
    <s v="NUTRESA"/>
    <x v="1"/>
    <d v="2022-01-15T00:00:00"/>
    <m/>
    <m/>
    <m/>
    <x v="0"/>
    <x v="0"/>
    <s v="MEDE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5"/>
    <s v="MEDE"/>
    <x v="11"/>
    <x v="11"/>
    <s v="POP"/>
    <n v="1"/>
    <x v="4"/>
    <x v="0"/>
    <s v="NUTRESA"/>
    <x v="1"/>
    <d v="2021-11-10T00:00:00"/>
    <m/>
    <m/>
    <m/>
    <x v="0"/>
    <x v="0"/>
    <s v="MEDEACT000548CADENASNUTRESA"/>
    <x v="0"/>
    <m/>
    <n v="0"/>
    <n v="0"/>
    <n v="0"/>
    <m/>
    <n v="50000000"/>
    <n v="45000000"/>
    <n v="0"/>
    <n v="337500"/>
    <n v="337500"/>
    <n v="0.234375"/>
    <d v="2021-11-14T00:00:00"/>
    <e v="#REF!"/>
    <d v="2021-12-23T00:00:00"/>
    <m/>
  </r>
  <r>
    <x v="1"/>
    <s v="BGTA"/>
    <x v="12"/>
    <x v="12"/>
    <s v="POP"/>
    <n v="3"/>
    <x v="5"/>
    <x v="0"/>
    <s v="NUTRESA"/>
    <x v="0"/>
    <d v="2021-11-12T00:00:00"/>
    <m/>
    <m/>
    <m/>
    <x v="0"/>
    <x v="0"/>
    <s v="BGTACRD024889CADENASNUTRESA"/>
    <x v="0"/>
    <m/>
    <n v="0"/>
    <n v="0"/>
    <n v="0"/>
    <m/>
    <n v="5500000"/>
    <n v="43000000"/>
    <n v="0"/>
    <n v="4818"/>
    <n v="14454"/>
    <n v="1.00375E-2"/>
    <d v="2021-11-16T00:00:00"/>
    <e v="#REF!"/>
    <d v="2021-12-23T00:00:00"/>
    <m/>
  </r>
  <r>
    <x v="2"/>
    <s v="DUIT"/>
    <x v="12"/>
    <x v="12"/>
    <s v="POP"/>
    <n v="1"/>
    <x v="5"/>
    <x v="0"/>
    <s v="NUTRESA"/>
    <x v="0"/>
    <d v="2021-11-12T00:00:00"/>
    <m/>
    <m/>
    <m/>
    <x v="0"/>
    <x v="0"/>
    <s v="DUIT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7"/>
    <s v="VILA"/>
    <x v="12"/>
    <x v="12"/>
    <s v="POP"/>
    <n v="1"/>
    <x v="5"/>
    <x v="0"/>
    <s v="NUTRESA"/>
    <x v="0"/>
    <d v="2021-11-12T00:00:00"/>
    <m/>
    <m/>
    <m/>
    <x v="0"/>
    <x v="0"/>
    <s v="VILA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9"/>
    <s v="BUCA"/>
    <x v="12"/>
    <x v="12"/>
    <s v="POP"/>
    <n v="2"/>
    <x v="5"/>
    <x v="0"/>
    <s v="NUTRESA"/>
    <x v="0"/>
    <d v="2021-11-12T00:00:00"/>
    <m/>
    <m/>
    <m/>
    <x v="0"/>
    <x v="0"/>
    <s v="BUCA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3"/>
    <s v="CALI"/>
    <x v="12"/>
    <x v="12"/>
    <s v="POP"/>
    <n v="1"/>
    <x v="5"/>
    <x v="0"/>
    <s v="NUTRESA"/>
    <x v="0"/>
    <d v="2021-11-12T00:00:00"/>
    <m/>
    <m/>
    <m/>
    <x v="0"/>
    <x v="0"/>
    <s v="CALI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0"/>
    <s v="BARR"/>
    <x v="12"/>
    <x v="12"/>
    <s v="POP"/>
    <n v="2"/>
    <x v="5"/>
    <x v="0"/>
    <s v="NUTRESA"/>
    <x v="0"/>
    <d v="2021-11-12T00:00:00"/>
    <m/>
    <m/>
    <m/>
    <x v="0"/>
    <x v="0"/>
    <s v="BARR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4"/>
    <s v="CART"/>
    <x v="12"/>
    <x v="12"/>
    <s v="POP"/>
    <n v="1"/>
    <x v="5"/>
    <x v="0"/>
    <s v="NUTRESA"/>
    <x v="0"/>
    <d v="2021-11-12T00:00:00"/>
    <m/>
    <m/>
    <m/>
    <x v="0"/>
    <x v="0"/>
    <s v="CART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10"/>
    <s v="IBA1"/>
    <x v="12"/>
    <x v="12"/>
    <s v="POP"/>
    <n v="2"/>
    <x v="5"/>
    <x v="0"/>
    <s v="NUTRESA"/>
    <x v="0"/>
    <d v="2021-11-12T00:00:00"/>
    <m/>
    <m/>
    <m/>
    <x v="0"/>
    <x v="0"/>
    <s v="IBA1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5"/>
    <s v="MEDE"/>
    <x v="12"/>
    <x v="12"/>
    <s v="POP"/>
    <n v="3"/>
    <x v="5"/>
    <x v="0"/>
    <s v="NUTRESA"/>
    <x v="0"/>
    <d v="2021-11-12T00:00:00"/>
    <m/>
    <m/>
    <m/>
    <x v="0"/>
    <x v="0"/>
    <s v="MEDECRD024889CADENASNUTRESA"/>
    <x v="0"/>
    <m/>
    <n v="0"/>
    <n v="0"/>
    <n v="0"/>
    <m/>
    <n v="5500000"/>
    <n v="43000000"/>
    <n v="0"/>
    <n v="4818"/>
    <n v="14454"/>
    <n v="1.00375E-2"/>
    <d v="2021-11-16T00:00:00"/>
    <e v="#REF!"/>
    <d v="2021-12-23T00:00:00"/>
    <m/>
  </r>
  <r>
    <x v="6"/>
    <s v="PERE"/>
    <x v="12"/>
    <x v="12"/>
    <s v="POP"/>
    <n v="1"/>
    <x v="5"/>
    <x v="0"/>
    <s v="NUTRESA"/>
    <x v="0"/>
    <d v="2021-11-12T00:00:00"/>
    <m/>
    <m/>
    <m/>
    <x v="0"/>
    <x v="0"/>
    <s v="PERE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1"/>
    <s v="BGTA"/>
    <x v="13"/>
    <x v="13"/>
    <s v="OPEN MIND"/>
    <n v="8"/>
    <x v="6"/>
    <x v="0"/>
    <s v="NUTRESA"/>
    <x v="0"/>
    <d v="2021-11-16T00:00:00"/>
    <d v="2021-12-01T00:00:00"/>
    <m/>
    <m/>
    <x v="0"/>
    <x v="0"/>
    <s v="BGTACRD024929CADENASNUTRESA"/>
    <x v="0"/>
    <m/>
    <n v="0"/>
    <n v="0"/>
    <n v="0"/>
    <m/>
    <n v="0.01"/>
    <n v="40000000"/>
    <n v="0"/>
    <n v="1200"/>
    <n v="9600"/>
    <n v="6.6666666666666671E-3"/>
    <d v="2021-11-20T00:00:00"/>
    <e v="#REF!"/>
    <d v="2021-12-23T00:00:00"/>
    <m/>
  </r>
  <r>
    <x v="3"/>
    <s v="CALI"/>
    <x v="13"/>
    <x v="13"/>
    <s v="OPEN MIND"/>
    <n v="2"/>
    <x v="6"/>
    <x v="0"/>
    <s v="NUTRESA"/>
    <x v="0"/>
    <d v="2021-11-16T00:00:00"/>
    <d v="2021-12-01T00:00:00"/>
    <m/>
    <m/>
    <x v="0"/>
    <x v="0"/>
    <s v="CALI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4"/>
    <s v="CART"/>
    <x v="13"/>
    <x v="13"/>
    <s v="OPEN MIND"/>
    <n v="2"/>
    <x v="6"/>
    <x v="0"/>
    <s v="NUTRESA"/>
    <x v="0"/>
    <d v="2021-11-16T00:00:00"/>
    <d v="2021-12-01T00:00:00"/>
    <m/>
    <m/>
    <x v="0"/>
    <x v="0"/>
    <s v="CART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5"/>
    <s v="MEDE"/>
    <x v="13"/>
    <x v="13"/>
    <s v="OPEN MIND"/>
    <n v="2"/>
    <x v="6"/>
    <x v="0"/>
    <s v="NUTRESA"/>
    <x v="0"/>
    <d v="2021-11-16T00:00:00"/>
    <d v="2021-12-01T00:00:00"/>
    <m/>
    <m/>
    <x v="0"/>
    <x v="0"/>
    <s v="MEDE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6"/>
    <s v="PERE"/>
    <x v="13"/>
    <x v="13"/>
    <s v="OPEN MIND"/>
    <n v="1"/>
    <x v="6"/>
    <x v="0"/>
    <s v="NUTRESA"/>
    <x v="0"/>
    <d v="2021-11-16T00:00:00"/>
    <d v="2021-12-01T00:00:00"/>
    <m/>
    <m/>
    <x v="0"/>
    <x v="0"/>
    <s v="PERECRD024929CADENASNUTRESA"/>
    <x v="0"/>
    <m/>
    <n v="0"/>
    <n v="0"/>
    <n v="0"/>
    <m/>
    <n v="0.01"/>
    <n v="40000000"/>
    <n v="0"/>
    <n v="1200"/>
    <n v="1200"/>
    <n v="8.3333333333333339E-4"/>
    <d v="2021-11-20T00:00:00"/>
    <e v="#REF!"/>
    <d v="2021-12-23T00:00:00"/>
    <m/>
  </r>
  <r>
    <x v="0"/>
    <s v="BARR"/>
    <x v="14"/>
    <x v="14"/>
    <s v="POP"/>
    <n v="1"/>
    <x v="7"/>
    <x v="0"/>
    <s v="NUTRESA"/>
    <x v="1"/>
    <d v="2021-11-16T00:00:00"/>
    <d v="2021-11-01T00:00:00"/>
    <m/>
    <m/>
    <x v="0"/>
    <x v="0"/>
    <s v="BARRCRD024905CADENASNUTRESA"/>
    <x v="0"/>
    <m/>
    <n v="0"/>
    <n v="0"/>
    <n v="0"/>
    <m/>
    <n v="50000000"/>
    <n v="50000000"/>
    <n v="0"/>
    <n v="377500"/>
    <n v="377500"/>
    <n v="0.26215277777777779"/>
    <d v="2021-11-20T00:00:00"/>
    <e v="#REF!"/>
    <d v="2021-12-23T00:00:00"/>
    <m/>
  </r>
  <r>
    <x v="1"/>
    <s v="BGTA"/>
    <x v="14"/>
    <x v="14"/>
    <s v="POP"/>
    <n v="7"/>
    <x v="7"/>
    <x v="0"/>
    <s v="NUTRESA"/>
    <x v="1"/>
    <d v="2021-11-16T00:00:00"/>
    <d v="2021-11-01T00:00:00"/>
    <m/>
    <m/>
    <x v="0"/>
    <x v="0"/>
    <s v="BGTACRD024905CADENASNUTRESA"/>
    <x v="0"/>
    <m/>
    <n v="0"/>
    <n v="0"/>
    <n v="0"/>
    <m/>
    <n v="50000000"/>
    <n v="50000000"/>
    <n v="0"/>
    <n v="377500"/>
    <n v="2642500"/>
    <n v="1.8350694444444444"/>
    <d v="2021-11-20T00:00:00"/>
    <e v="#REF!"/>
    <d v="2021-12-23T00:00:00"/>
    <m/>
  </r>
  <r>
    <x v="5"/>
    <s v="MEDE"/>
    <x v="14"/>
    <x v="14"/>
    <s v="POP"/>
    <n v="2"/>
    <x v="7"/>
    <x v="0"/>
    <s v="NUTRESA"/>
    <x v="1"/>
    <d v="2021-11-16T00:00:00"/>
    <d v="2021-11-01T00:00:00"/>
    <m/>
    <m/>
    <x v="0"/>
    <x v="0"/>
    <s v="MEDECRD024905CADENASNUTRESA"/>
    <x v="0"/>
    <m/>
    <n v="0"/>
    <n v="0"/>
    <n v="0"/>
    <m/>
    <n v="50000000"/>
    <n v="50000000"/>
    <n v="0"/>
    <n v="377500"/>
    <n v="755000"/>
    <n v="0.52430555555555558"/>
    <d v="2021-11-20T00:00:00"/>
    <e v="#REF!"/>
    <d v="2021-12-23T00:00:00"/>
    <m/>
  </r>
  <r>
    <x v="0"/>
    <s v="BARR"/>
    <x v="15"/>
    <x v="15"/>
    <s v="OPEN MIND"/>
    <n v="2"/>
    <x v="8"/>
    <x v="0"/>
    <s v="NUTRESA"/>
    <x v="1"/>
    <d v="2021-11-10T00:00:00"/>
    <m/>
    <m/>
    <m/>
    <x v="0"/>
    <x v="0"/>
    <s v="BARR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1"/>
    <s v="BGTA"/>
    <x v="15"/>
    <x v="15"/>
    <s v="OPEN MIND"/>
    <n v="14"/>
    <x v="8"/>
    <x v="0"/>
    <s v="NUTRESA"/>
    <x v="1"/>
    <d v="2021-11-10T00:00:00"/>
    <m/>
    <m/>
    <m/>
    <x v="0"/>
    <x v="0"/>
    <s v="BGTACRD024936CADENASNUTRESA"/>
    <x v="0"/>
    <m/>
    <n v="0"/>
    <n v="0"/>
    <n v="0"/>
    <m/>
    <n v="50000000"/>
    <n v="50000000"/>
    <n v="0"/>
    <n v="375000"/>
    <n v="5250000"/>
    <n v="3.6458333333333335"/>
    <d v="2021-11-14T00:00:00"/>
    <e v="#REF!"/>
    <d v="2021-12-23T00:00:00"/>
    <m/>
  </r>
  <r>
    <x v="9"/>
    <s v="BUCA"/>
    <x v="15"/>
    <x v="15"/>
    <s v="OPEN MIND"/>
    <n v="1"/>
    <x v="8"/>
    <x v="0"/>
    <s v="NUTRESA"/>
    <x v="1"/>
    <d v="2021-11-10T00:00:00"/>
    <m/>
    <m/>
    <m/>
    <x v="0"/>
    <x v="0"/>
    <s v="BUCACRD024936CADENASNUTRESA"/>
    <x v="0"/>
    <m/>
    <n v="0"/>
    <n v="0"/>
    <n v="0"/>
    <m/>
    <n v="50000000"/>
    <n v="50000000"/>
    <n v="0"/>
    <n v="375000"/>
    <n v="375000"/>
    <n v="0.26041666666666669"/>
    <d v="2021-11-14T00:00:00"/>
    <e v="#REF!"/>
    <d v="2021-12-23T00:00:00"/>
    <m/>
  </r>
  <r>
    <x v="3"/>
    <s v="CALI"/>
    <x v="15"/>
    <x v="15"/>
    <s v="OPEN MIND"/>
    <n v="2"/>
    <x v="8"/>
    <x v="0"/>
    <s v="NUTRESA"/>
    <x v="1"/>
    <d v="2021-11-10T00:00:00"/>
    <m/>
    <m/>
    <m/>
    <x v="0"/>
    <x v="0"/>
    <s v="CALI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4"/>
    <s v="CART"/>
    <x v="15"/>
    <x v="15"/>
    <s v="OPEN MIND"/>
    <n v="2"/>
    <x v="8"/>
    <x v="0"/>
    <s v="NUTRESA"/>
    <x v="1"/>
    <d v="2021-11-10T00:00:00"/>
    <m/>
    <m/>
    <m/>
    <x v="0"/>
    <x v="0"/>
    <s v="CART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10"/>
    <s v="IBA1"/>
    <x v="15"/>
    <x v="15"/>
    <s v="OPEN MIND"/>
    <n v="1"/>
    <x v="8"/>
    <x v="0"/>
    <s v="NUTRESA"/>
    <x v="1"/>
    <d v="2021-11-10T00:00:00"/>
    <m/>
    <m/>
    <m/>
    <x v="0"/>
    <x v="0"/>
    <s v="IBA1CRD024936CADENASNUTRESA"/>
    <x v="0"/>
    <m/>
    <n v="0"/>
    <n v="0"/>
    <n v="0"/>
    <m/>
    <n v="50000000"/>
    <n v="50000000"/>
    <n v="0"/>
    <n v="375000"/>
    <n v="375000"/>
    <n v="0.26041666666666669"/>
    <d v="2021-11-14T00:00:00"/>
    <e v="#REF!"/>
    <d v="2021-12-23T00:00:00"/>
    <m/>
  </r>
  <r>
    <x v="5"/>
    <s v="MEDE"/>
    <x v="15"/>
    <x v="15"/>
    <s v="OPEN MIND"/>
    <n v="7"/>
    <x v="8"/>
    <x v="0"/>
    <s v="NUTRESA"/>
    <x v="1"/>
    <d v="2021-11-10T00:00:00"/>
    <m/>
    <m/>
    <m/>
    <x v="0"/>
    <x v="0"/>
    <s v="MEDECRD024936CADENASNUTRESA"/>
    <x v="0"/>
    <m/>
    <n v="0"/>
    <n v="0"/>
    <n v="0"/>
    <m/>
    <n v="50000000"/>
    <n v="50000000"/>
    <n v="0"/>
    <n v="375000"/>
    <n v="2625000"/>
    <n v="1.8229166666666667"/>
    <d v="2021-11-14T00:00:00"/>
    <e v="#REF!"/>
    <d v="2021-12-23T00:00:00"/>
    <m/>
  </r>
  <r>
    <x v="4"/>
    <s v="CART"/>
    <x v="16"/>
    <x v="16"/>
    <s v="QUADGRAPHICS"/>
    <n v="4"/>
    <x v="9"/>
    <x v="0"/>
    <s v="NUTRESA"/>
    <x v="0"/>
    <d v="2021-09-29T00:00:00"/>
    <m/>
    <m/>
    <m/>
    <x v="0"/>
    <x v="1"/>
    <s v="CARTCRD024123CADENASNUTRESA"/>
    <x v="1"/>
    <n v="4"/>
    <n v="1"/>
    <n v="0"/>
    <n v="0"/>
    <m/>
    <n v="5000000"/>
    <n v="60000000"/>
    <n v="0"/>
    <n v="13950"/>
    <n v="55800"/>
    <n v="3.875E-2"/>
    <d v="2021-10-03T00:00:00"/>
    <e v="#REF!"/>
    <d v="2021-12-23T00:00:00"/>
    <m/>
  </r>
  <r>
    <x v="0"/>
    <s v="BARR"/>
    <x v="17"/>
    <x v="17"/>
    <s v="QUADGRAPHICS"/>
    <n v="28"/>
    <x v="9"/>
    <x v="0"/>
    <s v="NUTRESA"/>
    <x v="0"/>
    <d v="2021-09-29T00:00:00"/>
    <m/>
    <m/>
    <m/>
    <x v="0"/>
    <x v="1"/>
    <s v="BARRCRD024124CADENASNUTRESA"/>
    <x v="2"/>
    <n v="28"/>
    <n v="1"/>
    <n v="0"/>
    <n v="0"/>
    <m/>
    <n v="5000000"/>
    <n v="60000000"/>
    <n v="0"/>
    <n v="13950"/>
    <n v="390600"/>
    <n v="0.27124999999999999"/>
    <d v="2021-10-03T00:00:00"/>
    <e v="#REF!"/>
    <d v="2021-12-23T00:00:00"/>
    <m/>
  </r>
  <r>
    <x v="1"/>
    <s v="BGTA"/>
    <x v="17"/>
    <x v="17"/>
    <s v="QUADGRAPHICS"/>
    <n v="111"/>
    <x v="9"/>
    <x v="0"/>
    <s v="NUTRESA"/>
    <x v="0"/>
    <d v="2021-09-29T00:00:00"/>
    <m/>
    <m/>
    <m/>
    <x v="0"/>
    <x v="1"/>
    <s v="BGTACRD024124CADENASNUTRESA"/>
    <x v="3"/>
    <n v="111"/>
    <n v="1"/>
    <n v="0"/>
    <n v="0"/>
    <m/>
    <n v="5000000"/>
    <n v="60000000"/>
    <n v="0"/>
    <n v="13950"/>
    <n v="1548450"/>
    <n v="1.0753124999999999"/>
    <d v="2021-10-03T00:00:00"/>
    <e v="#REF!"/>
    <d v="2021-12-23T00:00:00"/>
    <m/>
  </r>
  <r>
    <x v="9"/>
    <s v="BUCA"/>
    <x v="17"/>
    <x v="17"/>
    <s v="QUADGRAPHICS"/>
    <n v="8"/>
    <x v="9"/>
    <x v="0"/>
    <s v="NUTRESA"/>
    <x v="0"/>
    <d v="2021-09-29T00:00:00"/>
    <m/>
    <m/>
    <m/>
    <x v="0"/>
    <x v="1"/>
    <s v="BUCACRD024124CADENASNUTRESA"/>
    <x v="4"/>
    <n v="8"/>
    <n v="1"/>
    <n v="0"/>
    <n v="0"/>
    <m/>
    <n v="5000000"/>
    <n v="60000000"/>
    <n v="0"/>
    <n v="13950"/>
    <n v="111600"/>
    <n v="7.7499999999999999E-2"/>
    <d v="2021-10-03T00:00:00"/>
    <e v="#REF!"/>
    <d v="2021-12-23T00:00:00"/>
    <m/>
  </r>
  <r>
    <x v="3"/>
    <s v="CALI"/>
    <x v="17"/>
    <x v="17"/>
    <s v="QUADGRAPHICS"/>
    <n v="34"/>
    <x v="9"/>
    <x v="0"/>
    <s v="NUTRESA"/>
    <x v="0"/>
    <d v="2021-09-29T00:00:00"/>
    <m/>
    <m/>
    <m/>
    <x v="0"/>
    <x v="1"/>
    <s v="CALICRD024124CADENASNUTRESA"/>
    <x v="5"/>
    <n v="34"/>
    <n v="1"/>
    <n v="0"/>
    <n v="0"/>
    <m/>
    <n v="5000000"/>
    <n v="60000000"/>
    <n v="0"/>
    <n v="13950"/>
    <n v="474300"/>
    <n v="0.32937499999999997"/>
    <d v="2021-10-03T00:00:00"/>
    <e v="#REF!"/>
    <d v="2021-12-23T00:00:00"/>
    <m/>
  </r>
  <r>
    <x v="4"/>
    <s v="CART"/>
    <x v="17"/>
    <x v="17"/>
    <s v="QUADGRAPHICS"/>
    <n v="14"/>
    <x v="9"/>
    <x v="0"/>
    <s v="NUTRESA"/>
    <x v="0"/>
    <d v="2021-09-29T00:00:00"/>
    <m/>
    <m/>
    <m/>
    <x v="0"/>
    <x v="1"/>
    <s v="CARTCRD024124CADENASNUTRESA"/>
    <x v="6"/>
    <n v="14"/>
    <n v="1"/>
    <n v="0"/>
    <n v="0"/>
    <m/>
    <n v="5000000"/>
    <n v="60000000"/>
    <n v="0"/>
    <n v="13950"/>
    <n v="195300"/>
    <n v="0.135625"/>
    <d v="2021-10-03T00:00:00"/>
    <e v="#REF!"/>
    <d v="2021-12-23T00:00:00"/>
    <m/>
  </r>
  <r>
    <x v="10"/>
    <s v="IBA1"/>
    <x v="17"/>
    <x v="17"/>
    <s v="QUADGRAPHICS"/>
    <n v="2"/>
    <x v="9"/>
    <x v="0"/>
    <s v="NUTRESA"/>
    <x v="0"/>
    <d v="2021-09-29T00:00:00"/>
    <m/>
    <m/>
    <m/>
    <x v="0"/>
    <x v="1"/>
    <s v="IBA1CRD024124CADENASNUTRESA"/>
    <x v="7"/>
    <n v="2"/>
    <n v="1"/>
    <n v="0"/>
    <n v="0"/>
    <m/>
    <n v="5000000"/>
    <n v="60000000"/>
    <n v="0"/>
    <n v="13950"/>
    <n v="27900"/>
    <n v="1.9375E-2"/>
    <d v="2021-10-03T00:00:00"/>
    <e v="#REF!"/>
    <d v="2021-12-23T00:00:00"/>
    <m/>
  </r>
  <r>
    <x v="5"/>
    <s v="MEDE"/>
    <x v="17"/>
    <x v="17"/>
    <s v="QUADGRAPHICS"/>
    <n v="17"/>
    <x v="9"/>
    <x v="0"/>
    <s v="NUTRESA"/>
    <x v="0"/>
    <d v="2021-09-29T00:00:00"/>
    <m/>
    <m/>
    <m/>
    <x v="0"/>
    <x v="1"/>
    <s v="MEDECRD024124CADENASNUTRESA"/>
    <x v="8"/>
    <n v="17"/>
    <n v="1"/>
    <n v="0"/>
    <n v="0"/>
    <m/>
    <n v="5000000"/>
    <n v="60000000"/>
    <n v="0"/>
    <n v="13950"/>
    <n v="237150"/>
    <n v="0.16468749999999999"/>
    <d v="2021-10-03T00:00:00"/>
    <e v="#REF!"/>
    <d v="2021-12-23T00:00:00"/>
    <m/>
  </r>
  <r>
    <x v="6"/>
    <s v="PERE"/>
    <x v="17"/>
    <x v="17"/>
    <s v="QUADGRAPHICS"/>
    <n v="21"/>
    <x v="9"/>
    <x v="0"/>
    <s v="NUTRESA"/>
    <x v="0"/>
    <d v="2021-09-29T00:00:00"/>
    <m/>
    <m/>
    <m/>
    <x v="0"/>
    <x v="1"/>
    <s v="PERECRD024124CADENASNUTRESA"/>
    <x v="9"/>
    <n v="21"/>
    <n v="1"/>
    <n v="0"/>
    <n v="0"/>
    <m/>
    <n v="5000000"/>
    <n v="60000000"/>
    <n v="0"/>
    <n v="13950"/>
    <n v="292950"/>
    <n v="0.20343749999999999"/>
    <d v="2021-10-03T00:00:00"/>
    <e v="#REF!"/>
    <d v="2021-12-23T00:00:00"/>
    <m/>
  </r>
  <r>
    <x v="1"/>
    <s v="BGTA"/>
    <x v="18"/>
    <x v="18"/>
    <s v="QUADGRAPHICS"/>
    <n v="18"/>
    <x v="9"/>
    <x v="0"/>
    <s v="NUTRESA"/>
    <x v="0"/>
    <d v="2021-09-29T00:00:00"/>
    <m/>
    <m/>
    <m/>
    <x v="0"/>
    <x v="1"/>
    <s v="BGTACRD024125CADENASNUTRESA"/>
    <x v="10"/>
    <n v="18"/>
    <n v="1"/>
    <n v="0"/>
    <n v="0"/>
    <m/>
    <n v="5000000"/>
    <n v="80000000"/>
    <n v="0"/>
    <n v="24800"/>
    <n v="446400"/>
    <n v="0.31"/>
    <d v="2021-10-03T00:00:00"/>
    <e v="#REF!"/>
    <d v="2021-12-23T00:00:00"/>
    <m/>
  </r>
  <r>
    <x v="9"/>
    <s v="BUCA"/>
    <x v="18"/>
    <x v="18"/>
    <s v="QUADGRAPHICS"/>
    <n v="2"/>
    <x v="9"/>
    <x v="0"/>
    <s v="NUTRESA"/>
    <x v="0"/>
    <d v="2021-09-29T00:00:00"/>
    <m/>
    <m/>
    <m/>
    <x v="0"/>
    <x v="1"/>
    <s v="BUCA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3"/>
    <s v="CALI"/>
    <x v="18"/>
    <x v="18"/>
    <s v="QUADGRAPHICS"/>
    <n v="20"/>
    <x v="9"/>
    <x v="0"/>
    <s v="NUTRESA"/>
    <x v="0"/>
    <d v="2021-09-29T00:00:00"/>
    <m/>
    <m/>
    <m/>
    <x v="0"/>
    <x v="1"/>
    <s v="CALICRD024125CADENASNUTRESA"/>
    <x v="11"/>
    <n v="20"/>
    <n v="1"/>
    <n v="0"/>
    <n v="0"/>
    <m/>
    <n v="5000000"/>
    <n v="80000000"/>
    <n v="0"/>
    <n v="24800"/>
    <n v="496000"/>
    <n v="0.34444444444444444"/>
    <d v="2021-10-03T00:00:00"/>
    <e v="#REF!"/>
    <d v="2021-12-23T00:00:00"/>
    <m/>
  </r>
  <r>
    <x v="4"/>
    <s v="CART"/>
    <x v="18"/>
    <x v="18"/>
    <s v="QUADGRAPHICS"/>
    <n v="2"/>
    <x v="9"/>
    <x v="0"/>
    <s v="NUTRESA"/>
    <x v="0"/>
    <d v="2021-09-29T00:00:00"/>
    <m/>
    <m/>
    <m/>
    <x v="0"/>
    <x v="1"/>
    <s v="CART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10"/>
    <s v="IBA1"/>
    <x v="18"/>
    <x v="18"/>
    <s v="QUADGRAPHICS"/>
    <n v="2"/>
    <x v="9"/>
    <x v="0"/>
    <s v="NUTRESA"/>
    <x v="0"/>
    <d v="2021-09-29T00:00:00"/>
    <m/>
    <m/>
    <m/>
    <x v="0"/>
    <x v="1"/>
    <s v="IBA1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5"/>
    <s v="MEDE"/>
    <x v="18"/>
    <x v="18"/>
    <s v="QUADGRAPHICS"/>
    <n v="2"/>
    <x v="9"/>
    <x v="0"/>
    <s v="NUTRESA"/>
    <x v="0"/>
    <d v="2021-09-29T00:00:00"/>
    <m/>
    <m/>
    <m/>
    <x v="0"/>
    <x v="1"/>
    <s v="MEDE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6"/>
    <s v="PERE"/>
    <x v="18"/>
    <x v="18"/>
    <s v="QUADGRAPHICS"/>
    <n v="16"/>
    <x v="9"/>
    <x v="0"/>
    <s v="NUTRESA"/>
    <x v="0"/>
    <d v="2021-09-29T00:00:00"/>
    <m/>
    <m/>
    <m/>
    <x v="0"/>
    <x v="1"/>
    <s v="PERECRD024125CADENASNUTRESA"/>
    <x v="12"/>
    <n v="16"/>
    <n v="1"/>
    <n v="0"/>
    <n v="0"/>
    <m/>
    <n v="5000000"/>
    <n v="80000000"/>
    <n v="0"/>
    <n v="24800"/>
    <n v="396800"/>
    <n v="0.27555555555555555"/>
    <d v="2021-10-03T00:00:00"/>
    <e v="#REF!"/>
    <d v="2021-12-23T00:00:00"/>
    <m/>
  </r>
  <r>
    <x v="1"/>
    <s v="BGTA"/>
    <x v="19"/>
    <x v="19"/>
    <s v="QUADGRAPHICS"/>
    <n v="1"/>
    <x v="9"/>
    <x v="0"/>
    <s v="NUTRESA"/>
    <x v="0"/>
    <d v="2021-09-29T00:00:00"/>
    <m/>
    <m/>
    <m/>
    <x v="0"/>
    <x v="1"/>
    <s v="BGTA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10"/>
    <s v="IBA1"/>
    <x v="19"/>
    <x v="19"/>
    <s v="QUADGRAPHICS"/>
    <n v="1"/>
    <x v="9"/>
    <x v="0"/>
    <s v="NUTRESA"/>
    <x v="0"/>
    <d v="2021-09-29T00:00:00"/>
    <m/>
    <m/>
    <m/>
    <x v="0"/>
    <x v="1"/>
    <s v="IBA1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6"/>
    <s v="PERE"/>
    <x v="19"/>
    <x v="19"/>
    <s v="QUADGRAPHICS"/>
    <n v="1"/>
    <x v="9"/>
    <x v="0"/>
    <s v="NUTRESA"/>
    <x v="0"/>
    <d v="2021-09-29T00:00:00"/>
    <m/>
    <m/>
    <m/>
    <x v="0"/>
    <x v="1"/>
    <s v="PERE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1"/>
    <s v="BGTA"/>
    <x v="20"/>
    <x v="20"/>
    <s v="POP"/>
    <n v="4"/>
    <x v="9"/>
    <x v="0"/>
    <s v="NUTRESA"/>
    <x v="0"/>
    <d v="2021-09-29T00:00:00"/>
    <m/>
    <m/>
    <m/>
    <x v="0"/>
    <x v="1"/>
    <s v="BGTACRD024127CADENASNUTRESA"/>
    <x v="1"/>
    <n v="4"/>
    <n v="1"/>
    <n v="0"/>
    <n v="0"/>
    <m/>
    <n v="26000000"/>
    <n v="204000000"/>
    <n v="0"/>
    <n v="80000"/>
    <n v="320000"/>
    <n v="0.22222222222222221"/>
    <d v="2021-10-03T00:00:00"/>
    <e v="#REF!"/>
    <d v="2021-12-23T00:00:00"/>
    <m/>
  </r>
  <r>
    <x v="3"/>
    <s v="CALI"/>
    <x v="20"/>
    <x v="20"/>
    <s v="POP"/>
    <n v="1"/>
    <x v="9"/>
    <x v="0"/>
    <s v="NUTRESA"/>
    <x v="0"/>
    <d v="2021-09-29T00:00:00"/>
    <m/>
    <m/>
    <m/>
    <x v="0"/>
    <x v="1"/>
    <s v="CALICRD024127CADENASNUTRESA"/>
    <x v="13"/>
    <n v="1"/>
    <n v="1"/>
    <n v="0"/>
    <n v="0"/>
    <m/>
    <n v="26000000"/>
    <n v="204000000"/>
    <n v="0"/>
    <n v="80000"/>
    <n v="80000"/>
    <n v="5.5555555555555552E-2"/>
    <d v="2021-10-03T00:00:00"/>
    <e v="#REF!"/>
    <d v="2021-12-23T00:00:00"/>
    <m/>
  </r>
  <r>
    <x v="0"/>
    <s v="BARR"/>
    <x v="21"/>
    <x v="21"/>
    <s v="POP"/>
    <n v="28"/>
    <x v="9"/>
    <x v="0"/>
    <s v="NUTRESA"/>
    <x v="0"/>
    <d v="2021-09-29T00:00:00"/>
    <m/>
    <m/>
    <m/>
    <x v="0"/>
    <x v="1"/>
    <s v="BARRCRD024128CADENASNUTRESA"/>
    <x v="2"/>
    <n v="28"/>
    <n v="1"/>
    <n v="0"/>
    <n v="0"/>
    <m/>
    <n v="1000000"/>
    <n v="58000000"/>
    <n v="0"/>
    <n v="5800"/>
    <n v="162400"/>
    <n v="0.11277777777777778"/>
    <d v="2021-10-03T00:00:00"/>
    <e v="#REF!"/>
    <d v="2021-12-23T00:00:00"/>
    <m/>
  </r>
  <r>
    <x v="1"/>
    <s v="BGTA"/>
    <x v="21"/>
    <x v="21"/>
    <s v="POP"/>
    <n v="97"/>
    <x v="9"/>
    <x v="0"/>
    <s v="NUTRESA"/>
    <x v="0"/>
    <d v="2021-09-29T00:00:00"/>
    <m/>
    <m/>
    <m/>
    <x v="0"/>
    <x v="1"/>
    <s v="BGTACRD024128CADENASNUTRESA"/>
    <x v="14"/>
    <n v="97"/>
    <n v="1"/>
    <n v="0"/>
    <n v="0"/>
    <m/>
    <n v="1000000"/>
    <n v="58000000"/>
    <n v="0"/>
    <n v="5800"/>
    <n v="562600"/>
    <n v="0.39069444444444446"/>
    <d v="2021-10-03T00:00:00"/>
    <e v="#REF!"/>
    <d v="2021-12-23T00:00:00"/>
    <m/>
  </r>
  <r>
    <x v="9"/>
    <s v="BUCA"/>
    <x v="21"/>
    <x v="21"/>
    <s v="POP"/>
    <n v="22"/>
    <x v="9"/>
    <x v="0"/>
    <s v="NUTRESA"/>
    <x v="0"/>
    <d v="2021-09-29T00:00:00"/>
    <m/>
    <m/>
    <m/>
    <x v="0"/>
    <x v="1"/>
    <s v="BUCACRD024128CADENASNUTRESA"/>
    <x v="15"/>
    <n v="22"/>
    <n v="1"/>
    <n v="0"/>
    <n v="0"/>
    <m/>
    <n v="1000000"/>
    <n v="58000000"/>
    <n v="0"/>
    <n v="5800"/>
    <n v="127600"/>
    <n v="8.8611111111111113E-2"/>
    <d v="2021-10-03T00:00:00"/>
    <e v="#REF!"/>
    <d v="2021-12-23T00:00:00"/>
    <m/>
  </r>
  <r>
    <x v="3"/>
    <s v="CALI"/>
    <x v="21"/>
    <x v="21"/>
    <s v="POP"/>
    <n v="20"/>
    <x v="9"/>
    <x v="0"/>
    <s v="NUTRESA"/>
    <x v="0"/>
    <d v="2021-09-29T00:00:00"/>
    <m/>
    <m/>
    <m/>
    <x v="0"/>
    <x v="1"/>
    <s v="CALICRD024128CADENASNUTRESA"/>
    <x v="11"/>
    <n v="20"/>
    <n v="1"/>
    <n v="0"/>
    <n v="0"/>
    <m/>
    <n v="1000000"/>
    <n v="58000000"/>
    <n v="0"/>
    <n v="5800"/>
    <n v="116000"/>
    <n v="8.0555555555555561E-2"/>
    <d v="2021-10-03T00:00:00"/>
    <e v="#REF!"/>
    <d v="2021-12-23T00:00:00"/>
    <m/>
  </r>
  <r>
    <x v="4"/>
    <s v="CART"/>
    <x v="21"/>
    <x v="21"/>
    <s v="POP"/>
    <n v="17"/>
    <x v="9"/>
    <x v="0"/>
    <s v="NUTRESA"/>
    <x v="0"/>
    <d v="2021-09-29T00:00:00"/>
    <m/>
    <m/>
    <m/>
    <x v="0"/>
    <x v="1"/>
    <s v="CARTCRD024128CADENASNUTRESA"/>
    <x v="8"/>
    <n v="17"/>
    <n v="1"/>
    <n v="0"/>
    <n v="0"/>
    <m/>
    <n v="1000000"/>
    <n v="58000000"/>
    <n v="0"/>
    <n v="5800"/>
    <n v="98600"/>
    <n v="6.8472222222222226E-2"/>
    <d v="2021-10-03T00:00:00"/>
    <e v="#REF!"/>
    <d v="2021-12-23T00:00:00"/>
    <m/>
  </r>
  <r>
    <x v="5"/>
    <s v="MEDE"/>
    <x v="21"/>
    <x v="21"/>
    <s v="POP"/>
    <n v="61"/>
    <x v="9"/>
    <x v="0"/>
    <s v="NUTRESA"/>
    <x v="0"/>
    <d v="2021-09-29T00:00:00"/>
    <m/>
    <m/>
    <m/>
    <x v="0"/>
    <x v="2"/>
    <s v="MEDECRD024128CADENASNUTRESA"/>
    <x v="16"/>
    <n v="61"/>
    <n v="1"/>
    <n v="0"/>
    <n v="0"/>
    <m/>
    <n v="1000000"/>
    <n v="58000000"/>
    <n v="0"/>
    <n v="5800"/>
    <n v="353800"/>
    <n v="0.24569444444444444"/>
    <d v="2021-10-03T00:00:00"/>
    <e v="#REF!"/>
    <d v="2021-12-23T00:00:00"/>
    <m/>
  </r>
  <r>
    <x v="6"/>
    <s v="PERE"/>
    <x v="21"/>
    <x v="21"/>
    <s v="POP"/>
    <n v="16"/>
    <x v="9"/>
    <x v="0"/>
    <s v="NUTRESA"/>
    <x v="0"/>
    <d v="2021-09-29T00:00:00"/>
    <m/>
    <m/>
    <m/>
    <x v="0"/>
    <x v="1"/>
    <s v="PERECRD024128CADENASNUTRESA"/>
    <x v="12"/>
    <n v="16"/>
    <n v="1"/>
    <n v="0"/>
    <n v="0"/>
    <m/>
    <n v="1000000"/>
    <n v="58000000"/>
    <n v="0"/>
    <n v="5800"/>
    <n v="92800"/>
    <n v="6.4444444444444443E-2"/>
    <d v="2021-10-03T00:00:00"/>
    <e v="#REF!"/>
    <d v="2021-12-23T00:00:00"/>
    <m/>
  </r>
  <r>
    <x v="0"/>
    <s v="BARR"/>
    <x v="22"/>
    <x v="22"/>
    <s v="POP"/>
    <n v="1"/>
    <x v="9"/>
    <x v="0"/>
    <s v="NUTRESA"/>
    <x v="0"/>
    <d v="2021-09-29T00:00:00"/>
    <m/>
    <m/>
    <m/>
    <x v="0"/>
    <x v="1"/>
    <s v="BARRCRD024129CADENASNUTRESA"/>
    <x v="13"/>
    <n v="1"/>
    <n v="1"/>
    <n v="0"/>
    <n v="0"/>
    <m/>
    <n v="14000000"/>
    <n v="77000000"/>
    <n v="0"/>
    <n v="170240"/>
    <n v="170240"/>
    <n v="0.11822222222222223"/>
    <d v="2021-10-03T00:00:00"/>
    <e v="#REF!"/>
    <d v="2021-12-23T00:00:00"/>
    <m/>
  </r>
  <r>
    <x v="1"/>
    <s v="BGTA"/>
    <x v="22"/>
    <x v="22"/>
    <s v="POP"/>
    <n v="3"/>
    <x v="9"/>
    <x v="0"/>
    <s v="NUTRESA"/>
    <x v="0"/>
    <d v="2021-09-29T00:00:00"/>
    <m/>
    <m/>
    <m/>
    <x v="0"/>
    <x v="1"/>
    <s v="BGTACRD024129CADENASNUTRESA"/>
    <x v="17"/>
    <n v="3"/>
    <n v="1"/>
    <n v="0"/>
    <n v="0"/>
    <m/>
    <n v="14000000"/>
    <n v="77000000"/>
    <n v="0"/>
    <n v="170240"/>
    <n v="510720"/>
    <n v="0.35466666666666669"/>
    <d v="2021-10-03T00:00:00"/>
    <e v="#REF!"/>
    <d v="2021-12-23T00:00:00"/>
    <m/>
  </r>
  <r>
    <x v="3"/>
    <s v="CALI"/>
    <x v="22"/>
    <x v="22"/>
    <s v="POP"/>
    <n v="2"/>
    <x v="9"/>
    <x v="0"/>
    <s v="NUTRESA"/>
    <x v="0"/>
    <d v="2021-09-29T00:00:00"/>
    <m/>
    <m/>
    <m/>
    <x v="0"/>
    <x v="1"/>
    <s v="CALICRD024129CADENASNUTRESA"/>
    <x v="7"/>
    <n v="2"/>
    <n v="1"/>
    <n v="0"/>
    <n v="0"/>
    <m/>
    <n v="14000000"/>
    <n v="77000000"/>
    <n v="0"/>
    <n v="170240"/>
    <n v="340480"/>
    <n v="0.23644444444444446"/>
    <d v="2021-10-03T00:00:00"/>
    <e v="#REF!"/>
    <d v="2021-12-23T00:00:00"/>
    <m/>
  </r>
  <r>
    <x v="4"/>
    <s v="CART"/>
    <x v="22"/>
    <x v="22"/>
    <s v="POP"/>
    <n v="1"/>
    <x v="9"/>
    <x v="0"/>
    <s v="NUTRESA"/>
    <x v="0"/>
    <d v="2021-09-29T00:00:00"/>
    <m/>
    <m/>
    <m/>
    <x v="0"/>
    <x v="1"/>
    <s v="CARTCRD024129CADENASNUTRESA"/>
    <x v="13"/>
    <n v="1"/>
    <n v="1"/>
    <n v="0"/>
    <n v="0"/>
    <m/>
    <n v="14000000"/>
    <n v="77000000"/>
    <n v="0"/>
    <n v="170240"/>
    <n v="170240"/>
    <n v="0.11822222222222223"/>
    <d v="2021-10-03T00:00:00"/>
    <e v="#REF!"/>
    <d v="2021-12-23T00:00:00"/>
    <m/>
  </r>
  <r>
    <x v="10"/>
    <s v="IBA1"/>
    <x v="22"/>
    <x v="22"/>
    <s v="POP"/>
    <n v="11"/>
    <x v="9"/>
    <x v="0"/>
    <s v="NUTRESA"/>
    <x v="0"/>
    <d v="2021-09-29T00:00:00"/>
    <m/>
    <m/>
    <m/>
    <x v="0"/>
    <x v="1"/>
    <s v="IBA1CRD024129CADENASNUTRESA"/>
    <x v="18"/>
    <n v="10"/>
    <n v="1"/>
    <n v="1"/>
    <n v="9.0909090909090912E-2"/>
    <m/>
    <n v="14000000"/>
    <n v="77000000"/>
    <n v="0"/>
    <n v="170240"/>
    <n v="1872640"/>
    <n v="1.3004444444444445"/>
    <d v="2021-10-03T00:00:00"/>
    <e v="#REF!"/>
    <d v="2021-12-23T00:00:00"/>
    <m/>
  </r>
  <r>
    <x v="6"/>
    <s v="PERE"/>
    <x v="22"/>
    <x v="22"/>
    <s v="POP"/>
    <n v="3"/>
    <x v="9"/>
    <x v="0"/>
    <s v="NUTRESA"/>
    <x v="0"/>
    <d v="2021-09-29T00:00:00"/>
    <m/>
    <m/>
    <m/>
    <x v="0"/>
    <x v="1"/>
    <s v="PERECRD024129CADENASNUTRESA"/>
    <x v="17"/>
    <n v="3"/>
    <n v="1"/>
    <n v="0"/>
    <n v="0"/>
    <m/>
    <n v="14000000"/>
    <n v="77000000"/>
    <n v="0"/>
    <n v="170240"/>
    <n v="510720"/>
    <n v="0.35466666666666669"/>
    <d v="2021-10-03T00:00:00"/>
    <e v="#REF!"/>
    <d v="2021-12-23T00:00:00"/>
    <m/>
  </r>
  <r>
    <x v="1"/>
    <s v="BGTA"/>
    <x v="23"/>
    <x v="23"/>
    <s v="POP"/>
    <n v="1"/>
    <x v="9"/>
    <x v="0"/>
    <s v="NUTRESA"/>
    <x v="0"/>
    <d v="2021-09-29T00:00:00"/>
    <m/>
    <m/>
    <m/>
    <x v="0"/>
    <x v="1"/>
    <s v="BGTACRD024130CADENASNUTRESA"/>
    <x v="13"/>
    <n v="1"/>
    <n v="1"/>
    <n v="0"/>
    <n v="0"/>
    <m/>
    <n v="86000000"/>
    <n v="38000000"/>
    <n v="0"/>
    <n v="288960"/>
    <n v="288960"/>
    <n v="0.20066666666666666"/>
    <d v="2021-10-03T00:00:00"/>
    <e v="#REF!"/>
    <d v="2021-12-23T00:00:00"/>
    <m/>
  </r>
  <r>
    <x v="3"/>
    <s v="CALI"/>
    <x v="23"/>
    <x v="23"/>
    <s v="POP"/>
    <n v="2"/>
    <x v="9"/>
    <x v="0"/>
    <s v="NUTRESA"/>
    <x v="0"/>
    <d v="2021-09-29T00:00:00"/>
    <m/>
    <m/>
    <m/>
    <x v="0"/>
    <x v="1"/>
    <s v="CALICRD024130CADENASNUTRESA"/>
    <x v="7"/>
    <n v="2"/>
    <n v="1"/>
    <n v="0"/>
    <n v="0"/>
    <m/>
    <n v="86000000"/>
    <n v="38000000"/>
    <n v="0"/>
    <n v="288960"/>
    <n v="577920"/>
    <n v="0.40133333333333332"/>
    <d v="2021-10-03T00:00:00"/>
    <e v="#REF!"/>
    <d v="2021-12-23T00:00:00"/>
    <m/>
  </r>
  <r>
    <x v="6"/>
    <s v="PERE"/>
    <x v="23"/>
    <x v="23"/>
    <s v="POP"/>
    <n v="1"/>
    <x v="9"/>
    <x v="0"/>
    <s v="NUTRESA"/>
    <x v="0"/>
    <d v="2021-09-29T00:00:00"/>
    <m/>
    <m/>
    <m/>
    <x v="0"/>
    <x v="1"/>
    <s v="PERECRD024130CADENASNUTRESA"/>
    <x v="13"/>
    <n v="1"/>
    <n v="1"/>
    <n v="0"/>
    <n v="0"/>
    <m/>
    <n v="86000000"/>
    <n v="38000000"/>
    <n v="0"/>
    <n v="288960"/>
    <n v="288960"/>
    <n v="0.20066666666666666"/>
    <d v="2021-10-03T00:00:00"/>
    <e v="#REF!"/>
    <d v="2021-12-23T00:00:00"/>
    <m/>
  </r>
  <r>
    <x v="0"/>
    <s v="BARR"/>
    <x v="24"/>
    <x v="24"/>
    <s v="QUADGRAPHICS"/>
    <n v="21"/>
    <x v="9"/>
    <x v="0"/>
    <s v="NUTRESA"/>
    <x v="0"/>
    <d v="2021-09-29T00:00:00"/>
    <m/>
    <m/>
    <m/>
    <x v="0"/>
    <x v="1"/>
    <s v="BARRCRD024131CADENASNUTRESA"/>
    <x v="9"/>
    <n v="21"/>
    <n v="1"/>
    <n v="0"/>
    <n v="0"/>
    <m/>
    <n v="5000000"/>
    <n v="5000000"/>
    <n v="0"/>
    <n v="1470"/>
    <n v="30870"/>
    <n v="2.1437500000000002E-2"/>
    <d v="2021-10-03T00:00:00"/>
    <e v="#REF!"/>
    <d v="2021-12-23T00:00:00"/>
    <m/>
  </r>
  <r>
    <x v="1"/>
    <s v="BGTA"/>
    <x v="24"/>
    <x v="24"/>
    <s v="QUADGRAPHICS"/>
    <n v="76"/>
    <x v="9"/>
    <x v="0"/>
    <s v="NUTRESA"/>
    <x v="0"/>
    <d v="2021-09-29T00:00:00"/>
    <m/>
    <m/>
    <m/>
    <x v="0"/>
    <x v="1"/>
    <s v="BGTACRD024131CADENASNUTRESA"/>
    <x v="19"/>
    <n v="76"/>
    <n v="1"/>
    <n v="0"/>
    <n v="0"/>
    <m/>
    <n v="5000000"/>
    <n v="5000000"/>
    <n v="0"/>
    <n v="1470"/>
    <n v="111720"/>
    <n v="7.7583333333333337E-2"/>
    <d v="2021-10-03T00:00:00"/>
    <e v="#REF!"/>
    <d v="2021-12-23T00:00:00"/>
    <m/>
  </r>
  <r>
    <x v="9"/>
    <s v="BUCA"/>
    <x v="24"/>
    <x v="24"/>
    <s v="QUADGRAPHICS"/>
    <n v="11"/>
    <x v="9"/>
    <x v="0"/>
    <s v="NUTRESA"/>
    <x v="0"/>
    <d v="2021-09-29T00:00:00"/>
    <m/>
    <m/>
    <m/>
    <x v="0"/>
    <x v="1"/>
    <s v="BUCACRD024131CADENASNUTRESA"/>
    <x v="18"/>
    <n v="11"/>
    <n v="1"/>
    <n v="0"/>
    <n v="0"/>
    <m/>
    <n v="5000000"/>
    <n v="5000000"/>
    <n v="0"/>
    <n v="1470"/>
    <n v="16170"/>
    <n v="1.1229166666666667E-2"/>
    <d v="2021-10-03T00:00:00"/>
    <e v="#REF!"/>
    <d v="2021-12-23T00:00:00"/>
    <m/>
  </r>
  <r>
    <x v="3"/>
    <s v="CALI"/>
    <x v="24"/>
    <x v="24"/>
    <s v="QUADGRAPHICS"/>
    <n v="35"/>
    <x v="9"/>
    <x v="0"/>
    <s v="NUTRESA"/>
    <x v="0"/>
    <d v="2021-09-29T00:00:00"/>
    <m/>
    <m/>
    <m/>
    <x v="0"/>
    <x v="1"/>
    <s v="CALICRD024131CADENASNUTRESA"/>
    <x v="20"/>
    <n v="35"/>
    <n v="1"/>
    <n v="0"/>
    <n v="0"/>
    <m/>
    <n v="5000000"/>
    <n v="5000000"/>
    <n v="0"/>
    <n v="1470"/>
    <n v="51450"/>
    <n v="3.5729166666666666E-2"/>
    <d v="2021-10-03T00:00:00"/>
    <e v="#REF!"/>
    <d v="2021-12-23T00:00:00"/>
    <m/>
  </r>
  <r>
    <x v="4"/>
    <s v="CART"/>
    <x v="24"/>
    <x v="24"/>
    <s v="QUADGRAPHICS"/>
    <n v="18"/>
    <x v="9"/>
    <x v="0"/>
    <s v="NUTRESA"/>
    <x v="0"/>
    <d v="2021-09-29T00:00:00"/>
    <m/>
    <m/>
    <m/>
    <x v="0"/>
    <x v="1"/>
    <s v="CARTCRD024131CADENASNUTRESA"/>
    <x v="10"/>
    <n v="18"/>
    <n v="1"/>
    <n v="0"/>
    <n v="0"/>
    <m/>
    <n v="5000000"/>
    <n v="5000000"/>
    <n v="0"/>
    <n v="1470"/>
    <n v="26460"/>
    <n v="1.8374999999999999E-2"/>
    <d v="2021-10-03T00:00:00"/>
    <e v="#REF!"/>
    <d v="2021-12-23T00:00:00"/>
    <m/>
  </r>
  <r>
    <x v="10"/>
    <s v="IBA1"/>
    <x v="24"/>
    <x v="24"/>
    <s v="QUADGRAPHICS"/>
    <n v="1"/>
    <x v="9"/>
    <x v="0"/>
    <s v="NUTRESA"/>
    <x v="0"/>
    <d v="2021-09-29T00:00:00"/>
    <m/>
    <m/>
    <m/>
    <x v="0"/>
    <x v="1"/>
    <s v="IBA1CRD024131CADENASNUTRESA"/>
    <x v="13"/>
    <n v="1"/>
    <n v="1"/>
    <n v="0"/>
    <n v="0"/>
    <m/>
    <n v="5000000"/>
    <n v="5000000"/>
    <n v="0"/>
    <n v="1470"/>
    <n v="1470"/>
    <n v="1.0208333333333332E-3"/>
    <d v="2021-10-03T00:00:00"/>
    <e v="#REF!"/>
    <d v="2021-12-23T00:00:00"/>
    <m/>
  </r>
  <r>
    <x v="5"/>
    <s v="MEDE"/>
    <x v="24"/>
    <x v="24"/>
    <s v="QUADGRAPHICS"/>
    <n v="70"/>
    <x v="9"/>
    <x v="0"/>
    <s v="NUTRESA"/>
    <x v="0"/>
    <d v="2021-09-29T00:00:00"/>
    <m/>
    <m/>
    <m/>
    <x v="0"/>
    <x v="1"/>
    <s v="MEDECRD024131CADENASNUTRESA"/>
    <x v="21"/>
    <n v="70"/>
    <n v="1"/>
    <n v="0"/>
    <n v="0"/>
    <m/>
    <n v="5000000"/>
    <n v="5000000"/>
    <n v="0"/>
    <n v="1470"/>
    <n v="102900"/>
    <n v="7.1458333333333332E-2"/>
    <d v="2021-10-03T00:00:00"/>
    <e v="#REF!"/>
    <d v="2021-12-23T00:00:00"/>
    <m/>
  </r>
  <r>
    <x v="6"/>
    <s v="PERE"/>
    <x v="24"/>
    <x v="24"/>
    <s v="QUADGRAPHICS"/>
    <n v="19"/>
    <x v="9"/>
    <x v="0"/>
    <s v="NUTRESA"/>
    <x v="0"/>
    <d v="2021-09-29T00:00:00"/>
    <m/>
    <m/>
    <m/>
    <x v="0"/>
    <x v="1"/>
    <s v="PERECRD024131CADENASNUTRESA"/>
    <x v="22"/>
    <n v="19"/>
    <n v="1"/>
    <n v="0"/>
    <n v="0"/>
    <m/>
    <n v="5000000"/>
    <n v="5000000"/>
    <n v="0"/>
    <n v="1470"/>
    <n v="27930"/>
    <n v="1.9395833333333334E-2"/>
    <d v="2021-10-03T00:00:00"/>
    <e v="#REF!"/>
    <d v="2021-12-23T00:00:00"/>
    <m/>
  </r>
  <r>
    <x v="0"/>
    <s v="BARR"/>
    <x v="25"/>
    <x v="25"/>
    <s v="POP"/>
    <n v="11"/>
    <x v="9"/>
    <x v="0"/>
    <s v="NUTRESA"/>
    <x v="0"/>
    <d v="2021-09-29T00:00:00"/>
    <m/>
    <m/>
    <m/>
    <x v="0"/>
    <x v="1"/>
    <s v="BARRCRD024350CADENASNUTRESA"/>
    <x v="18"/>
    <n v="11"/>
    <n v="1"/>
    <n v="0"/>
    <n v="0"/>
    <m/>
    <n v="90000000"/>
    <n v="53000000"/>
    <n v="0"/>
    <n v="27000"/>
    <n v="297000"/>
    <n v="0.20624999999999999"/>
    <d v="2021-10-03T00:00:00"/>
    <e v="#REF!"/>
    <d v="2021-12-23T00:00:00"/>
    <m/>
  </r>
  <r>
    <x v="1"/>
    <s v="BGTA"/>
    <x v="25"/>
    <x v="25"/>
    <s v="POP"/>
    <n v="16"/>
    <x v="9"/>
    <x v="0"/>
    <s v="NUTRESA"/>
    <x v="0"/>
    <d v="2021-09-29T00:00:00"/>
    <m/>
    <m/>
    <m/>
    <x v="0"/>
    <x v="1"/>
    <s v="BGTACRD024350CADENASNUTRESA"/>
    <x v="12"/>
    <n v="16"/>
    <n v="1"/>
    <n v="0"/>
    <n v="0"/>
    <m/>
    <n v="90000000"/>
    <n v="53000000"/>
    <n v="0"/>
    <n v="27000"/>
    <n v="432000"/>
    <n v="0.3"/>
    <d v="2021-10-03T00:00:00"/>
    <e v="#REF!"/>
    <d v="2021-12-23T00:00:00"/>
    <m/>
  </r>
  <r>
    <x v="9"/>
    <s v="BUCA"/>
    <x v="25"/>
    <x v="25"/>
    <s v="POP"/>
    <n v="4"/>
    <x v="9"/>
    <x v="0"/>
    <s v="NUTRESA"/>
    <x v="0"/>
    <d v="2021-09-29T00:00:00"/>
    <m/>
    <m/>
    <m/>
    <x v="0"/>
    <x v="1"/>
    <s v="BUCACRD024350CADENASNUTRESA"/>
    <x v="1"/>
    <n v="4"/>
    <n v="1"/>
    <n v="0"/>
    <n v="0"/>
    <m/>
    <n v="90000000"/>
    <n v="53000000"/>
    <n v="0"/>
    <n v="27000"/>
    <n v="108000"/>
    <n v="7.4999999999999997E-2"/>
    <d v="2021-10-03T00:00:00"/>
    <e v="#REF!"/>
    <d v="2021-12-23T00:00:00"/>
    <m/>
  </r>
  <r>
    <x v="3"/>
    <s v="CALI"/>
    <x v="25"/>
    <x v="25"/>
    <s v="POP"/>
    <n v="8"/>
    <x v="9"/>
    <x v="0"/>
    <s v="NUTRESA"/>
    <x v="0"/>
    <d v="2021-09-29T00:00:00"/>
    <m/>
    <m/>
    <m/>
    <x v="0"/>
    <x v="1"/>
    <s v="CALICRD024350CADENASNUTRESA"/>
    <x v="4"/>
    <n v="8"/>
    <n v="1"/>
    <n v="0"/>
    <n v="0"/>
    <m/>
    <n v="90000000"/>
    <n v="53000000"/>
    <n v="0"/>
    <n v="27000"/>
    <n v="216000"/>
    <n v="0.15"/>
    <d v="2021-10-03T00:00:00"/>
    <e v="#REF!"/>
    <d v="2021-12-23T00:00:00"/>
    <m/>
  </r>
  <r>
    <x v="4"/>
    <s v="CART"/>
    <x v="25"/>
    <x v="25"/>
    <s v="POP"/>
    <n v="4"/>
    <x v="9"/>
    <x v="0"/>
    <s v="NUTRESA"/>
    <x v="0"/>
    <d v="2021-09-29T00:00:00"/>
    <m/>
    <m/>
    <m/>
    <x v="0"/>
    <x v="1"/>
    <s v="CARTCRD024350CADENASNUTRESA"/>
    <x v="1"/>
    <n v="4"/>
    <n v="1"/>
    <n v="0"/>
    <n v="0"/>
    <m/>
    <n v="90000000"/>
    <n v="53000000"/>
    <n v="0"/>
    <n v="27000"/>
    <n v="108000"/>
    <n v="7.4999999999999997E-2"/>
    <d v="2021-10-03T00:00:00"/>
    <e v="#REF!"/>
    <d v="2021-12-23T00:00:00"/>
    <m/>
  </r>
  <r>
    <x v="10"/>
    <s v="IBA1"/>
    <x v="25"/>
    <x v="25"/>
    <s v="POP"/>
    <n v="18"/>
    <x v="9"/>
    <x v="0"/>
    <s v="NUTRESA"/>
    <x v="0"/>
    <d v="2021-09-29T00:00:00"/>
    <m/>
    <m/>
    <m/>
    <x v="0"/>
    <x v="1"/>
    <s v="IBA1CRD024350CADENASNUTRESA"/>
    <x v="10"/>
    <n v="18"/>
    <n v="1"/>
    <n v="0"/>
    <n v="0"/>
    <m/>
    <n v="90000000"/>
    <n v="53000000"/>
    <n v="0"/>
    <n v="27000"/>
    <n v="486000"/>
    <n v="0.33750000000000002"/>
    <d v="2021-10-03T00:00:00"/>
    <e v="#REF!"/>
    <d v="2021-12-23T00:00:00"/>
    <m/>
  </r>
  <r>
    <x v="5"/>
    <s v="MEDE"/>
    <x v="25"/>
    <x v="25"/>
    <s v="POP"/>
    <n v="6"/>
    <x v="9"/>
    <x v="0"/>
    <s v="NUTRESA"/>
    <x v="0"/>
    <d v="2021-09-29T00:00:00"/>
    <m/>
    <m/>
    <m/>
    <x v="0"/>
    <x v="2"/>
    <s v="MEDECRD024350CADENASNUTRESA"/>
    <x v="23"/>
    <n v="6"/>
    <n v="1"/>
    <n v="0"/>
    <n v="0"/>
    <m/>
    <n v="90000000"/>
    <n v="53000000"/>
    <n v="0"/>
    <n v="27000"/>
    <n v="162000"/>
    <n v="0.1125"/>
    <d v="2021-10-03T00:00:00"/>
    <e v="#REF!"/>
    <d v="2021-12-23T00:00:00"/>
    <m/>
  </r>
  <r>
    <x v="6"/>
    <s v="PERE"/>
    <x v="25"/>
    <x v="25"/>
    <s v="POP"/>
    <n v="3"/>
    <x v="9"/>
    <x v="0"/>
    <s v="NUTRESA"/>
    <x v="0"/>
    <d v="2021-09-29T00:00:00"/>
    <m/>
    <m/>
    <m/>
    <x v="0"/>
    <x v="1"/>
    <s v="PERECRD024350CADENASNUTRESA"/>
    <x v="17"/>
    <n v="3"/>
    <n v="1"/>
    <n v="0"/>
    <n v="0"/>
    <m/>
    <n v="90000000"/>
    <n v="53000000"/>
    <n v="0"/>
    <n v="27000"/>
    <n v="81000"/>
    <n v="5.6250000000000001E-2"/>
    <d v="2021-10-03T00:00:00"/>
    <e v="#REF!"/>
    <d v="2021-12-23T00:00:00"/>
    <m/>
  </r>
  <r>
    <x v="0"/>
    <s v="BARR"/>
    <x v="26"/>
    <x v="26"/>
    <s v="POP"/>
    <n v="3"/>
    <x v="9"/>
    <x v="0"/>
    <s v="NUTRESA"/>
    <x v="0"/>
    <d v="2021-09-29T00:00:00"/>
    <m/>
    <m/>
    <m/>
    <x v="0"/>
    <x v="1"/>
    <s v="BARRCRD024351CADENASNUTRESA"/>
    <x v="17"/>
    <n v="3"/>
    <n v="1"/>
    <n v="0"/>
    <n v="0"/>
    <m/>
    <n v="28000000"/>
    <n v="22000000"/>
    <n v="0"/>
    <n v="2940"/>
    <n v="8820"/>
    <n v="6.1250000000000002E-3"/>
    <d v="2021-10-03T00:00:00"/>
    <e v="#REF!"/>
    <d v="2021-12-23T00:00:00"/>
    <m/>
  </r>
  <r>
    <x v="1"/>
    <s v="BGTA"/>
    <x v="26"/>
    <x v="26"/>
    <s v="POP"/>
    <n v="10"/>
    <x v="9"/>
    <x v="0"/>
    <s v="NUTRESA"/>
    <x v="0"/>
    <d v="2021-09-29T00:00:00"/>
    <m/>
    <m/>
    <m/>
    <x v="0"/>
    <x v="1"/>
    <s v="BGTACRD024351CADENASNUTRESA"/>
    <x v="24"/>
    <n v="10"/>
    <n v="1"/>
    <n v="0"/>
    <n v="0"/>
    <m/>
    <n v="28000000"/>
    <n v="22000000"/>
    <n v="0"/>
    <n v="2940"/>
    <n v="29400"/>
    <n v="2.0416666666666666E-2"/>
    <d v="2021-10-03T00:00:00"/>
    <e v="#REF!"/>
    <d v="2021-12-23T00:00:00"/>
    <m/>
  </r>
  <r>
    <x v="4"/>
    <s v="CART"/>
    <x v="26"/>
    <x v="26"/>
    <s v="POP"/>
    <n v="5"/>
    <x v="9"/>
    <x v="0"/>
    <s v="NUTRESA"/>
    <x v="0"/>
    <d v="2021-09-29T00:00:00"/>
    <m/>
    <m/>
    <m/>
    <x v="0"/>
    <x v="1"/>
    <s v="CARTCRD024351CADENASNUTRESA"/>
    <x v="25"/>
    <n v="5"/>
    <n v="1"/>
    <n v="0"/>
    <n v="0"/>
    <m/>
    <n v="28000000"/>
    <n v="22000000"/>
    <n v="0"/>
    <n v="2940"/>
    <n v="14700"/>
    <n v="1.0208333333333333E-2"/>
    <d v="2021-10-03T00:00:00"/>
    <e v="#REF!"/>
    <d v="2021-12-23T00:00:00"/>
    <m/>
  </r>
  <r>
    <x v="5"/>
    <s v="MEDE"/>
    <x v="26"/>
    <x v="26"/>
    <s v="POP"/>
    <n v="5"/>
    <x v="9"/>
    <x v="0"/>
    <s v="NUTRESA"/>
    <x v="0"/>
    <d v="2021-09-29T00:00:00"/>
    <m/>
    <m/>
    <m/>
    <x v="0"/>
    <x v="2"/>
    <s v="MEDECRD024351CADENASNUTRESA"/>
    <x v="25"/>
    <n v="5"/>
    <n v="1"/>
    <n v="0"/>
    <n v="0"/>
    <m/>
    <n v="28000000"/>
    <n v="22000000"/>
    <n v="0"/>
    <n v="2940"/>
    <n v="14700"/>
    <n v="1.0208333333333333E-2"/>
    <d v="2021-10-03T00:00:00"/>
    <e v="#REF!"/>
    <d v="2021-12-23T00:00:00"/>
    <m/>
  </r>
  <r>
    <x v="0"/>
    <s v="BARR"/>
    <x v="27"/>
    <x v="27"/>
    <s v="POP"/>
    <n v="30"/>
    <x v="9"/>
    <x v="0"/>
    <s v="NUTRESA"/>
    <x v="0"/>
    <d v="2021-09-29T00:00:00"/>
    <m/>
    <m/>
    <m/>
    <x v="0"/>
    <x v="1"/>
    <s v="BARRCRD024352CADENASNUTRESA"/>
    <x v="26"/>
    <n v="30"/>
    <n v="1"/>
    <n v="0"/>
    <n v="0"/>
    <m/>
    <n v="5000000"/>
    <n v="30000000"/>
    <n v="0"/>
    <n v="6000"/>
    <n v="180000"/>
    <n v="0.125"/>
    <d v="2021-10-03T00:00:00"/>
    <e v="#REF!"/>
    <d v="2021-12-23T00:00:00"/>
    <m/>
  </r>
  <r>
    <x v="9"/>
    <s v="BUCA"/>
    <x v="27"/>
    <x v="27"/>
    <s v="POP"/>
    <n v="25"/>
    <x v="9"/>
    <x v="0"/>
    <s v="NUTRESA"/>
    <x v="0"/>
    <d v="2021-09-29T00:00:00"/>
    <m/>
    <m/>
    <m/>
    <x v="0"/>
    <x v="1"/>
    <s v="BUCACRD024352CADENASNUTRESA"/>
    <x v="27"/>
    <n v="25"/>
    <n v="1"/>
    <n v="0"/>
    <n v="0"/>
    <m/>
    <n v="5000000"/>
    <n v="30000000"/>
    <n v="0"/>
    <n v="6000"/>
    <n v="150000"/>
    <n v="0.10416666666666667"/>
    <d v="2021-10-03T00:00:00"/>
    <e v="#REF!"/>
    <d v="2021-12-23T00:00:00"/>
    <m/>
  </r>
  <r>
    <x v="4"/>
    <s v="CART"/>
    <x v="27"/>
    <x v="27"/>
    <s v="POP"/>
    <n v="37"/>
    <x v="9"/>
    <x v="0"/>
    <s v="NUTRESA"/>
    <x v="0"/>
    <d v="2021-09-29T00:00:00"/>
    <m/>
    <m/>
    <m/>
    <x v="0"/>
    <x v="1"/>
    <s v="CARTCRD024352CADENASNUTRESA"/>
    <x v="28"/>
    <n v="37"/>
    <n v="1"/>
    <n v="0"/>
    <n v="0"/>
    <m/>
    <n v="5000000"/>
    <n v="30000000"/>
    <n v="0"/>
    <n v="6000"/>
    <n v="222000"/>
    <n v="0.15416666666666667"/>
    <d v="2021-10-03T00:00:00"/>
    <e v="#REF!"/>
    <d v="2021-12-23T00:00:00"/>
    <m/>
  </r>
  <r>
    <x v="5"/>
    <s v="MEDE"/>
    <x v="27"/>
    <x v="27"/>
    <s v="POP"/>
    <n v="126"/>
    <x v="9"/>
    <x v="0"/>
    <s v="NUTRESA"/>
    <x v="0"/>
    <d v="2021-09-29T00:00:00"/>
    <m/>
    <m/>
    <m/>
    <x v="0"/>
    <x v="2"/>
    <s v="MEDECRD024352CADENASNUTRESA"/>
    <x v="29"/>
    <n v="126"/>
    <n v="1"/>
    <n v="0"/>
    <n v="0"/>
    <m/>
    <n v="5000000"/>
    <n v="30000000"/>
    <n v="0"/>
    <n v="6000"/>
    <n v="756000"/>
    <n v="0.52500000000000002"/>
    <d v="2021-10-03T00:00:00"/>
    <e v="#REF!"/>
    <d v="2021-12-23T00:00:00"/>
    <m/>
  </r>
  <r>
    <x v="1"/>
    <s v="BGTA"/>
    <x v="28"/>
    <x v="28"/>
    <s v="POP"/>
    <n v="5"/>
    <x v="9"/>
    <x v="0"/>
    <s v="NUTRESA"/>
    <x v="0"/>
    <d v="2021-09-29T00:00:00"/>
    <m/>
    <m/>
    <m/>
    <x v="0"/>
    <x v="3"/>
    <s v="BGTACRD024353CADENASNUTRESA"/>
    <x v="25"/>
    <n v="3"/>
    <n v="1"/>
    <n v="2"/>
    <n v="0.4"/>
    <m/>
    <n v="35000000"/>
    <n v="100000000"/>
    <n v="0"/>
    <n v="234500"/>
    <n v="1172500"/>
    <n v="0.81423611111111116"/>
    <d v="2021-10-03T00:00:00"/>
    <e v="#REF!"/>
    <d v="2021-12-23T00:00:00"/>
    <m/>
  </r>
  <r>
    <x v="9"/>
    <s v="BUCA"/>
    <x v="28"/>
    <x v="28"/>
    <s v="POP"/>
    <n v="1"/>
    <x v="9"/>
    <x v="0"/>
    <s v="NUTRESA"/>
    <x v="0"/>
    <d v="2021-09-29T00:00:00"/>
    <m/>
    <m/>
    <m/>
    <x v="0"/>
    <x v="3"/>
    <s v="BUCACRD024353CADENASNUTRESA"/>
    <x v="13"/>
    <n v="1"/>
    <n v="1"/>
    <n v="0"/>
    <n v="0"/>
    <m/>
    <n v="35000000"/>
    <n v="100000000"/>
    <n v="0"/>
    <n v="234500"/>
    <n v="234500"/>
    <n v="0.16284722222222223"/>
    <d v="2021-10-03T00:00:00"/>
    <e v="#REF!"/>
    <d v="2021-12-23T00:00:00"/>
    <m/>
  </r>
  <r>
    <x v="10"/>
    <s v="IBA1"/>
    <x v="28"/>
    <x v="28"/>
    <s v="POP"/>
    <n v="2"/>
    <x v="9"/>
    <x v="0"/>
    <s v="NUTRESA"/>
    <x v="0"/>
    <d v="2021-09-29T00:00:00"/>
    <m/>
    <m/>
    <m/>
    <x v="0"/>
    <x v="3"/>
    <s v="IBA1CRD024353CADENASNUTRESA"/>
    <x v="7"/>
    <n v="2"/>
    <n v="1"/>
    <n v="0"/>
    <n v="0"/>
    <m/>
    <n v="35000000"/>
    <n v="100000000"/>
    <n v="0"/>
    <n v="234500"/>
    <n v="469000"/>
    <n v="0.32569444444444445"/>
    <d v="2021-10-03T00:00:00"/>
    <e v="#REF!"/>
    <d v="2021-12-23T00:00:00"/>
    <m/>
  </r>
  <r>
    <x v="5"/>
    <s v="MEDE"/>
    <x v="28"/>
    <x v="28"/>
    <s v="POP"/>
    <n v="4"/>
    <x v="9"/>
    <x v="0"/>
    <s v="NUTRESA"/>
    <x v="0"/>
    <d v="2021-09-29T00:00:00"/>
    <m/>
    <m/>
    <m/>
    <x v="0"/>
    <x v="0"/>
    <s v="MEDECRD024353CADENASNUTRESA"/>
    <x v="0"/>
    <m/>
    <n v="0"/>
    <n v="0"/>
    <n v="0"/>
    <m/>
    <n v="35000000"/>
    <n v="100000000"/>
    <n v="0"/>
    <n v="234500"/>
    <n v="938000"/>
    <n v="0.65138888888888891"/>
    <d v="2021-10-03T00:00:00"/>
    <e v="#REF!"/>
    <d v="2021-12-23T00:00:00"/>
    <m/>
  </r>
  <r>
    <x v="7"/>
    <s v="VILA"/>
    <x v="28"/>
    <x v="28"/>
    <s v="POP"/>
    <n v="1"/>
    <x v="9"/>
    <x v="0"/>
    <s v="NUTRESA"/>
    <x v="0"/>
    <d v="2021-09-29T00:00:00"/>
    <m/>
    <m/>
    <m/>
    <x v="0"/>
    <x v="3"/>
    <s v="VILACRD024353CADENASNUTRESA"/>
    <x v="13"/>
    <n v="1"/>
    <n v="1"/>
    <n v="0"/>
    <n v="0"/>
    <m/>
    <n v="35000000"/>
    <n v="100000000"/>
    <n v="0"/>
    <n v="234500"/>
    <n v="234500"/>
    <n v="0.16284722222222223"/>
    <d v="2021-10-03T00:00:00"/>
    <e v="#REF!"/>
    <d v="2021-12-23T00:00:00"/>
    <m/>
  </r>
  <r>
    <x v="1"/>
    <s v="BGTA"/>
    <x v="29"/>
    <x v="29"/>
    <s v="POP"/>
    <n v="2"/>
    <x v="9"/>
    <x v="0"/>
    <s v="NUTRESA"/>
    <x v="0"/>
    <d v="2021-09-29T00:00:00"/>
    <m/>
    <m/>
    <m/>
    <x v="0"/>
    <x v="3"/>
    <s v="BGTACRD024354CADENASNUTRESA"/>
    <x v="7"/>
    <n v="1"/>
    <n v="1"/>
    <n v="1"/>
    <n v="0.5"/>
    <m/>
    <n v="172000000"/>
    <n v="172000000"/>
    <n v="0"/>
    <n v="9466880"/>
    <n v="18933760"/>
    <n v="13.148444444444445"/>
    <d v="2021-10-03T00:00:00"/>
    <e v="#REF!"/>
    <d v="2021-12-23T00:00:00"/>
    <m/>
  </r>
  <r>
    <x v="3"/>
    <s v="CALI"/>
    <x v="29"/>
    <x v="29"/>
    <s v="POP"/>
    <n v="1"/>
    <x v="9"/>
    <x v="0"/>
    <s v="NUTRESA"/>
    <x v="0"/>
    <d v="2021-09-29T00:00:00"/>
    <m/>
    <m/>
    <m/>
    <x v="0"/>
    <x v="3"/>
    <s v="CALICRD024354CADENASNUTRESA"/>
    <x v="13"/>
    <n v="1"/>
    <n v="1"/>
    <n v="0"/>
    <n v="0"/>
    <m/>
    <n v="172000000"/>
    <n v="172000000"/>
    <n v="0"/>
    <n v="9466880"/>
    <n v="9466880"/>
    <n v="6.5742222222222226"/>
    <d v="2021-10-03T00:00:00"/>
    <e v="#REF!"/>
    <d v="2021-12-23T00:00:00"/>
    <m/>
  </r>
  <r>
    <x v="5"/>
    <s v="MEDE"/>
    <x v="29"/>
    <x v="29"/>
    <s v="POP"/>
    <n v="4"/>
    <x v="9"/>
    <x v="0"/>
    <s v="NUTRESA"/>
    <x v="0"/>
    <d v="2021-09-29T00:00:00"/>
    <m/>
    <m/>
    <m/>
    <x v="0"/>
    <x v="0"/>
    <s v="MEDECRD024354CADENASNUTRESA"/>
    <x v="0"/>
    <m/>
    <n v="0"/>
    <n v="0"/>
    <n v="0"/>
    <m/>
    <n v="172000000"/>
    <n v="172000000"/>
    <n v="0"/>
    <n v="9466880"/>
    <n v="37867520"/>
    <n v="26.296888888888891"/>
    <d v="2021-10-03T00:00:00"/>
    <e v="#REF!"/>
    <d v="2021-12-23T00:00:00"/>
    <m/>
  </r>
  <r>
    <x v="6"/>
    <s v="PERE"/>
    <x v="29"/>
    <x v="29"/>
    <s v="POP"/>
    <n v="1"/>
    <x v="9"/>
    <x v="0"/>
    <s v="NUTRESA"/>
    <x v="0"/>
    <d v="2021-09-29T00:00:00"/>
    <m/>
    <m/>
    <m/>
    <x v="0"/>
    <x v="3"/>
    <s v="PERECRD024354CADENASNUTRESA"/>
    <x v="13"/>
    <n v="1"/>
    <n v="1"/>
    <n v="0"/>
    <n v="0"/>
    <m/>
    <n v="172000000"/>
    <n v="172000000"/>
    <n v="0"/>
    <n v="9466880"/>
    <n v="9466880"/>
    <n v="6.5742222222222226"/>
    <d v="2021-10-03T00:00:00"/>
    <e v="#REF!"/>
    <d v="2021-12-23T00:00:00"/>
    <m/>
  </r>
  <r>
    <x v="9"/>
    <s v="BUCA"/>
    <x v="30"/>
    <x v="30"/>
    <s v="PAPELCARD"/>
    <n v="40"/>
    <x v="10"/>
    <x v="1"/>
    <s v="NUTRESA"/>
    <x v="1"/>
    <d v="2021-11-05T00:00:00"/>
    <d v="2021-11-15T00:00:00"/>
    <m/>
    <m/>
    <x v="0"/>
    <x v="0"/>
    <s v="BUCACRD023562AUTOSERVICIONUTRESA"/>
    <x v="0"/>
    <m/>
    <n v="0"/>
    <n v="0"/>
    <n v="0"/>
    <m/>
    <n v="1000000"/>
    <n v="57000000"/>
    <n v="0"/>
    <n v="2280"/>
    <n v="91200"/>
    <n v="6.3333333333333339E-2"/>
    <d v="2021-11-09T00:00:00"/>
    <e v="#REF!"/>
    <d v="2021-12-23T00:00:00"/>
    <m/>
  </r>
  <r>
    <x v="10"/>
    <s v="IBA1"/>
    <x v="30"/>
    <x v="30"/>
    <s v="PAPELCARD"/>
    <n v="16"/>
    <x v="10"/>
    <x v="1"/>
    <s v="NUTRESA"/>
    <x v="1"/>
    <d v="2021-11-05T00:00:00"/>
    <d v="2021-11-15T00:00:00"/>
    <m/>
    <m/>
    <x v="0"/>
    <x v="0"/>
    <s v="IBA1CRD023562AUTOSERVICIONUTRESA"/>
    <x v="0"/>
    <m/>
    <n v="0"/>
    <n v="0"/>
    <n v="0"/>
    <m/>
    <n v="1000000"/>
    <n v="57000000"/>
    <n v="0"/>
    <n v="2280"/>
    <n v="36480"/>
    <n v="2.5333333333333333E-2"/>
    <d v="2021-11-09T00:00:00"/>
    <e v="#REF!"/>
    <d v="2021-12-23T00:00:00"/>
    <m/>
  </r>
  <r>
    <x v="9"/>
    <s v="BUCA"/>
    <x v="31"/>
    <x v="31"/>
    <s v="VIALAMBRE"/>
    <n v="40"/>
    <x v="10"/>
    <x v="1"/>
    <s v="NUTRESA"/>
    <x v="1"/>
    <d v="2021-11-18T00:00:00"/>
    <d v="2021-11-15T00:00:00"/>
    <m/>
    <m/>
    <x v="0"/>
    <x v="0"/>
    <s v="BUCACRD023535AUTOSERVICIONUTRESA"/>
    <x v="0"/>
    <m/>
    <n v="0"/>
    <n v="0"/>
    <n v="0"/>
    <m/>
    <n v="19000000"/>
    <n v="32000000"/>
    <n v="0"/>
    <n v="19456"/>
    <n v="778240"/>
    <n v="0.54044444444444439"/>
    <d v="2021-11-22T00:00:00"/>
    <e v="#REF!"/>
    <d v="2021-12-23T00:00:00"/>
    <m/>
  </r>
  <r>
    <x v="3"/>
    <s v="CALI"/>
    <x v="31"/>
    <x v="31"/>
    <s v="VIALAMBRE"/>
    <n v="2"/>
    <x v="10"/>
    <x v="1"/>
    <s v="NUTRESA"/>
    <x v="1"/>
    <d v="2021-11-18T00:00:00"/>
    <d v="2021-11-15T00:00:00"/>
    <m/>
    <m/>
    <x v="0"/>
    <x v="0"/>
    <s v="CALICRD023535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0"/>
    <s v="IBA1"/>
    <x v="31"/>
    <x v="31"/>
    <s v="VIALAMBRE"/>
    <n v="2"/>
    <x v="10"/>
    <x v="1"/>
    <s v="NUTRESA"/>
    <x v="1"/>
    <d v="2021-11-18T00:00:00"/>
    <d v="2021-11-15T00:00:00"/>
    <m/>
    <m/>
    <x v="0"/>
    <x v="0"/>
    <s v="IBA1CRD023535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0"/>
    <s v="IBA1"/>
    <x v="32"/>
    <x v="32"/>
    <s v="VIALAMBRE"/>
    <n v="2"/>
    <x v="10"/>
    <x v="1"/>
    <s v="NUTRESA"/>
    <x v="1"/>
    <d v="2021-11-18T00:00:00"/>
    <d v="2021-11-15T00:00:00"/>
    <m/>
    <m/>
    <x v="0"/>
    <x v="0"/>
    <s v="IBA1CRD023531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"/>
    <s v="BGTA"/>
    <x v="33"/>
    <x v="33"/>
    <s v="EVOLUTION"/>
    <n v="1"/>
    <x v="10"/>
    <x v="1"/>
    <s v="NUTRESA"/>
    <x v="1"/>
    <d v="2021-11-13T00:00:00"/>
    <d v="2021-11-15T00:00:00"/>
    <m/>
    <m/>
    <x v="0"/>
    <x v="0"/>
    <s v="BGTAACT000484AUTOSERVICIONUTRESA"/>
    <x v="0"/>
    <m/>
    <n v="0"/>
    <n v="0"/>
    <n v="0"/>
    <m/>
    <n v="60000000"/>
    <n v="60000000"/>
    <n v="0"/>
    <n v="540000"/>
    <n v="540000"/>
    <n v="0.375"/>
    <d v="2021-11-17T00:00:00"/>
    <e v="#REF!"/>
    <d v="2021-12-23T00:00:00"/>
    <m/>
  </r>
  <r>
    <x v="3"/>
    <s v="CALI"/>
    <x v="33"/>
    <x v="33"/>
    <s v="EVOLUTION"/>
    <n v="3"/>
    <x v="10"/>
    <x v="1"/>
    <s v="NUTRESA"/>
    <x v="1"/>
    <d v="2021-11-13T00:00:00"/>
    <d v="2021-11-15T00:00:00"/>
    <m/>
    <m/>
    <x v="0"/>
    <x v="0"/>
    <s v="CALIACT000484AUTOSERVICIONUTRESA"/>
    <x v="0"/>
    <m/>
    <n v="0"/>
    <n v="0"/>
    <n v="0"/>
    <m/>
    <n v="60000000"/>
    <n v="60000000"/>
    <n v="0"/>
    <n v="540000"/>
    <n v="1620000"/>
    <n v="1.125"/>
    <d v="2021-11-17T00:00:00"/>
    <e v="#REF!"/>
    <d v="2021-12-23T00:00:00"/>
    <m/>
  </r>
  <r>
    <x v="10"/>
    <s v="IBA1"/>
    <x v="33"/>
    <x v="33"/>
    <s v="EVOLUTION"/>
    <n v="2"/>
    <x v="10"/>
    <x v="1"/>
    <s v="NUTRESA"/>
    <x v="1"/>
    <d v="2021-11-13T00:00:00"/>
    <d v="2021-11-15T00:00:00"/>
    <m/>
    <m/>
    <x v="0"/>
    <x v="0"/>
    <s v="IBA1ACT000484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6"/>
    <s v="PERE"/>
    <x v="33"/>
    <x v="33"/>
    <s v="EVOLUTION"/>
    <n v="2"/>
    <x v="10"/>
    <x v="1"/>
    <s v="NUTRESA"/>
    <x v="1"/>
    <d v="2021-11-13T00:00:00"/>
    <d v="2021-11-15T00:00:00"/>
    <m/>
    <m/>
    <x v="0"/>
    <x v="0"/>
    <s v="PEREACT000484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6"/>
    <s v="PERE"/>
    <x v="34"/>
    <x v="34"/>
    <s v="EVOLUTION"/>
    <n v="2"/>
    <x v="10"/>
    <x v="1"/>
    <s v="NUTRESA"/>
    <x v="1"/>
    <d v="2021-11-13T00:00:00"/>
    <d v="2021-11-15T00:00:00"/>
    <m/>
    <m/>
    <x v="0"/>
    <x v="0"/>
    <s v="PEREACT000481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3"/>
    <s v="CALI"/>
    <x v="35"/>
    <x v="35"/>
    <s v="EVOLUTION"/>
    <n v="1"/>
    <x v="10"/>
    <x v="1"/>
    <s v="NUTRESA"/>
    <x v="1"/>
    <d v="2021-11-13T00:00:00"/>
    <d v="2021-11-15T00:00:00"/>
    <m/>
    <m/>
    <x v="0"/>
    <x v="0"/>
    <s v="CALIACT000489AUTOSERVICIONUTRESA"/>
    <x v="0"/>
    <m/>
    <n v="0"/>
    <n v="0"/>
    <n v="0"/>
    <m/>
    <n v="40000000"/>
    <n v="94000000"/>
    <n v="0"/>
    <n v="454960"/>
    <n v="454960"/>
    <n v="0.31594444444444447"/>
    <d v="2021-11-17T00:00:00"/>
    <e v="#REF!"/>
    <d v="2021-12-23T00:00:00"/>
    <m/>
  </r>
  <r>
    <x v="10"/>
    <s v="IBA1"/>
    <x v="36"/>
    <x v="36"/>
    <s v="EVOLUTION"/>
    <n v="1"/>
    <x v="10"/>
    <x v="1"/>
    <s v="NUTRESA"/>
    <x v="1"/>
    <d v="2021-11-13T00:00:00"/>
    <d v="2021-11-15T00:00:00"/>
    <m/>
    <m/>
    <x v="0"/>
    <x v="0"/>
    <s v="IBA1ACT000549AUTOSERVICIONUTRESA"/>
    <x v="0"/>
    <m/>
    <n v="0"/>
    <n v="0"/>
    <n v="0"/>
    <m/>
    <n v="40000000"/>
    <n v="94000000"/>
    <n v="0"/>
    <n v="454960"/>
    <n v="454960"/>
    <n v="0.31594444444444447"/>
    <d v="2021-11-17T00:00:00"/>
    <e v="#REF!"/>
    <d v="2021-12-23T00:00:00"/>
    <m/>
  </r>
  <r>
    <x v="3"/>
    <s v="CALI"/>
    <x v="37"/>
    <x v="37"/>
    <s v="POP"/>
    <n v="1"/>
    <x v="10"/>
    <x v="1"/>
    <s v="NUTRESA"/>
    <x v="1"/>
    <d v="2021-11-05T00:00:00"/>
    <d v="2021-11-15T00:00:00"/>
    <m/>
    <m/>
    <x v="0"/>
    <x v="0"/>
    <s v="CALIACT000550AUTOSERVICIONUTRESA"/>
    <x v="0"/>
    <m/>
    <n v="0"/>
    <n v="0"/>
    <n v="0"/>
    <m/>
    <n v="50000000"/>
    <n v="50000000"/>
    <n v="0"/>
    <n v="375000"/>
    <n v="375000"/>
    <n v="0.26041666666666669"/>
    <d v="2021-11-09T00:00:00"/>
    <e v="#REF!"/>
    <d v="2021-12-23T00:00:00"/>
    <m/>
  </r>
  <r>
    <x v="6"/>
    <s v="PERE"/>
    <x v="37"/>
    <x v="37"/>
    <s v="POP"/>
    <n v="1"/>
    <x v="10"/>
    <x v="1"/>
    <s v="NUTRESA"/>
    <x v="1"/>
    <d v="2021-11-05T00:00:00"/>
    <d v="2021-11-15T00:00:00"/>
    <m/>
    <m/>
    <x v="0"/>
    <x v="0"/>
    <s v="PEREACT000550AUTOSERVICIONUTRESA"/>
    <x v="0"/>
    <m/>
    <n v="0"/>
    <n v="0"/>
    <n v="0"/>
    <m/>
    <n v="50000000"/>
    <n v="50000000"/>
    <n v="0"/>
    <n v="375000"/>
    <n v="375000"/>
    <n v="0.26041666666666669"/>
    <d v="2021-11-09T00:00:00"/>
    <e v="#REF!"/>
    <d v="2021-12-23T00:00:00"/>
    <m/>
  </r>
  <r>
    <x v="10"/>
    <s v="IBA1"/>
    <x v="38"/>
    <x v="38"/>
    <s v="INNERCIA"/>
    <n v="2"/>
    <x v="10"/>
    <x v="1"/>
    <s v="NUTRESA"/>
    <x v="1"/>
    <d v="2021-11-17T00:00:00"/>
    <d v="2021-11-15T00:00:00"/>
    <m/>
    <m/>
    <x v="0"/>
    <x v="0"/>
    <s v="IBA1ACT000460AUTOSERVICIONUTRESA"/>
    <x v="0"/>
    <m/>
    <n v="0"/>
    <n v="0"/>
    <n v="0"/>
    <m/>
    <n v="70000000"/>
    <n v="135000000"/>
    <n v="0"/>
    <n v="1587600"/>
    <n v="3175200"/>
    <n v="2.2050000000000001"/>
    <d v="2021-11-21T00:00:00"/>
    <e v="#REF!"/>
    <d v="2021-12-23T00:00:00"/>
    <m/>
  </r>
  <r>
    <x v="3"/>
    <s v="CALI"/>
    <x v="39"/>
    <x v="39"/>
    <s v="INNERCIA"/>
    <n v="1"/>
    <x v="10"/>
    <x v="1"/>
    <s v="NUTRESA"/>
    <x v="1"/>
    <d v="2021-11-17T00:00:00"/>
    <d v="2021-11-15T00:00:00"/>
    <m/>
    <m/>
    <x v="0"/>
    <x v="0"/>
    <s v="CALIACT000466AUTOSERVICIONUTRESA"/>
    <x v="0"/>
    <m/>
    <n v="0"/>
    <n v="0"/>
    <n v="0"/>
    <m/>
    <n v="70000000"/>
    <n v="135000000"/>
    <n v="0"/>
    <n v="1587600"/>
    <n v="1587600"/>
    <n v="1.1025"/>
    <d v="2021-11-21T00:00:00"/>
    <e v="#REF!"/>
    <d v="2021-12-23T00:00:00"/>
    <m/>
  </r>
  <r>
    <x v="10"/>
    <s v="IBA1"/>
    <x v="39"/>
    <x v="39"/>
    <s v="INNERCIA"/>
    <n v="4"/>
    <x v="10"/>
    <x v="1"/>
    <s v="NUTRESA"/>
    <x v="1"/>
    <d v="2021-11-17T00:00:00"/>
    <d v="2021-11-15T00:00:00"/>
    <m/>
    <m/>
    <x v="0"/>
    <x v="0"/>
    <s v="IBA1ACT000466AUTOSERVICIONUTRESA"/>
    <x v="0"/>
    <m/>
    <n v="0"/>
    <n v="0"/>
    <n v="0"/>
    <m/>
    <n v="70000000"/>
    <n v="135000000"/>
    <n v="0"/>
    <n v="1587600"/>
    <n v="6350400"/>
    <n v="4.41"/>
    <d v="2021-11-21T00:00:00"/>
    <e v="#REF!"/>
    <d v="2021-12-23T00:00:00"/>
    <m/>
  </r>
  <r>
    <x v="6"/>
    <s v="PERE"/>
    <x v="39"/>
    <x v="39"/>
    <s v="INNERCIA"/>
    <n v="6"/>
    <x v="10"/>
    <x v="1"/>
    <s v="NUTRESA"/>
    <x v="1"/>
    <d v="2021-11-17T00:00:00"/>
    <d v="2021-11-15T00:00:00"/>
    <m/>
    <m/>
    <x v="0"/>
    <x v="0"/>
    <s v="PEREACT000466AUTOSERVICIONUTRESA"/>
    <x v="0"/>
    <m/>
    <n v="0"/>
    <n v="0"/>
    <n v="0"/>
    <m/>
    <n v="70000000"/>
    <n v="135000000"/>
    <n v="0"/>
    <n v="1587600"/>
    <n v="9525600"/>
    <n v="6.6150000000000002"/>
    <d v="2021-11-21T00:00:00"/>
    <e v="#REF!"/>
    <d v="2021-12-23T00:00:00"/>
    <m/>
  </r>
  <r>
    <x v="10"/>
    <s v="IBA1"/>
    <x v="40"/>
    <x v="40"/>
    <s v="INNERCIA"/>
    <n v="2"/>
    <x v="10"/>
    <x v="1"/>
    <s v="NUTRESA"/>
    <x v="1"/>
    <d v="2021-11-17T00:00:00"/>
    <d v="2021-11-15T00:00:00"/>
    <m/>
    <m/>
    <x v="0"/>
    <x v="0"/>
    <s v="IBA1ACT000465AUTOSERVICIONUTRESA"/>
    <x v="0"/>
    <m/>
    <n v="0"/>
    <n v="0"/>
    <n v="0"/>
    <m/>
    <n v="70000000"/>
    <n v="98000000"/>
    <n v="0"/>
    <n v="1152480"/>
    <n v="2304960"/>
    <n v="1.6006666666666667"/>
    <d v="2021-11-21T00:00:00"/>
    <e v="#REF!"/>
    <d v="2021-12-23T00:00:00"/>
    <m/>
  </r>
  <r>
    <x v="3"/>
    <s v="CALI"/>
    <x v="41"/>
    <x v="41"/>
    <s v="INNERCIA"/>
    <n v="7"/>
    <x v="10"/>
    <x v="1"/>
    <s v="NUTRESA"/>
    <x v="1"/>
    <d v="2021-11-17T00:00:00"/>
    <d v="2021-11-15T00:00:00"/>
    <m/>
    <m/>
    <x v="0"/>
    <x v="0"/>
    <s v="CALIACT000467AUTOSERVICIONUTRESA"/>
    <x v="0"/>
    <m/>
    <n v="0"/>
    <n v="0"/>
    <n v="0"/>
    <m/>
    <n v="70000000"/>
    <n v="98000000"/>
    <n v="0"/>
    <n v="1152480"/>
    <n v="8067360"/>
    <n v="5.6023333333333332"/>
    <d v="2021-11-21T00:00:00"/>
    <e v="#REF!"/>
    <d v="2021-12-23T00:00:00"/>
    <m/>
  </r>
  <r>
    <x v="10"/>
    <s v="IBA1"/>
    <x v="41"/>
    <x v="41"/>
    <s v="INNERCIA"/>
    <n v="1"/>
    <x v="10"/>
    <x v="1"/>
    <s v="NUTRESA"/>
    <x v="1"/>
    <d v="2021-11-17T00:00:00"/>
    <d v="2021-11-15T00:00:00"/>
    <m/>
    <m/>
    <x v="0"/>
    <x v="0"/>
    <s v="IBA1ACT000467AUTOSERVICIONUTRESA"/>
    <x v="0"/>
    <m/>
    <n v="0"/>
    <n v="0"/>
    <n v="0"/>
    <m/>
    <n v="70000000"/>
    <n v="98000000"/>
    <n v="0"/>
    <n v="1152480"/>
    <n v="1152480"/>
    <n v="0.80033333333333334"/>
    <d v="2021-11-21T00:00:00"/>
    <e v="#REF!"/>
    <d v="2021-12-23T00:00:00"/>
    <m/>
  </r>
  <r>
    <x v="1"/>
    <s v="BGTA"/>
    <x v="42"/>
    <x v="42"/>
    <s v="INBIMA"/>
    <n v="1"/>
    <x v="10"/>
    <x v="1"/>
    <s v="NUTRESA"/>
    <x v="1"/>
    <d v="2021-11-17T00:00:00"/>
    <d v="2021-11-15T00:00:00"/>
    <m/>
    <m/>
    <x v="0"/>
    <x v="0"/>
    <s v="BGTAACT000502AUTOSERVICIONUTRESA"/>
    <x v="0"/>
    <m/>
    <n v="0"/>
    <n v="0"/>
    <n v="0"/>
    <m/>
    <n v="37000000"/>
    <n v="49000000"/>
    <n v="0"/>
    <n v="282240"/>
    <n v="282240"/>
    <n v="0.19600000000000001"/>
    <d v="2021-11-21T00:00:00"/>
    <e v="#REF!"/>
    <d v="2021-12-23T00:00:00"/>
    <m/>
  </r>
  <r>
    <x v="9"/>
    <s v="BUCA"/>
    <x v="42"/>
    <x v="42"/>
    <s v="INBIMA"/>
    <n v="6"/>
    <x v="10"/>
    <x v="1"/>
    <s v="NUTRESA"/>
    <x v="1"/>
    <d v="2021-11-17T00:00:00"/>
    <d v="2021-11-15T00:00:00"/>
    <m/>
    <m/>
    <x v="0"/>
    <x v="0"/>
    <s v="BUCAACT000502AUTOSERVICIONUTRESA"/>
    <x v="0"/>
    <m/>
    <n v="0"/>
    <n v="0"/>
    <n v="0"/>
    <m/>
    <n v="37000000"/>
    <n v="49000000"/>
    <n v="0"/>
    <n v="282240"/>
    <n v="1693440"/>
    <n v="1.1759999999999999"/>
    <d v="2021-11-21T00:00:00"/>
    <e v="#REF!"/>
    <d v="2021-12-23T00:00:00"/>
    <m/>
  </r>
  <r>
    <x v="10"/>
    <s v="IBA1"/>
    <x v="42"/>
    <x v="42"/>
    <s v="INBIMA"/>
    <n v="1"/>
    <x v="10"/>
    <x v="1"/>
    <s v="NUTRESA"/>
    <x v="1"/>
    <d v="2021-11-17T00:00:00"/>
    <d v="2021-11-15T00:00:00"/>
    <m/>
    <m/>
    <x v="0"/>
    <x v="4"/>
    <s v="IBA1ACT000502AUTOSERVICIONUTRESA"/>
    <x v="13"/>
    <n v="1"/>
    <n v="1"/>
    <n v="0"/>
    <n v="0"/>
    <m/>
    <n v="37000000"/>
    <n v="49000000"/>
    <n v="0"/>
    <n v="282240"/>
    <n v="282240"/>
    <n v="0.19600000000000001"/>
    <d v="2021-11-21T00:00:00"/>
    <e v="#REF!"/>
    <d v="2021-12-23T00:00:00"/>
    <m/>
  </r>
  <r>
    <x v="3"/>
    <s v="CALI"/>
    <x v="42"/>
    <x v="42"/>
    <s v="INBIMA"/>
    <n v="8"/>
    <x v="10"/>
    <x v="1"/>
    <s v="NUTRESA"/>
    <x v="1"/>
    <d v="2021-11-17T00:00:00"/>
    <d v="2021-11-15T00:00:00"/>
    <m/>
    <m/>
    <x v="0"/>
    <x v="0"/>
    <s v="CALIACT000502AUTOSERVICIONUTRESA"/>
    <x v="0"/>
    <m/>
    <n v="0"/>
    <n v="0"/>
    <n v="0"/>
    <m/>
    <n v="37000000"/>
    <n v="49000000"/>
    <n v="0"/>
    <n v="282240"/>
    <n v="2257920"/>
    <n v="1.5680000000000001"/>
    <d v="2021-11-21T00:00:00"/>
    <e v="#REF!"/>
    <d v="2021-12-23T00:00:00"/>
    <m/>
  </r>
  <r>
    <x v="1"/>
    <s v="BGTA"/>
    <x v="43"/>
    <x v="43"/>
    <s v="INBIMA"/>
    <n v="1"/>
    <x v="10"/>
    <x v="1"/>
    <s v="NUTRESA"/>
    <x v="1"/>
    <d v="2021-11-17T00:00:00"/>
    <d v="2021-11-15T00:00:00"/>
    <m/>
    <m/>
    <x v="0"/>
    <x v="0"/>
    <s v="BGTAACT000496AUTOSERVICIONUTRESA"/>
    <x v="0"/>
    <m/>
    <n v="0"/>
    <n v="0"/>
    <n v="0"/>
    <m/>
    <n v="110000000"/>
    <n v="105000000"/>
    <n v="0"/>
    <n v="1416250"/>
    <n v="1416250"/>
    <n v="0.98350694444444442"/>
    <d v="2021-11-21T00:00:00"/>
    <e v="#REF!"/>
    <d v="2021-12-23T00:00:00"/>
    <m/>
  </r>
  <r>
    <x v="9"/>
    <s v="BUCA"/>
    <x v="43"/>
    <x v="43"/>
    <s v="INBIMA"/>
    <n v="4"/>
    <x v="10"/>
    <x v="1"/>
    <s v="NUTRESA"/>
    <x v="1"/>
    <d v="2021-11-17T00:00:00"/>
    <d v="2021-11-15T00:00:00"/>
    <m/>
    <m/>
    <x v="0"/>
    <x v="0"/>
    <s v="BUCAACT000496AUTOSERVICIONUTRESA"/>
    <x v="0"/>
    <m/>
    <n v="0"/>
    <n v="0"/>
    <n v="0"/>
    <m/>
    <n v="110000000"/>
    <n v="105000000"/>
    <n v="0"/>
    <n v="1416250"/>
    <n v="5665000"/>
    <n v="3.9340277777777777"/>
    <d v="2021-11-21T00:00:00"/>
    <e v="#REF!"/>
    <d v="2021-12-23T00:00:00"/>
    <m/>
  </r>
  <r>
    <x v="3"/>
    <s v="CALI"/>
    <x v="43"/>
    <x v="43"/>
    <s v="INBIMA"/>
    <n v="6"/>
    <x v="10"/>
    <x v="1"/>
    <s v="NUTRESA"/>
    <x v="1"/>
    <d v="2021-11-17T00:00:00"/>
    <d v="2021-11-15T00:00:00"/>
    <m/>
    <m/>
    <x v="0"/>
    <x v="0"/>
    <s v="CALIACT000496AUTOSERVICIONUTRESA"/>
    <x v="0"/>
    <m/>
    <n v="0"/>
    <n v="0"/>
    <n v="0"/>
    <m/>
    <n v="110000000"/>
    <n v="105000000"/>
    <n v="0"/>
    <n v="1416250"/>
    <n v="8497500"/>
    <n v="5.901041666666667"/>
    <d v="2021-11-21T00:00:00"/>
    <e v="#REF!"/>
    <d v="2021-12-23T00:00:00"/>
    <m/>
  </r>
  <r>
    <x v="3"/>
    <s v="CALI"/>
    <x v="44"/>
    <x v="44"/>
    <s v="INBIMA"/>
    <n v="2"/>
    <x v="10"/>
    <x v="1"/>
    <s v="NUTRESA"/>
    <x v="1"/>
    <d v="2021-11-17T00:00:00"/>
    <d v="2021-11-15T00:00:00"/>
    <m/>
    <m/>
    <x v="0"/>
    <x v="0"/>
    <s v="CALICRD023546AUTOSERVICIONUTRESA"/>
    <x v="0"/>
    <m/>
    <n v="0"/>
    <n v="0"/>
    <n v="0"/>
    <m/>
    <n v="42000000"/>
    <n v="64000000"/>
    <n v="0"/>
    <n v="403200"/>
    <n v="806400"/>
    <n v="0.56000000000000005"/>
    <d v="2021-11-21T00:00:00"/>
    <e v="#REF!"/>
    <d v="2021-12-23T00:00:00"/>
    <m/>
  </r>
  <r>
    <x v="0"/>
    <s v="BARR"/>
    <x v="45"/>
    <x v="45"/>
    <s v="EVOLUTION"/>
    <n v="8"/>
    <x v="11"/>
    <x v="1"/>
    <s v="NUTRESA"/>
    <x v="1"/>
    <d v="2021-11-12T00:00:00"/>
    <d v="2021-12-01T00:00:00"/>
    <m/>
    <m/>
    <x v="0"/>
    <x v="0"/>
    <s v="BARRCRD024492AUTOSERVICIONUTRESA"/>
    <x v="0"/>
    <m/>
    <n v="0"/>
    <n v="0"/>
    <n v="0"/>
    <m/>
    <n v="13000000"/>
    <n v="25000000"/>
    <n v="0"/>
    <n v="9750"/>
    <n v="78000"/>
    <n v="5.4166666666666669E-2"/>
    <d v="2021-11-16T00:00:00"/>
    <e v="#REF!"/>
    <d v="2021-12-23T00:00:00"/>
    <m/>
  </r>
  <r>
    <x v="1"/>
    <s v="BGTA"/>
    <x v="45"/>
    <x v="45"/>
    <s v="EVOLUTION"/>
    <n v="76"/>
    <x v="11"/>
    <x v="1"/>
    <s v="NUTRESA"/>
    <x v="1"/>
    <d v="2021-11-12T00:00:00"/>
    <d v="2021-12-01T00:00:00"/>
    <m/>
    <m/>
    <x v="0"/>
    <x v="4"/>
    <s v="BGTACRD024492AUTOSERVICIONUTRESA"/>
    <x v="19"/>
    <n v="76"/>
    <n v="1"/>
    <n v="0"/>
    <n v="0"/>
    <m/>
    <n v="13000000"/>
    <n v="25000000"/>
    <n v="0"/>
    <n v="9750"/>
    <n v="741000"/>
    <n v="0.51458333333333328"/>
    <d v="2021-11-16T00:00:00"/>
    <e v="#REF!"/>
    <d v="2021-12-23T00:00:00"/>
    <m/>
  </r>
  <r>
    <x v="8"/>
    <s v="BGTA"/>
    <x v="45"/>
    <x v="45"/>
    <s v="EVOLUTION"/>
    <n v="24"/>
    <x v="11"/>
    <x v="1"/>
    <s v="ALTILLANO"/>
    <x v="1"/>
    <d v="2021-11-12T00:00:00"/>
    <d v="2021-12-01T00:00:00"/>
    <m/>
    <m/>
    <x v="0"/>
    <x v="4"/>
    <s v="BGTACRD024492AUTOSERVICIOALTILLANO"/>
    <x v="30"/>
    <n v="24"/>
    <n v="1"/>
    <n v="0"/>
    <n v="0"/>
    <m/>
    <n v="13000000"/>
    <n v="25000000"/>
    <n v="0"/>
    <n v="9750"/>
    <n v="234000"/>
    <n v="0.16250000000000001"/>
    <d v="2021-11-16T00:00:00"/>
    <e v="#REF!"/>
    <d v="2021-12-23T00:00:00"/>
    <m/>
  </r>
  <r>
    <x v="7"/>
    <s v="VILA"/>
    <x v="45"/>
    <x v="45"/>
    <s v="EVOLUTION"/>
    <n v="12"/>
    <x v="11"/>
    <x v="1"/>
    <s v="NUTRESA"/>
    <x v="1"/>
    <d v="2021-11-12T00:00:00"/>
    <d v="2021-12-01T00:00:00"/>
    <m/>
    <m/>
    <x v="0"/>
    <x v="4"/>
    <s v="VILACRD024492AUTOSERVICIONUTRESA"/>
    <x v="31"/>
    <n v="12"/>
    <n v="1"/>
    <n v="0"/>
    <n v="0"/>
    <m/>
    <n v="13000000"/>
    <n v="25000000"/>
    <n v="0"/>
    <n v="9750"/>
    <n v="117000"/>
    <n v="8.1250000000000003E-2"/>
    <d v="2021-11-16T00:00:00"/>
    <e v="#REF!"/>
    <d v="2021-12-23T00:00:00"/>
    <m/>
  </r>
  <r>
    <x v="2"/>
    <s v="DUIT"/>
    <x v="45"/>
    <x v="45"/>
    <s v="EVOLUTION"/>
    <n v="36"/>
    <x v="11"/>
    <x v="1"/>
    <s v="NUTRESA"/>
    <x v="1"/>
    <d v="2021-11-12T00:00:00"/>
    <d v="2021-12-01T00:00:00"/>
    <m/>
    <m/>
    <x v="0"/>
    <x v="4"/>
    <s v="DUITCRD024492AUTOSERVICIONUTRESA"/>
    <x v="32"/>
    <n v="36"/>
    <n v="1"/>
    <n v="0"/>
    <n v="0"/>
    <m/>
    <n v="13000000"/>
    <n v="25000000"/>
    <n v="0"/>
    <n v="9750"/>
    <n v="351000"/>
    <n v="0.24374999999999999"/>
    <d v="2021-11-16T00:00:00"/>
    <e v="#REF!"/>
    <d v="2021-12-23T00:00:00"/>
    <m/>
  </r>
  <r>
    <x v="9"/>
    <s v="BUCA"/>
    <x v="45"/>
    <x v="45"/>
    <s v="EVOLUTION"/>
    <n v="60"/>
    <x v="11"/>
    <x v="1"/>
    <s v="NUTRESA"/>
    <x v="1"/>
    <d v="2021-11-12T00:00:00"/>
    <d v="2021-12-01T00:00:00"/>
    <m/>
    <m/>
    <x v="0"/>
    <x v="0"/>
    <s v="BUCACRD024492AUTOSERVICIONUTRESA"/>
    <x v="0"/>
    <m/>
    <n v="0"/>
    <n v="0"/>
    <n v="0"/>
    <m/>
    <n v="13000000"/>
    <n v="25000000"/>
    <n v="0"/>
    <n v="9750"/>
    <n v="585000"/>
    <n v="0.40625"/>
    <d v="2021-11-16T00:00:00"/>
    <e v="#REF!"/>
    <d v="2021-12-23T00:00:00"/>
    <m/>
  </r>
  <r>
    <x v="3"/>
    <s v="CALI"/>
    <x v="45"/>
    <x v="45"/>
    <s v="EVOLUTION"/>
    <n v="36"/>
    <x v="11"/>
    <x v="1"/>
    <s v="NUTRESA"/>
    <x v="1"/>
    <d v="2021-11-12T00:00:00"/>
    <d v="2021-12-01T00:00:00"/>
    <m/>
    <m/>
    <x v="0"/>
    <x v="0"/>
    <s v="CALICRD024492AUTOSERVICIONUTRESA"/>
    <x v="0"/>
    <m/>
    <n v="0"/>
    <n v="0"/>
    <n v="0"/>
    <m/>
    <n v="13000000"/>
    <n v="25000000"/>
    <n v="0"/>
    <n v="9750"/>
    <n v="351000"/>
    <n v="0.24374999999999999"/>
    <d v="2021-11-16T00:00:00"/>
    <e v="#REF!"/>
    <d v="2021-12-23T00:00:00"/>
    <m/>
  </r>
  <r>
    <x v="4"/>
    <s v="CART"/>
    <x v="45"/>
    <x v="45"/>
    <s v="EVOLUTION"/>
    <n v="16"/>
    <x v="11"/>
    <x v="1"/>
    <s v="NUTRESA"/>
    <x v="1"/>
    <d v="2021-11-12T00:00:00"/>
    <d v="2021-12-01T00:00:00"/>
    <m/>
    <m/>
    <x v="0"/>
    <x v="0"/>
    <s v="CARTCRD024492AUTOSERVICIONUTRESA"/>
    <x v="0"/>
    <m/>
    <n v="0"/>
    <n v="0"/>
    <n v="0"/>
    <m/>
    <n v="13000000"/>
    <n v="25000000"/>
    <n v="0"/>
    <n v="9750"/>
    <n v="156000"/>
    <n v="0.10833333333333334"/>
    <d v="2021-11-16T00:00:00"/>
    <e v="#REF!"/>
    <d v="2021-12-23T00:00:00"/>
    <m/>
  </r>
  <r>
    <x v="10"/>
    <s v="IBA1"/>
    <x v="45"/>
    <x v="45"/>
    <s v="EVOLUTION"/>
    <n v="44"/>
    <x v="11"/>
    <x v="1"/>
    <s v="NUTRESA"/>
    <x v="1"/>
    <d v="2021-11-12T00:00:00"/>
    <d v="2021-12-01T00:00:00"/>
    <m/>
    <m/>
    <x v="0"/>
    <x v="4"/>
    <s v="IBA1CRD024492AUTOSERVICIONUTRESA"/>
    <x v="33"/>
    <n v="44"/>
    <n v="1"/>
    <n v="0"/>
    <n v="0"/>
    <m/>
    <n v="13000000"/>
    <n v="25000000"/>
    <n v="0"/>
    <n v="9750"/>
    <n v="429000"/>
    <n v="0.29791666666666666"/>
    <d v="2021-11-16T00:00:00"/>
    <e v="#REF!"/>
    <d v="2021-12-23T00:00:00"/>
    <m/>
  </r>
  <r>
    <x v="5"/>
    <s v="MEDE"/>
    <x v="45"/>
    <x v="45"/>
    <s v="EVOLUTION"/>
    <n v="60"/>
    <x v="11"/>
    <x v="1"/>
    <s v="NUTRESA"/>
    <x v="1"/>
    <d v="2021-11-12T00:00:00"/>
    <d v="2021-12-01T00:00:00"/>
    <m/>
    <m/>
    <x v="0"/>
    <x v="0"/>
    <s v="MEDECRD024492AUTOSERVICIONUTRESA"/>
    <x v="0"/>
    <m/>
    <n v="0"/>
    <n v="0"/>
    <n v="0"/>
    <m/>
    <n v="13000000"/>
    <n v="25000000"/>
    <n v="0"/>
    <n v="9750"/>
    <n v="585000"/>
    <n v="0.40625"/>
    <d v="2021-11-16T00:00:00"/>
    <e v="#REF!"/>
    <d v="2021-12-23T00:00:00"/>
    <m/>
  </r>
  <r>
    <x v="6"/>
    <s v="PERE"/>
    <x v="45"/>
    <x v="45"/>
    <s v="EVOLUTION"/>
    <n v="28"/>
    <x v="11"/>
    <x v="1"/>
    <s v="NUTRESA"/>
    <x v="1"/>
    <d v="2021-11-12T00:00:00"/>
    <d v="2021-12-01T00:00:00"/>
    <m/>
    <m/>
    <x v="0"/>
    <x v="0"/>
    <s v="PERECRD024492AUTOSERVICIONUTRESA"/>
    <x v="0"/>
    <m/>
    <n v="0"/>
    <n v="0"/>
    <n v="0"/>
    <m/>
    <n v="13000000"/>
    <n v="25000000"/>
    <n v="0"/>
    <n v="9750"/>
    <n v="273000"/>
    <n v="0.18958333333333333"/>
    <d v="2021-11-16T00:00:00"/>
    <e v="#REF!"/>
    <d v="2021-12-23T00:00:00"/>
    <m/>
  </r>
  <r>
    <x v="0"/>
    <s v="BARR"/>
    <x v="46"/>
    <x v="46"/>
    <s v="MARQUILLAS"/>
    <n v="510"/>
    <x v="12"/>
    <x v="2"/>
    <s v="NUTRESA"/>
    <x v="0"/>
    <d v="2021-11-12T00:00:00"/>
    <d v="2021-11-25T00:00:00"/>
    <m/>
    <m/>
    <x v="0"/>
    <x v="0"/>
    <s v="BARRCRD024886TRADICIONALNUTRESA"/>
    <x v="0"/>
    <m/>
    <n v="0"/>
    <n v="0"/>
    <n v="0"/>
    <m/>
    <n v="0.01"/>
    <n v="33500000"/>
    <n v="0"/>
    <n v="15.84"/>
    <n v="8078.4"/>
    <n v="5.6099999999999995E-3"/>
    <d v="2021-11-16T00:00:00"/>
    <e v="#REF!"/>
    <d v="2021-12-23T00:00:00"/>
    <m/>
  </r>
  <r>
    <x v="1"/>
    <s v="BGTA"/>
    <x v="46"/>
    <x v="46"/>
    <s v="MARQUILLAS"/>
    <n v="1230"/>
    <x v="12"/>
    <x v="2"/>
    <s v="NUTRESA"/>
    <x v="0"/>
    <d v="2021-11-12T00:00:00"/>
    <d v="2021-11-25T00:00:00"/>
    <m/>
    <m/>
    <x v="0"/>
    <x v="0"/>
    <s v="BGTACRD024886TRADICIONALNUTRESA"/>
    <x v="0"/>
    <m/>
    <n v="0"/>
    <n v="0"/>
    <n v="0"/>
    <m/>
    <n v="0.01"/>
    <n v="33500000"/>
    <n v="0"/>
    <n v="15.84"/>
    <n v="19483.2"/>
    <n v="1.353E-2"/>
    <d v="2021-11-16T00:00:00"/>
    <e v="#REF!"/>
    <d v="2021-12-23T00:00:00"/>
    <m/>
  </r>
  <r>
    <x v="8"/>
    <s v="BGTA"/>
    <x v="46"/>
    <x v="46"/>
    <s v="MARQUILLAS"/>
    <n v="500"/>
    <x v="12"/>
    <x v="2"/>
    <s v="ALTILLANO"/>
    <x v="0"/>
    <d v="2021-11-12T00:00:00"/>
    <d v="2021-11-25T00:00:00"/>
    <m/>
    <m/>
    <x v="0"/>
    <x v="0"/>
    <s v="BGTACRD024886TRADICIONALALTILLANO"/>
    <x v="0"/>
    <m/>
    <n v="0"/>
    <n v="0"/>
    <n v="0"/>
    <m/>
    <n v="0.01"/>
    <n v="33500000"/>
    <n v="0"/>
    <n v="15.84"/>
    <n v="7920"/>
    <n v="5.4999999999999997E-3"/>
    <d v="2021-11-16T00:00:00"/>
    <e v="#REF!"/>
    <d v="2021-12-23T00:00:00"/>
    <m/>
  </r>
  <r>
    <x v="2"/>
    <s v="DUIT"/>
    <x v="46"/>
    <x v="46"/>
    <s v="MARQUILLAS"/>
    <n v="200"/>
    <x v="12"/>
    <x v="2"/>
    <s v="NUTRESA"/>
    <x v="0"/>
    <d v="2021-11-12T00:00:00"/>
    <d v="2021-11-25T00:00:00"/>
    <m/>
    <m/>
    <x v="0"/>
    <x v="0"/>
    <s v="DUITCRD024886TRADICIONALNUTRESA"/>
    <x v="0"/>
    <m/>
    <n v="0"/>
    <n v="0"/>
    <n v="0"/>
    <m/>
    <n v="0.01"/>
    <n v="33500000"/>
    <n v="0"/>
    <n v="15.84"/>
    <n v="3168"/>
    <n v="2.2000000000000001E-3"/>
    <d v="2021-11-16T00:00:00"/>
    <e v="#REF!"/>
    <d v="2021-12-23T00:00:00"/>
    <m/>
  </r>
  <r>
    <x v="7"/>
    <s v="VILA"/>
    <x v="46"/>
    <x v="46"/>
    <s v="MARQUILLAS"/>
    <n v="250"/>
    <x v="12"/>
    <x v="2"/>
    <s v="NUTRESA"/>
    <x v="0"/>
    <d v="2021-11-12T00:00:00"/>
    <d v="2021-11-25T00:00:00"/>
    <m/>
    <m/>
    <x v="0"/>
    <x v="0"/>
    <s v="VILACRD024886TRADICIONALNUTRESA"/>
    <x v="0"/>
    <m/>
    <n v="0"/>
    <n v="0"/>
    <n v="0"/>
    <m/>
    <n v="0.01"/>
    <n v="33500000"/>
    <n v="0"/>
    <n v="15.84"/>
    <n v="3960"/>
    <n v="2.7499999999999998E-3"/>
    <d v="2021-11-16T00:00:00"/>
    <e v="#REF!"/>
    <d v="2021-12-23T00:00:00"/>
    <m/>
  </r>
  <r>
    <x v="9"/>
    <s v="BUCA"/>
    <x v="46"/>
    <x v="46"/>
    <s v="MARQUILLAS"/>
    <n v="415"/>
    <x v="12"/>
    <x v="2"/>
    <s v="NUTRESA"/>
    <x v="0"/>
    <d v="2021-11-12T00:00:00"/>
    <d v="2021-11-25T00:00:00"/>
    <m/>
    <m/>
    <x v="0"/>
    <x v="0"/>
    <s v="BUCACRD024886TRADICIONALNUTRESA"/>
    <x v="0"/>
    <m/>
    <n v="0"/>
    <n v="0"/>
    <n v="0"/>
    <m/>
    <n v="0.01"/>
    <n v="33500000"/>
    <n v="0"/>
    <n v="15.84"/>
    <n v="6573.6"/>
    <n v="4.5650000000000005E-3"/>
    <d v="2021-11-16T00:00:00"/>
    <e v="#REF!"/>
    <d v="2021-12-23T00:00:00"/>
    <m/>
  </r>
  <r>
    <x v="3"/>
    <s v="CALI"/>
    <x v="46"/>
    <x v="46"/>
    <s v="MARQUILLAS"/>
    <n v="405"/>
    <x v="12"/>
    <x v="2"/>
    <s v="NUTRESA"/>
    <x v="0"/>
    <d v="2021-11-12T00:00:00"/>
    <d v="2021-11-25T00:00:00"/>
    <m/>
    <m/>
    <x v="0"/>
    <x v="0"/>
    <s v="CALICRD024886TRADICIONALNUTRESA"/>
    <x v="0"/>
    <m/>
    <n v="0"/>
    <n v="0"/>
    <n v="0"/>
    <m/>
    <n v="0.01"/>
    <n v="33500000"/>
    <n v="0"/>
    <n v="15.84"/>
    <n v="6415.2"/>
    <n v="4.4549999999999998E-3"/>
    <d v="2021-11-16T00:00:00"/>
    <e v="#REF!"/>
    <d v="2021-12-23T00:00:00"/>
    <m/>
  </r>
  <r>
    <x v="4"/>
    <s v="CART"/>
    <x v="46"/>
    <x v="46"/>
    <s v="MARQUILLAS"/>
    <n v="340"/>
    <x v="12"/>
    <x v="2"/>
    <s v="NUTRESA"/>
    <x v="0"/>
    <d v="2021-11-12T00:00:00"/>
    <d v="2021-11-25T00:00:00"/>
    <m/>
    <m/>
    <x v="0"/>
    <x v="0"/>
    <s v="CARTCRD024886TRADICIONALNUTRESA"/>
    <x v="0"/>
    <m/>
    <n v="0"/>
    <n v="0"/>
    <n v="0"/>
    <m/>
    <n v="0.01"/>
    <n v="33500000"/>
    <n v="0"/>
    <n v="15.84"/>
    <n v="5385.6"/>
    <n v="3.7400000000000003E-3"/>
    <d v="2021-11-16T00:00:00"/>
    <e v="#REF!"/>
    <d v="2021-12-23T00:00:00"/>
    <m/>
  </r>
  <r>
    <x v="10"/>
    <s v="IBA1"/>
    <x v="46"/>
    <x v="46"/>
    <s v="MARQUILLAS"/>
    <n v="375"/>
    <x v="12"/>
    <x v="2"/>
    <s v="NUTRESA"/>
    <x v="0"/>
    <d v="2021-11-12T00:00:00"/>
    <d v="2021-11-25T00:00:00"/>
    <m/>
    <m/>
    <x v="0"/>
    <x v="0"/>
    <s v="IBA1CRD024886TRADICIONALNUTRESA"/>
    <x v="0"/>
    <m/>
    <n v="0"/>
    <n v="0"/>
    <n v="0"/>
    <m/>
    <n v="0.01"/>
    <n v="33500000"/>
    <n v="0"/>
    <n v="15.84"/>
    <n v="5940"/>
    <n v="4.1250000000000002E-3"/>
    <d v="2021-11-16T00:00:00"/>
    <e v="#REF!"/>
    <d v="2021-12-23T00:00:00"/>
    <m/>
  </r>
  <r>
    <x v="6"/>
    <s v="PERE"/>
    <x v="46"/>
    <x v="46"/>
    <s v="MARQUILLAS"/>
    <n v="350"/>
    <x v="12"/>
    <x v="2"/>
    <s v="NUTRESA"/>
    <x v="0"/>
    <d v="2021-11-12T00:00:00"/>
    <d v="2021-11-25T00:00:00"/>
    <m/>
    <m/>
    <x v="0"/>
    <x v="0"/>
    <s v="PERECRD024886TRADICIONALNUTRESA"/>
    <x v="0"/>
    <m/>
    <n v="0"/>
    <n v="0"/>
    <n v="0"/>
    <m/>
    <n v="0.01"/>
    <n v="33500000"/>
    <n v="0"/>
    <n v="15.84"/>
    <n v="5544"/>
    <n v="3.8500000000000001E-3"/>
    <d v="2021-11-16T00:00:00"/>
    <e v="#REF!"/>
    <d v="2021-12-23T00:00:00"/>
    <m/>
  </r>
  <r>
    <x v="5"/>
    <s v="MEDE"/>
    <x v="46"/>
    <x v="46"/>
    <s v="MARQUILLAS"/>
    <n v="845"/>
    <x v="12"/>
    <x v="2"/>
    <s v="NUTRESA"/>
    <x v="0"/>
    <d v="2021-11-12T00:00:00"/>
    <d v="2021-11-25T00:00:00"/>
    <m/>
    <m/>
    <x v="0"/>
    <x v="0"/>
    <s v="MEDECRD024886TRADICIONALNUTRESA"/>
    <x v="0"/>
    <m/>
    <n v="0"/>
    <n v="0"/>
    <n v="0"/>
    <m/>
    <n v="0.01"/>
    <n v="33500000"/>
    <n v="0"/>
    <n v="15.84"/>
    <n v="13384.8"/>
    <n v="9.2949999999999994E-3"/>
    <d v="2021-11-16T00:00:00"/>
    <e v="#REF!"/>
    <d v="2021-12-23T00:00:00"/>
    <m/>
  </r>
  <r>
    <x v="0"/>
    <s v="BARR"/>
    <x v="47"/>
    <x v="47"/>
    <s v="MARQUILLAS"/>
    <n v="3"/>
    <x v="12"/>
    <x v="2"/>
    <s v="NUTRESA"/>
    <x v="0"/>
    <d v="2021-11-12T00:00:00"/>
    <d v="2021-11-25T00:00:00"/>
    <m/>
    <m/>
    <x v="0"/>
    <x v="0"/>
    <s v="BARRCRD024888TRADICIONALNUTRESA"/>
    <x v="0"/>
    <m/>
    <n v="0"/>
    <n v="0"/>
    <n v="0"/>
    <m/>
    <n v="0.01"/>
    <n v="22000000"/>
    <n v="0"/>
    <n v="6.6"/>
    <n v="19.799999999999997"/>
    <n v="1.3749999999999999E-5"/>
    <d v="2021-11-16T00:00:00"/>
    <e v="#REF!"/>
    <d v="2021-12-23T00:00:00"/>
    <m/>
  </r>
  <r>
    <x v="1"/>
    <s v="BGTA"/>
    <x v="47"/>
    <x v="47"/>
    <s v="MARQUILLAS"/>
    <n v="69"/>
    <x v="12"/>
    <x v="2"/>
    <s v="NUTRESA"/>
    <x v="0"/>
    <d v="2021-11-12T00:00:00"/>
    <d v="2021-11-25T00:00:00"/>
    <m/>
    <m/>
    <x v="0"/>
    <x v="0"/>
    <s v="BGTACRD024888TRADICIONALNUTRESA"/>
    <x v="0"/>
    <m/>
    <n v="0"/>
    <n v="0"/>
    <n v="0"/>
    <m/>
    <n v="0.01"/>
    <n v="22000000"/>
    <n v="0"/>
    <n v="6.6"/>
    <n v="455.4"/>
    <n v="3.1624999999999996E-4"/>
    <d v="2021-11-16T00:00:00"/>
    <e v="#REF!"/>
    <d v="2021-12-23T00:00:00"/>
    <m/>
  </r>
  <r>
    <x v="9"/>
    <s v="BUCA"/>
    <x v="47"/>
    <x v="47"/>
    <s v="MARQUILLAS"/>
    <n v="12"/>
    <x v="12"/>
    <x v="2"/>
    <s v="NUTRESA"/>
    <x v="0"/>
    <d v="2021-11-12T00:00:00"/>
    <d v="2021-11-25T00:00:00"/>
    <m/>
    <m/>
    <x v="0"/>
    <x v="0"/>
    <s v="BUCACRD024888TRADICIONALNUTRESA"/>
    <x v="0"/>
    <m/>
    <n v="0"/>
    <n v="0"/>
    <n v="0"/>
    <m/>
    <n v="0.01"/>
    <n v="22000000"/>
    <n v="0"/>
    <n v="6.6"/>
    <n v="79.199999999999989"/>
    <n v="5.4999999999999995E-5"/>
    <d v="2021-11-16T00:00:00"/>
    <e v="#REF!"/>
    <d v="2021-12-23T00:00:00"/>
    <m/>
  </r>
  <r>
    <x v="3"/>
    <s v="CALI"/>
    <x v="47"/>
    <x v="47"/>
    <s v="MARQUILLAS"/>
    <n v="9"/>
    <x v="12"/>
    <x v="2"/>
    <s v="NUTRESA"/>
    <x v="0"/>
    <d v="2021-11-12T00:00:00"/>
    <d v="2021-11-25T00:00:00"/>
    <m/>
    <m/>
    <x v="0"/>
    <x v="0"/>
    <s v="CALICRD024888TRADICIONALNUTRESA"/>
    <x v="0"/>
    <m/>
    <n v="0"/>
    <n v="0"/>
    <n v="0"/>
    <m/>
    <n v="0.01"/>
    <n v="22000000"/>
    <n v="0"/>
    <n v="6.6"/>
    <n v="59.4"/>
    <n v="4.125E-5"/>
    <d v="2021-11-16T00:00:00"/>
    <e v="#REF!"/>
    <d v="2021-12-23T00:00:00"/>
    <m/>
  </r>
  <r>
    <x v="4"/>
    <s v="CART"/>
    <x v="47"/>
    <x v="47"/>
    <s v="MARQUILLAS"/>
    <n v="12"/>
    <x v="12"/>
    <x v="2"/>
    <s v="NUTRESA"/>
    <x v="0"/>
    <d v="2021-11-12T00:00:00"/>
    <d v="2021-11-25T00:00:00"/>
    <m/>
    <m/>
    <x v="0"/>
    <x v="0"/>
    <s v="CARTCRD024888TRADICIONALNUTRESA"/>
    <x v="0"/>
    <m/>
    <n v="0"/>
    <n v="0"/>
    <n v="0"/>
    <m/>
    <n v="0.01"/>
    <n v="22000000"/>
    <n v="0"/>
    <n v="6.6"/>
    <n v="79.199999999999989"/>
    <n v="5.4999999999999995E-5"/>
    <d v="2021-11-16T00:00:00"/>
    <e v="#REF!"/>
    <d v="2021-12-23T00:00:00"/>
    <m/>
  </r>
  <r>
    <x v="5"/>
    <s v="MEDE"/>
    <x v="47"/>
    <x v="47"/>
    <s v="MARQUILLAS"/>
    <n v="66"/>
    <x v="12"/>
    <x v="2"/>
    <s v="NUTRESA"/>
    <x v="0"/>
    <d v="2021-11-12T00:00:00"/>
    <d v="2021-11-25T00:00:00"/>
    <m/>
    <m/>
    <x v="0"/>
    <x v="0"/>
    <s v="MEDECRD024888TRADICIONALNUTRESA"/>
    <x v="0"/>
    <m/>
    <n v="0"/>
    <n v="0"/>
    <n v="0"/>
    <m/>
    <n v="0.01"/>
    <n v="22000000"/>
    <n v="0"/>
    <n v="6.6"/>
    <n v="435.59999999999997"/>
    <n v="3.0249999999999998E-4"/>
    <d v="2021-11-16T00:00:00"/>
    <e v="#REF!"/>
    <d v="2021-12-23T00:00:00"/>
    <m/>
  </r>
  <r>
    <x v="0"/>
    <s v="BARR"/>
    <x v="48"/>
    <x v="48"/>
    <s v="EVOLUTION"/>
    <n v="5"/>
    <x v="12"/>
    <x v="1"/>
    <s v="NUTRESA"/>
    <x v="1"/>
    <d v="2021-11-12T00:00:00"/>
    <d v="2021-11-25T00:00:00"/>
    <m/>
    <m/>
    <x v="0"/>
    <x v="0"/>
    <s v="BARRCRD024883AUTOSERVICIONUTRESA"/>
    <x v="0"/>
    <m/>
    <n v="0"/>
    <n v="0"/>
    <n v="0"/>
    <m/>
    <n v="14500000"/>
    <n v="23500000"/>
    <n v="0"/>
    <n v="1092"/>
    <n v="5460"/>
    <n v="3.7916666666666667E-3"/>
    <d v="2021-11-16T00:00:00"/>
    <e v="#REF!"/>
    <d v="2021-12-23T00:00:00"/>
    <m/>
  </r>
  <r>
    <x v="1"/>
    <s v="BGTA"/>
    <x v="48"/>
    <x v="48"/>
    <s v="EVOLUTION"/>
    <n v="15"/>
    <x v="12"/>
    <x v="1"/>
    <s v="NUTRESA"/>
    <x v="1"/>
    <d v="2021-11-12T00:00:00"/>
    <d v="2021-11-25T00:00:00"/>
    <m/>
    <m/>
    <x v="0"/>
    <x v="0"/>
    <s v="BGTACRD024883AUTOSERVICIONUTRESA"/>
    <x v="0"/>
    <m/>
    <n v="0"/>
    <n v="0"/>
    <n v="0"/>
    <m/>
    <n v="14500000"/>
    <n v="23500000"/>
    <n v="0"/>
    <n v="1092"/>
    <n v="16380"/>
    <n v="1.1375E-2"/>
    <d v="2021-11-16T00:00:00"/>
    <e v="#REF!"/>
    <d v="2021-12-23T00:00:00"/>
    <m/>
  </r>
  <r>
    <x v="8"/>
    <s v="BGTA"/>
    <x v="48"/>
    <x v="48"/>
    <s v="EVOLUTION"/>
    <n v="30"/>
    <x v="12"/>
    <x v="1"/>
    <s v="ALTILLANO"/>
    <x v="1"/>
    <d v="2021-11-12T00:00:00"/>
    <d v="2021-11-25T00:00:00"/>
    <m/>
    <m/>
    <x v="0"/>
    <x v="0"/>
    <s v="BGTACRD024883AUTOSERVICIOALTILLANO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2"/>
    <s v="DUIT"/>
    <x v="48"/>
    <x v="48"/>
    <s v="EVOLUTION"/>
    <n v="30"/>
    <x v="12"/>
    <x v="1"/>
    <s v="NUTRESA"/>
    <x v="1"/>
    <d v="2021-11-12T00:00:00"/>
    <d v="2021-11-25T00:00:00"/>
    <m/>
    <m/>
    <x v="0"/>
    <x v="0"/>
    <s v="DUITCRD024883AUTOSERVICIONUTRESA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7"/>
    <s v="VILA"/>
    <x v="48"/>
    <x v="48"/>
    <s v="EVOLUTION"/>
    <n v="10"/>
    <x v="12"/>
    <x v="1"/>
    <s v="NUTRESA"/>
    <x v="1"/>
    <d v="2021-11-12T00:00:00"/>
    <d v="2021-11-25T00:00:00"/>
    <m/>
    <m/>
    <x v="0"/>
    <x v="0"/>
    <s v="VILACRD024883AUTOSERVICIONUTRESA"/>
    <x v="0"/>
    <m/>
    <n v="0"/>
    <n v="0"/>
    <n v="0"/>
    <m/>
    <n v="14500000"/>
    <n v="23500000"/>
    <n v="0"/>
    <n v="1092"/>
    <n v="10920"/>
    <n v="7.5833333333333334E-3"/>
    <d v="2021-11-16T00:00:00"/>
    <e v="#REF!"/>
    <d v="2021-12-23T00:00:00"/>
    <m/>
  </r>
  <r>
    <x v="9"/>
    <s v="BUCA"/>
    <x v="48"/>
    <x v="48"/>
    <s v="EVOLUTION"/>
    <n v="40"/>
    <x v="12"/>
    <x v="1"/>
    <s v="NUTRESA"/>
    <x v="1"/>
    <d v="2021-11-12T00:00:00"/>
    <d v="2021-11-25T00:00:00"/>
    <m/>
    <m/>
    <x v="0"/>
    <x v="0"/>
    <s v="BUCACRD024883AUTOSERVICIONUTRESA"/>
    <x v="0"/>
    <m/>
    <n v="0"/>
    <n v="0"/>
    <n v="0"/>
    <m/>
    <n v="14500000"/>
    <n v="23500000"/>
    <n v="0"/>
    <n v="1092"/>
    <n v="43680"/>
    <n v="3.0333333333333334E-2"/>
    <d v="2021-11-16T00:00:00"/>
    <e v="#REF!"/>
    <d v="2021-12-23T00:00:00"/>
    <m/>
  </r>
  <r>
    <x v="3"/>
    <s v="CALI"/>
    <x v="48"/>
    <x v="48"/>
    <s v="EVOLUTION"/>
    <n v="30"/>
    <x v="12"/>
    <x v="1"/>
    <s v="NUTRESA"/>
    <x v="1"/>
    <d v="2021-11-12T00:00:00"/>
    <d v="2021-11-25T00:00:00"/>
    <m/>
    <m/>
    <x v="0"/>
    <x v="0"/>
    <s v="CALICRD024883AUTOSERVICIONUTRESA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4"/>
    <s v="CART"/>
    <x v="48"/>
    <x v="48"/>
    <s v="EVOLUTION"/>
    <n v="5"/>
    <x v="12"/>
    <x v="1"/>
    <s v="NUTRESA"/>
    <x v="1"/>
    <d v="2021-11-12T00:00:00"/>
    <d v="2021-11-25T00:00:00"/>
    <m/>
    <m/>
    <x v="0"/>
    <x v="0"/>
    <s v="CARTCRD024883AUTOSERVICIONUTRESA"/>
    <x v="0"/>
    <m/>
    <n v="0"/>
    <n v="0"/>
    <n v="0"/>
    <m/>
    <n v="14500000"/>
    <n v="23500000"/>
    <n v="0"/>
    <n v="1092"/>
    <n v="5460"/>
    <n v="3.7916666666666667E-3"/>
    <d v="2021-11-16T00:00:00"/>
    <e v="#REF!"/>
    <d v="2021-12-23T00:00:00"/>
    <m/>
  </r>
  <r>
    <x v="10"/>
    <s v="IBA1"/>
    <x v="48"/>
    <x v="48"/>
    <s v="EVOLUTION"/>
    <n v="142"/>
    <x v="12"/>
    <x v="1"/>
    <s v="NUTRESA"/>
    <x v="1"/>
    <d v="2021-11-12T00:00:00"/>
    <d v="2021-11-25T00:00:00"/>
    <m/>
    <m/>
    <x v="0"/>
    <x v="0"/>
    <s v="IBA1CRD024883AUTOSERVICIONUTRESA"/>
    <x v="0"/>
    <m/>
    <n v="0"/>
    <n v="0"/>
    <n v="0"/>
    <m/>
    <n v="14500000"/>
    <n v="23500000"/>
    <n v="0"/>
    <n v="1092"/>
    <n v="155064"/>
    <n v="0.10768333333333334"/>
    <d v="2021-11-16T00:00:00"/>
    <e v="#REF!"/>
    <d v="2021-12-23T00:00:00"/>
    <m/>
  </r>
  <r>
    <x v="5"/>
    <s v="MEDE"/>
    <x v="48"/>
    <x v="48"/>
    <s v="EVOLUTION"/>
    <n v="87"/>
    <x v="12"/>
    <x v="1"/>
    <s v="NUTRESA"/>
    <x v="1"/>
    <d v="2021-11-12T00:00:00"/>
    <d v="2021-11-25T00:00:00"/>
    <m/>
    <m/>
    <x v="0"/>
    <x v="0"/>
    <s v="MEDECRD024883AUTOSERVICIONUTRESA"/>
    <x v="0"/>
    <m/>
    <n v="0"/>
    <n v="0"/>
    <n v="0"/>
    <m/>
    <n v="14500000"/>
    <n v="23500000"/>
    <n v="0"/>
    <n v="1092"/>
    <n v="95004"/>
    <n v="6.5975000000000006E-2"/>
    <d v="2021-11-16T00:00:00"/>
    <e v="#REF!"/>
    <d v="2021-12-23T00:00:00"/>
    <m/>
  </r>
  <r>
    <x v="6"/>
    <s v="PERE"/>
    <x v="48"/>
    <x v="48"/>
    <s v="EVOLUTION"/>
    <n v="40"/>
    <x v="12"/>
    <x v="1"/>
    <s v="NUTRESA"/>
    <x v="1"/>
    <d v="2021-11-12T00:00:00"/>
    <d v="2021-11-25T00:00:00"/>
    <m/>
    <m/>
    <x v="0"/>
    <x v="0"/>
    <s v="PERECRD024883AUTOSERVICIONUTRESA"/>
    <x v="0"/>
    <m/>
    <n v="0"/>
    <n v="0"/>
    <n v="0"/>
    <m/>
    <n v="14500000"/>
    <n v="23500000"/>
    <n v="0"/>
    <n v="1092"/>
    <n v="43680"/>
    <n v="3.0333333333333334E-2"/>
    <d v="2021-11-16T00:00:00"/>
    <e v="#REF!"/>
    <d v="2021-12-23T00:00:00"/>
    <m/>
  </r>
  <r>
    <x v="0"/>
    <s v="BARR"/>
    <x v="49"/>
    <x v="49"/>
    <s v="PAPELCARD"/>
    <n v="20"/>
    <x v="12"/>
    <x v="1"/>
    <s v="NUTRESA"/>
    <x v="1"/>
    <d v="2021-11-12T00:00:00"/>
    <d v="2021-11-25T00:00:00"/>
    <m/>
    <m/>
    <x v="0"/>
    <x v="0"/>
    <s v="BARRCRD024884AUTOSERVICIONUTRESA"/>
    <x v="0"/>
    <m/>
    <n v="0"/>
    <n v="0"/>
    <n v="0"/>
    <m/>
    <n v="0.1"/>
    <n v="11000000"/>
    <n v="0"/>
    <n v="3200"/>
    <n v="64000"/>
    <n v="4.4444444444444446E-2"/>
    <d v="2021-11-16T00:00:00"/>
    <e v="#REF!"/>
    <d v="2021-12-23T00:00:00"/>
    <m/>
  </r>
  <r>
    <x v="1"/>
    <s v="BGTA"/>
    <x v="49"/>
    <x v="49"/>
    <s v="PAPELCARD"/>
    <n v="50"/>
    <x v="12"/>
    <x v="1"/>
    <s v="NUTRESA"/>
    <x v="1"/>
    <d v="2021-11-12T00:00:00"/>
    <d v="2021-11-25T00:00:00"/>
    <m/>
    <m/>
    <x v="0"/>
    <x v="0"/>
    <s v="BGTACRD024884AUTOSERVICIONUTRESA"/>
    <x v="0"/>
    <m/>
    <n v="0"/>
    <n v="0"/>
    <n v="0"/>
    <m/>
    <n v="0.1"/>
    <n v="11000000"/>
    <n v="0"/>
    <n v="3200"/>
    <n v="160000"/>
    <n v="0.1111111111111111"/>
    <d v="2021-11-16T00:00:00"/>
    <e v="#REF!"/>
    <d v="2021-12-23T00:00:00"/>
    <m/>
  </r>
  <r>
    <x v="8"/>
    <s v="BGTA"/>
    <x v="49"/>
    <x v="49"/>
    <s v="PAPELCARD"/>
    <n v="30"/>
    <x v="12"/>
    <x v="1"/>
    <s v="ALTILLANO"/>
    <x v="1"/>
    <d v="2021-11-12T00:00:00"/>
    <d v="2021-11-25T00:00:00"/>
    <m/>
    <m/>
    <x v="0"/>
    <x v="0"/>
    <s v="BGTACRD024884AUTOSERVICIOALTILLANO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2"/>
    <s v="DUIT"/>
    <x v="49"/>
    <x v="49"/>
    <s v="PAPELCARD"/>
    <n v="30"/>
    <x v="12"/>
    <x v="1"/>
    <s v="NUTRESA"/>
    <x v="1"/>
    <d v="2021-11-12T00:00:00"/>
    <d v="2021-11-25T00:00:00"/>
    <m/>
    <m/>
    <x v="0"/>
    <x v="0"/>
    <s v="DUITCRD024884AUTOSERVICIONUTRESA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7"/>
    <s v="VILA"/>
    <x v="49"/>
    <x v="49"/>
    <s v="PAPELCARD"/>
    <n v="10"/>
    <x v="12"/>
    <x v="1"/>
    <s v="NUTRESA"/>
    <x v="1"/>
    <d v="2021-11-12T00:00:00"/>
    <d v="2021-11-25T00:00:00"/>
    <m/>
    <m/>
    <x v="0"/>
    <x v="0"/>
    <s v="VILACRD024884AUTOSERVICIONUTRESA"/>
    <x v="0"/>
    <m/>
    <n v="0"/>
    <n v="0"/>
    <n v="0"/>
    <m/>
    <n v="0.1"/>
    <n v="11000000"/>
    <n v="0"/>
    <n v="3200"/>
    <n v="32000"/>
    <n v="2.2222222222222223E-2"/>
    <d v="2021-11-16T00:00:00"/>
    <e v="#REF!"/>
    <d v="2021-12-23T00:00:00"/>
    <m/>
  </r>
  <r>
    <x v="9"/>
    <s v="BUCA"/>
    <x v="49"/>
    <x v="49"/>
    <s v="PAPELCARD"/>
    <n v="60"/>
    <x v="12"/>
    <x v="1"/>
    <s v="NUTRESA"/>
    <x v="1"/>
    <d v="2021-11-12T00:00:00"/>
    <d v="2021-11-25T00:00:00"/>
    <m/>
    <m/>
    <x v="0"/>
    <x v="0"/>
    <s v="BUCACRD024884AUTOSERVICIONUTRESA"/>
    <x v="0"/>
    <m/>
    <n v="0"/>
    <n v="0"/>
    <n v="0"/>
    <m/>
    <n v="0.1"/>
    <n v="11000000"/>
    <n v="0"/>
    <n v="3200"/>
    <n v="192000"/>
    <n v="0.13333333333333333"/>
    <d v="2021-11-16T00:00:00"/>
    <e v="#REF!"/>
    <d v="2021-12-23T00:00:00"/>
    <m/>
  </r>
  <r>
    <x v="3"/>
    <s v="CALI"/>
    <x v="49"/>
    <x v="49"/>
    <s v="PAPELCARD"/>
    <n v="30"/>
    <x v="12"/>
    <x v="1"/>
    <s v="NUTRESA"/>
    <x v="1"/>
    <d v="2021-11-12T00:00:00"/>
    <d v="2021-11-25T00:00:00"/>
    <m/>
    <m/>
    <x v="0"/>
    <x v="0"/>
    <s v="CALICRD024884AUTOSERVICIONUTRESA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4"/>
    <s v="CART"/>
    <x v="49"/>
    <x v="49"/>
    <s v="PAPELCARD"/>
    <n v="20"/>
    <x v="12"/>
    <x v="1"/>
    <s v="NUTRESA"/>
    <x v="1"/>
    <d v="2021-11-12T00:00:00"/>
    <d v="2021-11-25T00:00:00"/>
    <m/>
    <m/>
    <x v="0"/>
    <x v="0"/>
    <s v="CARTCRD024884AUTOSERVICIONUTRESA"/>
    <x v="0"/>
    <m/>
    <n v="0"/>
    <n v="0"/>
    <n v="0"/>
    <m/>
    <n v="0.1"/>
    <n v="11000000"/>
    <n v="0"/>
    <n v="3200"/>
    <n v="64000"/>
    <n v="4.4444444444444446E-2"/>
    <d v="2021-11-16T00:00:00"/>
    <e v="#REF!"/>
    <d v="2021-12-23T00:00:00"/>
    <m/>
  </r>
  <r>
    <x v="10"/>
    <s v="IBA1"/>
    <x v="49"/>
    <x v="49"/>
    <s v="PAPELCARD"/>
    <n v="167"/>
    <x v="12"/>
    <x v="1"/>
    <s v="NUTRESA"/>
    <x v="1"/>
    <d v="2021-11-12T00:00:00"/>
    <d v="2021-11-25T00:00:00"/>
    <m/>
    <m/>
    <x v="0"/>
    <x v="0"/>
    <s v="IBA1CRD024884AUTOSERVICIONUTRESA"/>
    <x v="0"/>
    <m/>
    <n v="0"/>
    <n v="0"/>
    <n v="0"/>
    <m/>
    <n v="0.1"/>
    <n v="11000000"/>
    <n v="0"/>
    <n v="3200"/>
    <n v="534400"/>
    <n v="0.37111111111111111"/>
    <d v="2021-11-16T00:00:00"/>
    <e v="#REF!"/>
    <d v="2021-12-23T00:00:00"/>
    <m/>
  </r>
  <r>
    <x v="5"/>
    <s v="MEDE"/>
    <x v="49"/>
    <x v="49"/>
    <s v="PAPELCARD"/>
    <n v="83"/>
    <x v="12"/>
    <x v="1"/>
    <s v="NUTRESA"/>
    <x v="1"/>
    <d v="2021-11-12T00:00:00"/>
    <d v="2021-11-25T00:00:00"/>
    <m/>
    <m/>
    <x v="0"/>
    <x v="0"/>
    <s v="MEDECRD024884AUTOSERVICIONUTRESA"/>
    <x v="0"/>
    <m/>
    <n v="0"/>
    <n v="0"/>
    <n v="0"/>
    <m/>
    <n v="0.1"/>
    <n v="11000000"/>
    <n v="0"/>
    <n v="3200"/>
    <n v="265600"/>
    <n v="0.18444444444444444"/>
    <d v="2021-11-16T00:00:00"/>
    <e v="#REF!"/>
    <d v="2021-12-23T00:00:00"/>
    <m/>
  </r>
  <r>
    <x v="6"/>
    <s v="PERE"/>
    <x v="49"/>
    <x v="49"/>
    <s v="PAPELCARD"/>
    <n v="60"/>
    <x v="12"/>
    <x v="1"/>
    <s v="NUTRESA"/>
    <x v="1"/>
    <d v="2021-11-12T00:00:00"/>
    <d v="2021-11-25T00:00:00"/>
    <m/>
    <m/>
    <x v="0"/>
    <x v="0"/>
    <s v="PERECRD024884AUTOSERVICIONUTRESA"/>
    <x v="0"/>
    <m/>
    <n v="0"/>
    <n v="0"/>
    <n v="0"/>
    <m/>
    <n v="0.1"/>
    <n v="11000000"/>
    <n v="0"/>
    <n v="3200"/>
    <n v="192000"/>
    <n v="0.13333333333333333"/>
    <d v="2021-11-16T00:00:00"/>
    <e v="#REF!"/>
    <d v="2021-12-23T00:00:00"/>
    <m/>
  </r>
  <r>
    <x v="0"/>
    <s v="BARR"/>
    <x v="50"/>
    <x v="50"/>
    <s v="GESTION Y MEDIOS"/>
    <n v="30"/>
    <x v="12"/>
    <x v="1"/>
    <s v="NUTRESA"/>
    <x v="0"/>
    <d v="2021-11-12T00:00:00"/>
    <d v="2021-11-25T00:00:00"/>
    <m/>
    <m/>
    <x v="0"/>
    <x v="0"/>
    <s v="BARRCRD024885AUTOSERVICIONUTRESA"/>
    <x v="0"/>
    <m/>
    <n v="0"/>
    <n v="0"/>
    <n v="0"/>
    <m/>
    <n v="14000000"/>
    <n v="11000000"/>
    <n v="0"/>
    <n v="1.4850000000000001"/>
    <n v="44.550000000000004"/>
    <n v="3.09375E-5"/>
    <d v="2021-11-16T00:00:00"/>
    <e v="#REF!"/>
    <d v="2021-12-23T00:00:00"/>
    <m/>
  </r>
  <r>
    <x v="1"/>
    <s v="BGTA"/>
    <x v="50"/>
    <x v="50"/>
    <s v="GESTION Y MEDIOS"/>
    <n v="200"/>
    <x v="12"/>
    <x v="1"/>
    <s v="NUTRESA"/>
    <x v="0"/>
    <d v="2021-11-12T00:00:00"/>
    <d v="2021-11-25T00:00:00"/>
    <m/>
    <m/>
    <x v="0"/>
    <x v="0"/>
    <s v="BGTACRD024885AUTOSERVICIONUTRESA"/>
    <x v="0"/>
    <m/>
    <n v="0"/>
    <n v="0"/>
    <n v="0"/>
    <m/>
    <n v="14000000"/>
    <n v="11000000"/>
    <n v="0"/>
    <n v="1.4850000000000001"/>
    <n v="297"/>
    <n v="2.0625E-4"/>
    <d v="2021-11-16T00:00:00"/>
    <e v="#REF!"/>
    <d v="2021-12-23T00:00:00"/>
    <m/>
  </r>
  <r>
    <x v="8"/>
    <s v="BGTA"/>
    <x v="50"/>
    <x v="50"/>
    <s v="GESTION Y MEDIOS"/>
    <n v="150"/>
    <x v="12"/>
    <x v="1"/>
    <s v="ALTILLANO"/>
    <x v="0"/>
    <d v="2021-11-12T00:00:00"/>
    <d v="2021-11-25T00:00:00"/>
    <m/>
    <m/>
    <x v="0"/>
    <x v="0"/>
    <s v="BGTACRD024885AUTOSERVICIOALTILLANO"/>
    <x v="0"/>
    <m/>
    <n v="0"/>
    <n v="0"/>
    <n v="0"/>
    <m/>
    <n v="14000000"/>
    <n v="11000000"/>
    <n v="0"/>
    <n v="1.4850000000000001"/>
    <n v="222.75000000000003"/>
    <n v="1.5468750000000001E-4"/>
    <d v="2021-11-16T00:00:00"/>
    <e v="#REF!"/>
    <d v="2021-12-23T00:00:00"/>
    <m/>
  </r>
  <r>
    <x v="2"/>
    <s v="DUIT"/>
    <x v="50"/>
    <x v="50"/>
    <s v="GESTION Y MEDIOS"/>
    <n v="100"/>
    <x v="12"/>
    <x v="1"/>
    <s v="NUTRESA"/>
    <x v="0"/>
    <d v="2021-11-12T00:00:00"/>
    <d v="2021-11-25T00:00:00"/>
    <m/>
    <m/>
    <x v="0"/>
    <x v="0"/>
    <s v="DUITCRD024885AUTOSERVICIONUTRESA"/>
    <x v="0"/>
    <m/>
    <n v="0"/>
    <n v="0"/>
    <n v="0"/>
    <m/>
    <n v="14000000"/>
    <n v="11000000"/>
    <n v="0"/>
    <n v="1.4850000000000001"/>
    <n v="148.5"/>
    <n v="1.03125E-4"/>
    <d v="2021-11-16T00:00:00"/>
    <e v="#REF!"/>
    <d v="2021-12-23T00:00:00"/>
    <m/>
  </r>
  <r>
    <x v="7"/>
    <s v="VILA"/>
    <x v="50"/>
    <x v="50"/>
    <s v="GESTION Y MEDIOS"/>
    <n v="100"/>
    <x v="12"/>
    <x v="1"/>
    <s v="NUTRESA"/>
    <x v="0"/>
    <d v="2021-11-12T00:00:00"/>
    <d v="2021-11-25T00:00:00"/>
    <m/>
    <m/>
    <x v="0"/>
    <x v="0"/>
    <s v="VILACRD024885AUTOSERVICIONUTRESA"/>
    <x v="0"/>
    <m/>
    <n v="0"/>
    <n v="0"/>
    <n v="0"/>
    <m/>
    <n v="14000000"/>
    <n v="11000000"/>
    <n v="0"/>
    <n v="1.4850000000000001"/>
    <n v="148.5"/>
    <n v="1.03125E-4"/>
    <d v="2021-11-16T00:00:00"/>
    <e v="#REF!"/>
    <d v="2021-12-23T00:00:00"/>
    <m/>
  </r>
  <r>
    <x v="9"/>
    <s v="BUCA"/>
    <x v="50"/>
    <x v="50"/>
    <s v="GESTION Y MEDIOS"/>
    <n v="240"/>
    <x v="12"/>
    <x v="1"/>
    <s v="NUTRESA"/>
    <x v="0"/>
    <d v="2021-11-12T00:00:00"/>
    <d v="2021-11-25T00:00:00"/>
    <m/>
    <m/>
    <x v="0"/>
    <x v="0"/>
    <s v="BUCACRD024885AUTOSERVICIONUTRESA"/>
    <x v="0"/>
    <m/>
    <n v="0"/>
    <n v="0"/>
    <n v="0"/>
    <m/>
    <n v="14000000"/>
    <n v="11000000"/>
    <n v="0"/>
    <n v="1.4850000000000001"/>
    <n v="356.40000000000003"/>
    <n v="2.475E-4"/>
    <d v="2021-11-16T00:00:00"/>
    <e v="#REF!"/>
    <d v="2021-12-23T00:00:00"/>
    <m/>
  </r>
  <r>
    <x v="3"/>
    <s v="CALI"/>
    <x v="50"/>
    <x v="50"/>
    <s v="GESTION Y MEDIOS"/>
    <n v="60"/>
    <x v="12"/>
    <x v="1"/>
    <s v="NUTRESA"/>
    <x v="0"/>
    <d v="2021-11-12T00:00:00"/>
    <d v="2021-11-25T00:00:00"/>
    <m/>
    <m/>
    <x v="0"/>
    <x v="0"/>
    <s v="CALICRD024885AUTOSERVICIONUTRESA"/>
    <x v="0"/>
    <m/>
    <n v="0"/>
    <n v="0"/>
    <n v="0"/>
    <m/>
    <n v="14000000"/>
    <n v="11000000"/>
    <n v="0"/>
    <n v="1.4850000000000001"/>
    <n v="89.100000000000009"/>
    <n v="6.1875E-5"/>
    <d v="2021-11-16T00:00:00"/>
    <e v="#REF!"/>
    <d v="2021-12-23T00:00:00"/>
    <m/>
  </r>
  <r>
    <x v="4"/>
    <s v="CART"/>
    <x v="50"/>
    <x v="50"/>
    <s v="GESTION Y MEDIOS"/>
    <n v="30"/>
    <x v="12"/>
    <x v="1"/>
    <s v="NUTRESA"/>
    <x v="0"/>
    <d v="2021-11-12T00:00:00"/>
    <d v="2021-11-25T00:00:00"/>
    <m/>
    <m/>
    <x v="0"/>
    <x v="0"/>
    <s v="CARTCRD024885AUTOSERVICIONUTRESA"/>
    <x v="0"/>
    <m/>
    <n v="0"/>
    <n v="0"/>
    <n v="0"/>
    <m/>
    <n v="14000000"/>
    <n v="11000000"/>
    <n v="0"/>
    <n v="1.4850000000000001"/>
    <n v="44.550000000000004"/>
    <n v="3.09375E-5"/>
    <d v="2021-11-16T00:00:00"/>
    <e v="#REF!"/>
    <d v="2021-12-23T00:00:00"/>
    <m/>
  </r>
  <r>
    <x v="10"/>
    <s v="IBA1"/>
    <x v="50"/>
    <x v="50"/>
    <s v="GESTION Y MEDIOS"/>
    <n v="300"/>
    <x v="12"/>
    <x v="1"/>
    <s v="NUTRESA"/>
    <x v="0"/>
    <d v="2021-11-12T00:00:00"/>
    <d v="2021-11-25T00:00:00"/>
    <m/>
    <m/>
    <x v="0"/>
    <x v="0"/>
    <s v="IBA1CRD024885AUTOSERVICIONUTRESA"/>
    <x v="0"/>
    <m/>
    <n v="0"/>
    <n v="0"/>
    <n v="0"/>
    <m/>
    <n v="14000000"/>
    <n v="11000000"/>
    <n v="0"/>
    <n v="1.4850000000000001"/>
    <n v="445.50000000000006"/>
    <n v="3.0937500000000003E-4"/>
    <d v="2021-11-16T00:00:00"/>
    <e v="#REF!"/>
    <d v="2021-12-23T00:00:00"/>
    <m/>
  </r>
  <r>
    <x v="5"/>
    <s v="MEDE"/>
    <x v="50"/>
    <x v="50"/>
    <s v="GESTION Y MEDIOS"/>
    <n v="129"/>
    <x v="12"/>
    <x v="1"/>
    <s v="NUTRESA"/>
    <x v="0"/>
    <d v="2021-11-12T00:00:00"/>
    <d v="2021-11-25T00:00:00"/>
    <m/>
    <m/>
    <x v="0"/>
    <x v="0"/>
    <s v="MEDECRD024885AUTOSERVICIONUTRESA"/>
    <x v="0"/>
    <m/>
    <n v="0"/>
    <n v="0"/>
    <n v="0"/>
    <m/>
    <n v="14000000"/>
    <n v="11000000"/>
    <n v="0"/>
    <n v="1.4850000000000001"/>
    <n v="191.56500000000003"/>
    <n v="1.3303125000000001E-4"/>
    <d v="2021-11-16T00:00:00"/>
    <e v="#REF!"/>
    <d v="2021-12-23T00:00:00"/>
    <m/>
  </r>
  <r>
    <x v="6"/>
    <s v="PERE"/>
    <x v="50"/>
    <x v="50"/>
    <s v="GESTION Y MEDIOS"/>
    <n v="160"/>
    <x v="12"/>
    <x v="1"/>
    <s v="NUTRESA"/>
    <x v="0"/>
    <d v="2021-11-12T00:00:00"/>
    <d v="2021-11-25T00:00:00"/>
    <m/>
    <m/>
    <x v="0"/>
    <x v="0"/>
    <s v="PERECRD024885AUTOSERVICIONUTRESA"/>
    <x v="0"/>
    <m/>
    <n v="0"/>
    <n v="0"/>
    <n v="0"/>
    <m/>
    <n v="14000000"/>
    <n v="11000000"/>
    <n v="0"/>
    <n v="1.4850000000000001"/>
    <n v="237.60000000000002"/>
    <n v="1.6500000000000003E-4"/>
    <d v="2021-11-16T00:00:00"/>
    <e v="#REF!"/>
    <d v="2021-12-23T00:00:00"/>
    <m/>
  </r>
  <r>
    <x v="0"/>
    <s v="BARR"/>
    <x v="51"/>
    <x v="51"/>
    <s v="GESTION Y MEDIOS"/>
    <n v="1000"/>
    <x v="12"/>
    <x v="2"/>
    <s v="NUTRESA"/>
    <x v="0"/>
    <d v="2021-11-12T00:00:00"/>
    <d v="2021-11-25T00:00:00"/>
    <m/>
    <m/>
    <x v="0"/>
    <x v="0"/>
    <s v="BARRCRD024887TRADICIONALNUTRESA"/>
    <x v="0"/>
    <m/>
    <n v="0"/>
    <n v="0"/>
    <n v="0"/>
    <m/>
    <n v="0.01"/>
    <n v="40000000"/>
    <n v="0"/>
    <n v="2400"/>
    <n v="2400000"/>
    <n v="1.6666666666666667"/>
    <d v="2021-11-16T00:00:00"/>
    <e v="#REF!"/>
    <d v="2021-12-23T00:00:00"/>
    <m/>
  </r>
  <r>
    <x v="1"/>
    <s v="BGTA"/>
    <x v="51"/>
    <x v="51"/>
    <s v="GESTION Y MEDIOS"/>
    <n v="2000"/>
    <x v="12"/>
    <x v="2"/>
    <s v="NUTRESA"/>
    <x v="0"/>
    <d v="2021-11-12T00:00:00"/>
    <d v="2021-11-25T00:00:00"/>
    <m/>
    <m/>
    <x v="0"/>
    <x v="0"/>
    <s v="BGTACRD024887TRADICIONALNUTRESA"/>
    <x v="0"/>
    <m/>
    <n v="0"/>
    <n v="0"/>
    <n v="0"/>
    <m/>
    <n v="0.01"/>
    <n v="40000000"/>
    <n v="0"/>
    <n v="2400"/>
    <n v="4800000"/>
    <n v="3.3333333333333335"/>
    <d v="2021-11-16T00:00:00"/>
    <e v="#REF!"/>
    <d v="2021-12-23T00:00:00"/>
    <m/>
  </r>
  <r>
    <x v="8"/>
    <s v="BGTA"/>
    <x v="51"/>
    <x v="51"/>
    <s v="GESTION Y MEDIOS"/>
    <n v="1000"/>
    <x v="12"/>
    <x v="2"/>
    <s v="ALTILLANO"/>
    <x v="0"/>
    <d v="2021-11-12T00:00:00"/>
    <d v="2021-11-25T00:00:00"/>
    <m/>
    <m/>
    <x v="0"/>
    <x v="0"/>
    <s v="BGTACRD024887TRADICIONALALTILLANO"/>
    <x v="0"/>
    <m/>
    <n v="0"/>
    <n v="0"/>
    <n v="0"/>
    <m/>
    <n v="0.01"/>
    <n v="40000000"/>
    <n v="0"/>
    <n v="2400"/>
    <n v="2400000"/>
    <n v="1.6666666666666667"/>
    <d v="2021-11-16T00:00:00"/>
    <e v="#REF!"/>
    <d v="2021-12-23T00:00:00"/>
    <m/>
  </r>
  <r>
    <x v="2"/>
    <s v="DUIT"/>
    <x v="51"/>
    <x v="51"/>
    <s v="GESTION Y MEDIOS"/>
    <n v="400"/>
    <x v="12"/>
    <x v="2"/>
    <s v="NUTRESA"/>
    <x v="0"/>
    <d v="2021-11-12T00:00:00"/>
    <d v="2021-11-25T00:00:00"/>
    <m/>
    <m/>
    <x v="0"/>
    <x v="0"/>
    <s v="DUITCRD024887TRADICIONALNUTRESA"/>
    <x v="0"/>
    <m/>
    <n v="0"/>
    <n v="0"/>
    <n v="0"/>
    <m/>
    <n v="0.01"/>
    <n v="40000000"/>
    <n v="0"/>
    <n v="2400"/>
    <n v="960000"/>
    <n v="0.66666666666666663"/>
    <d v="2021-11-16T00:00:00"/>
    <e v="#REF!"/>
    <d v="2021-12-23T00:00:00"/>
    <m/>
  </r>
  <r>
    <x v="7"/>
    <s v="VILA"/>
    <x v="51"/>
    <x v="51"/>
    <s v="GESTION Y MEDIOS"/>
    <n v="500"/>
    <x v="12"/>
    <x v="2"/>
    <s v="NUTRESA"/>
    <x v="0"/>
    <d v="2021-11-12T00:00:00"/>
    <d v="2021-11-25T00:00:00"/>
    <m/>
    <m/>
    <x v="0"/>
    <x v="0"/>
    <s v="VILACRD024887TRADICIONALNUTRESA"/>
    <x v="0"/>
    <m/>
    <n v="0"/>
    <n v="0"/>
    <n v="0"/>
    <m/>
    <n v="0.01"/>
    <n v="40000000"/>
    <n v="0"/>
    <n v="2400"/>
    <n v="1200000"/>
    <n v="0.83333333333333337"/>
    <d v="2021-11-16T00:00:00"/>
    <e v="#REF!"/>
    <d v="2021-12-23T00:00:00"/>
    <m/>
  </r>
  <r>
    <x v="9"/>
    <s v="BUCA"/>
    <x v="51"/>
    <x v="51"/>
    <s v="GESTION Y MEDIOS"/>
    <n v="750"/>
    <x v="12"/>
    <x v="2"/>
    <s v="NUTRESA"/>
    <x v="0"/>
    <d v="2021-11-12T00:00:00"/>
    <d v="2021-11-25T00:00:00"/>
    <m/>
    <m/>
    <x v="0"/>
    <x v="0"/>
    <s v="BUCA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3"/>
    <s v="CALI"/>
    <x v="51"/>
    <x v="51"/>
    <s v="GESTION Y MEDIOS"/>
    <n v="750"/>
    <x v="12"/>
    <x v="2"/>
    <s v="NUTRESA"/>
    <x v="0"/>
    <d v="2021-11-12T00:00:00"/>
    <d v="2021-11-25T00:00:00"/>
    <m/>
    <m/>
    <x v="0"/>
    <x v="0"/>
    <s v="CALI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4"/>
    <s v="CART"/>
    <x v="51"/>
    <x v="51"/>
    <s v="GESTION Y MEDIOS"/>
    <n v="600"/>
    <x v="12"/>
    <x v="2"/>
    <s v="NUTRESA"/>
    <x v="0"/>
    <d v="2021-11-12T00:00:00"/>
    <d v="2021-11-25T00:00:00"/>
    <m/>
    <m/>
    <x v="0"/>
    <x v="0"/>
    <s v="CARTCRD024887TRADICIONALNUTRESA"/>
    <x v="0"/>
    <m/>
    <n v="0"/>
    <n v="0"/>
    <n v="0"/>
    <m/>
    <n v="0.01"/>
    <n v="40000000"/>
    <n v="0"/>
    <n v="2400"/>
    <n v="1440000"/>
    <n v="1"/>
    <d v="2021-11-16T00:00:00"/>
    <e v="#REF!"/>
    <d v="2021-12-23T00:00:00"/>
    <m/>
  </r>
  <r>
    <x v="10"/>
    <s v="IBA1"/>
    <x v="51"/>
    <x v="51"/>
    <s v="GESTION Y MEDIOS"/>
    <n v="750"/>
    <x v="12"/>
    <x v="2"/>
    <s v="NUTRESA"/>
    <x v="0"/>
    <d v="2021-11-12T00:00:00"/>
    <d v="2021-11-25T00:00:00"/>
    <m/>
    <m/>
    <x v="0"/>
    <x v="0"/>
    <s v="IBA1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5"/>
    <s v="MEDE"/>
    <x v="51"/>
    <x v="51"/>
    <s v="GESTION Y MEDIOS"/>
    <n v="1250"/>
    <x v="12"/>
    <x v="2"/>
    <s v="NUTRESA"/>
    <x v="0"/>
    <d v="2021-11-12T00:00:00"/>
    <d v="2021-11-25T00:00:00"/>
    <m/>
    <m/>
    <x v="0"/>
    <x v="0"/>
    <s v="MEDECRD024887TRADICIONALNUTRESA"/>
    <x v="0"/>
    <m/>
    <n v="0"/>
    <n v="0"/>
    <n v="0"/>
    <m/>
    <n v="0.01"/>
    <n v="40000000"/>
    <n v="0"/>
    <n v="2400"/>
    <n v="3000000"/>
    <n v="2.0833333333333335"/>
    <d v="2021-11-16T00:00:00"/>
    <e v="#REF!"/>
    <d v="2021-12-23T00:00:00"/>
    <m/>
  </r>
  <r>
    <x v="6"/>
    <s v="PERE"/>
    <x v="51"/>
    <x v="51"/>
    <s v="GESTION Y MEDIOS"/>
    <n v="700"/>
    <x v="12"/>
    <x v="2"/>
    <s v="NUTRESA"/>
    <x v="0"/>
    <d v="2021-11-12T00:00:00"/>
    <d v="2021-11-25T00:00:00"/>
    <m/>
    <m/>
    <x v="0"/>
    <x v="0"/>
    <s v="PERECRD024887TRADICIONALNUTRESA"/>
    <x v="0"/>
    <m/>
    <n v="0"/>
    <n v="0"/>
    <n v="0"/>
    <m/>
    <n v="0.01"/>
    <n v="40000000"/>
    <n v="0"/>
    <n v="2400"/>
    <n v="1680000"/>
    <n v="1.1666666666666667"/>
    <d v="2021-11-16T00:00:00"/>
    <e v="#REF!"/>
    <d v="2021-12-23T00:00:00"/>
    <m/>
  </r>
  <r>
    <x v="0"/>
    <s v="BARR"/>
    <x v="52"/>
    <x v="52"/>
    <s v="GROPIUS"/>
    <n v="100"/>
    <x v="13"/>
    <x v="1"/>
    <s v="NUTRESA"/>
    <x v="0"/>
    <d v="2021-11-16T00:00:00"/>
    <s v="PENDIENTE"/>
    <m/>
    <m/>
    <x v="0"/>
    <x v="0"/>
    <s v="BARRCRD017899AUTOSERVICIONUTRESA"/>
    <x v="0"/>
    <m/>
    <n v="0"/>
    <n v="0"/>
    <n v="0"/>
    <m/>
    <n v="12000000"/>
    <n v="31000000"/>
    <n v="0"/>
    <n v="74.400000000000006"/>
    <n v="7440.0000000000009"/>
    <n v="5.1666666666666675E-3"/>
    <d v="2021-11-20T00:00:00"/>
    <e v="#REF!"/>
    <d v="2021-12-23T00:00:00"/>
    <m/>
  </r>
  <r>
    <x v="1"/>
    <s v="BGTA"/>
    <x v="52"/>
    <x v="52"/>
    <s v="GROPIUS"/>
    <n v="1500"/>
    <x v="13"/>
    <x v="1"/>
    <s v="NUTRESA"/>
    <x v="0"/>
    <d v="2021-11-16T00:00:00"/>
    <s v="PENDIENTE"/>
    <m/>
    <m/>
    <x v="0"/>
    <x v="0"/>
    <s v="BGTACRD017899AUTOSERVICIONUTRESA"/>
    <x v="0"/>
    <m/>
    <n v="0"/>
    <n v="0"/>
    <n v="0"/>
    <m/>
    <n v="12000000"/>
    <n v="31000000"/>
    <n v="0"/>
    <n v="74.400000000000006"/>
    <n v="111600.00000000001"/>
    <n v="7.7500000000000013E-2"/>
    <d v="2021-11-20T00:00:00"/>
    <e v="#REF!"/>
    <d v="2021-12-23T00:00:00"/>
    <m/>
  </r>
  <r>
    <x v="8"/>
    <s v="BGTA"/>
    <x v="52"/>
    <x v="52"/>
    <s v="GROPIUS"/>
    <n v="400"/>
    <x v="13"/>
    <x v="1"/>
    <s v="ALTILLANO"/>
    <x v="0"/>
    <d v="2021-11-16T00:00:00"/>
    <s v="PENDIENTE"/>
    <m/>
    <m/>
    <x v="0"/>
    <x v="0"/>
    <s v="BGTACRD017899AUTOSERVICIOALTILLANO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2"/>
    <s v="DUIT"/>
    <x v="52"/>
    <x v="52"/>
    <s v="GROPIUS"/>
    <n v="300"/>
    <x v="13"/>
    <x v="1"/>
    <s v="NUTRESA"/>
    <x v="0"/>
    <d v="2021-11-16T00:00:00"/>
    <s v="PENDIENTE"/>
    <m/>
    <m/>
    <x v="0"/>
    <x v="0"/>
    <s v="DUITCRD017899AUTOSERVICIONUTRESA"/>
    <x v="0"/>
    <m/>
    <n v="0"/>
    <n v="0"/>
    <n v="0"/>
    <m/>
    <n v="12000000"/>
    <n v="31000000"/>
    <n v="0"/>
    <n v="74.400000000000006"/>
    <n v="22320"/>
    <n v="1.55E-2"/>
    <d v="2021-11-20T00:00:00"/>
    <e v="#REF!"/>
    <d v="2021-12-23T00:00:00"/>
    <m/>
  </r>
  <r>
    <x v="7"/>
    <s v="VILA"/>
    <x v="52"/>
    <x v="52"/>
    <s v="GROPIUS"/>
    <n v="300"/>
    <x v="13"/>
    <x v="1"/>
    <s v="NUTRESA"/>
    <x v="0"/>
    <d v="2021-11-16T00:00:00"/>
    <s v="PENDIENTE"/>
    <m/>
    <m/>
    <x v="0"/>
    <x v="0"/>
    <s v="VILACRD017899AUTOSERVICIONUTRESA"/>
    <x v="0"/>
    <m/>
    <n v="0"/>
    <n v="0"/>
    <n v="0"/>
    <m/>
    <n v="12000000"/>
    <n v="31000000"/>
    <n v="0"/>
    <n v="74.400000000000006"/>
    <n v="22320"/>
    <n v="1.55E-2"/>
    <d v="2021-11-20T00:00:00"/>
    <e v="#REF!"/>
    <d v="2021-12-23T00:00:00"/>
    <m/>
  </r>
  <r>
    <x v="9"/>
    <s v="BUCA"/>
    <x v="52"/>
    <x v="52"/>
    <s v="GROPIUS"/>
    <n v="400"/>
    <x v="13"/>
    <x v="1"/>
    <s v="NUTRESA"/>
    <x v="0"/>
    <d v="2021-11-16T00:00:00"/>
    <s v="PENDIENTE"/>
    <m/>
    <m/>
    <x v="0"/>
    <x v="0"/>
    <s v="BUCACRD017899AUTOSERVICIONUTRESA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3"/>
    <s v="CALI"/>
    <x v="52"/>
    <x v="52"/>
    <s v="GROPIUS"/>
    <n v="6000"/>
    <x v="13"/>
    <x v="1"/>
    <s v="NUTRESA"/>
    <x v="0"/>
    <d v="2021-11-16T00:00:00"/>
    <s v="PENDIENTE"/>
    <m/>
    <m/>
    <x v="0"/>
    <x v="0"/>
    <s v="CALICRD017899AUTOSERVICIONUTRESA"/>
    <x v="0"/>
    <m/>
    <n v="0"/>
    <n v="0"/>
    <n v="0"/>
    <m/>
    <n v="12000000"/>
    <n v="31000000"/>
    <n v="0"/>
    <n v="74.400000000000006"/>
    <n v="446400.00000000006"/>
    <n v="0.31000000000000005"/>
    <d v="2021-11-20T00:00:00"/>
    <e v="#REF!"/>
    <d v="2021-12-23T00:00:00"/>
    <m/>
  </r>
  <r>
    <x v="4"/>
    <s v="CART"/>
    <x v="52"/>
    <x v="52"/>
    <s v="GROPIUS"/>
    <n v="100"/>
    <x v="13"/>
    <x v="1"/>
    <s v="NUTRESA"/>
    <x v="0"/>
    <d v="2021-11-16T00:00:00"/>
    <s v="PENDIENTE"/>
    <m/>
    <m/>
    <x v="0"/>
    <x v="0"/>
    <s v="CARTCRD017899AUTOSERVICIONUTRESA"/>
    <x v="0"/>
    <m/>
    <n v="0"/>
    <n v="0"/>
    <n v="0"/>
    <m/>
    <n v="12000000"/>
    <n v="31000000"/>
    <n v="0"/>
    <n v="74.400000000000006"/>
    <n v="7440.0000000000009"/>
    <n v="5.1666666666666675E-3"/>
    <d v="2021-11-20T00:00:00"/>
    <e v="#REF!"/>
    <d v="2021-12-23T00:00:00"/>
    <m/>
  </r>
  <r>
    <x v="10"/>
    <s v="IBA1"/>
    <x v="52"/>
    <x v="52"/>
    <s v="GROPIUS"/>
    <n v="400"/>
    <x v="13"/>
    <x v="1"/>
    <s v="NUTRESA"/>
    <x v="0"/>
    <d v="2021-11-16T00:00:00"/>
    <s v="PENDIENTE"/>
    <m/>
    <m/>
    <x v="0"/>
    <x v="0"/>
    <s v="IBA1CRD017899AUTOSERVICIONUTRESA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5"/>
    <s v="MEDE"/>
    <x v="52"/>
    <x v="52"/>
    <s v="GROPIUS"/>
    <n v="500"/>
    <x v="13"/>
    <x v="1"/>
    <s v="NUTRESA"/>
    <x v="0"/>
    <d v="2021-11-16T00:00:00"/>
    <s v="PENDIENTE"/>
    <m/>
    <m/>
    <x v="0"/>
    <x v="0"/>
    <s v="MEDECRD017899AUTOSERVICIONUTRESA"/>
    <x v="0"/>
    <m/>
    <n v="0"/>
    <n v="0"/>
    <n v="0"/>
    <m/>
    <n v="12000000"/>
    <n v="31000000"/>
    <n v="0"/>
    <n v="74.400000000000006"/>
    <n v="37200"/>
    <n v="2.5833333333333333E-2"/>
    <d v="2021-11-20T00:00:00"/>
    <e v="#REF!"/>
    <d v="2021-12-23T00:00:00"/>
    <m/>
  </r>
  <r>
    <x v="6"/>
    <s v="PERE"/>
    <x v="52"/>
    <x v="52"/>
    <s v="GROPIUS"/>
    <n v="10000"/>
    <x v="13"/>
    <x v="1"/>
    <s v="NUTRESA"/>
    <x v="0"/>
    <d v="2021-11-16T00:00:00"/>
    <s v="PENDIENTE"/>
    <m/>
    <m/>
    <x v="0"/>
    <x v="0"/>
    <s v="PERECRD017899AUTOSERVICIONUTRESA"/>
    <x v="0"/>
    <m/>
    <n v="0"/>
    <n v="0"/>
    <n v="0"/>
    <m/>
    <n v="12000000"/>
    <n v="31000000"/>
    <n v="0"/>
    <n v="74.400000000000006"/>
    <n v="744000"/>
    <n v="0.51666666666666672"/>
    <d v="2021-11-20T00:00:00"/>
    <e v="#REF!"/>
    <d v="2021-12-23T00:00:00"/>
    <m/>
  </r>
  <r>
    <x v="1"/>
    <s v="BGTA"/>
    <x v="53"/>
    <x v="53"/>
    <s v="MARQUILLAS"/>
    <n v="30000"/>
    <x v="13"/>
    <x v="1"/>
    <s v="NUTRESA"/>
    <x v="0"/>
    <d v="2021-11-10T00:00:00"/>
    <s v="PENDIENTE"/>
    <m/>
    <m/>
    <x v="0"/>
    <x v="4"/>
    <s v="BGTACRD023585AUTOSERVICIONUTRESA"/>
    <x v="34"/>
    <n v="30000"/>
    <n v="1"/>
    <n v="0"/>
    <n v="0"/>
    <m/>
    <n v="0.01"/>
    <n v="11000000"/>
    <n v="0"/>
    <n v="0.77"/>
    <n v="23100"/>
    <n v="1.6041666666666666E-2"/>
    <d v="2021-11-14T00:00:00"/>
    <e v="#REF!"/>
    <d v="2021-12-23T00:00:00"/>
    <m/>
  </r>
  <r>
    <x v="8"/>
    <s v="BGTA"/>
    <x v="53"/>
    <x v="53"/>
    <s v="MARQUILLAS"/>
    <n v="1500"/>
    <x v="13"/>
    <x v="1"/>
    <s v="ALTILLANO"/>
    <x v="0"/>
    <d v="2021-11-10T00:00:00"/>
    <s v="PENDIENTE"/>
    <m/>
    <m/>
    <x v="0"/>
    <x v="4"/>
    <s v="BGTACRD023585AUTOSERVICIOALTILLANO"/>
    <x v="35"/>
    <n v="1500"/>
    <n v="1"/>
    <n v="0"/>
    <n v="0"/>
    <m/>
    <n v="0.01"/>
    <n v="11000000"/>
    <n v="0"/>
    <n v="0.77"/>
    <n v="1155"/>
    <n v="8.0208333333333336E-4"/>
    <d v="2021-11-14T00:00:00"/>
    <e v="#REF!"/>
    <d v="2021-12-23T00:00:00"/>
    <m/>
  </r>
  <r>
    <x v="2"/>
    <s v="DUIT"/>
    <x v="53"/>
    <x v="53"/>
    <s v="MARQUILLAS"/>
    <n v="1000"/>
    <x v="13"/>
    <x v="1"/>
    <s v="NUTRESA"/>
    <x v="0"/>
    <d v="2021-11-10T00:00:00"/>
    <s v="PENDIENTE"/>
    <m/>
    <m/>
    <x v="0"/>
    <x v="0"/>
    <s v="DUITCRD023585AUTOSERVICIONUTRESA"/>
    <x v="0"/>
    <m/>
    <n v="0"/>
    <n v="0"/>
    <n v="0"/>
    <m/>
    <n v="0.01"/>
    <n v="11000000"/>
    <n v="0"/>
    <n v="0.77"/>
    <n v="770"/>
    <n v="5.3472222222222224E-4"/>
    <d v="2021-11-14T00:00:00"/>
    <e v="#REF!"/>
    <d v="2021-12-23T00:00:00"/>
    <m/>
  </r>
  <r>
    <x v="7"/>
    <s v="VILA"/>
    <x v="53"/>
    <x v="53"/>
    <s v="MARQUILLAS"/>
    <n v="1000"/>
    <x v="13"/>
    <x v="1"/>
    <s v="NUTRESA"/>
    <x v="0"/>
    <d v="2021-11-10T00:00:00"/>
    <s v="PENDIENTE"/>
    <m/>
    <m/>
    <x v="0"/>
    <x v="0"/>
    <s v="VILACRD023585AUTOSERVICIONUTRESA"/>
    <x v="0"/>
    <m/>
    <n v="0"/>
    <n v="0"/>
    <n v="0"/>
    <m/>
    <n v="0.01"/>
    <n v="11000000"/>
    <n v="0"/>
    <n v="0.77"/>
    <n v="770"/>
    <n v="5.3472222222222224E-4"/>
    <d v="2021-11-14T00:00:00"/>
    <e v="#REF!"/>
    <d v="2021-12-23T00:00:00"/>
    <m/>
  </r>
  <r>
    <x v="9"/>
    <s v="BUCA"/>
    <x v="53"/>
    <x v="53"/>
    <s v="MARQUILLAS"/>
    <n v="13000"/>
    <x v="13"/>
    <x v="1"/>
    <s v="NUTRESA"/>
    <x v="0"/>
    <d v="2021-11-10T00:00:00"/>
    <s v="PENDIENTE"/>
    <m/>
    <m/>
    <x v="0"/>
    <x v="0"/>
    <s v="BUCACRD023585AUTOSERVICIONUTRESA"/>
    <x v="0"/>
    <m/>
    <n v="0"/>
    <n v="0"/>
    <n v="0"/>
    <m/>
    <n v="0.01"/>
    <n v="11000000"/>
    <n v="0"/>
    <n v="0.77"/>
    <n v="10010"/>
    <n v="6.9513888888888889E-3"/>
    <d v="2021-11-14T00:00:00"/>
    <e v="#REF!"/>
    <d v="2021-12-23T00:00:00"/>
    <m/>
  </r>
  <r>
    <x v="3"/>
    <s v="CALI"/>
    <x v="53"/>
    <x v="53"/>
    <s v="MARQUILLAS"/>
    <n v="3000"/>
    <x v="13"/>
    <x v="1"/>
    <s v="NUTRESA"/>
    <x v="0"/>
    <d v="2021-11-10T00:00:00"/>
    <s v="PENDIENTE"/>
    <m/>
    <m/>
    <x v="0"/>
    <x v="0"/>
    <s v="CALICRD023585AUTOSERVICIONUTRESA"/>
    <x v="0"/>
    <m/>
    <n v="0"/>
    <n v="0"/>
    <n v="0"/>
    <m/>
    <n v="0.01"/>
    <n v="11000000"/>
    <n v="0"/>
    <n v="0.77"/>
    <n v="2310"/>
    <n v="1.6041666666666667E-3"/>
    <d v="2021-11-14T00:00:00"/>
    <e v="#REF!"/>
    <d v="2021-12-23T00:00:00"/>
    <m/>
  </r>
  <r>
    <x v="10"/>
    <s v="IBA1"/>
    <x v="53"/>
    <x v="53"/>
    <s v="MARQUILLAS"/>
    <n v="7000"/>
    <x v="13"/>
    <x v="1"/>
    <s v="NUTRESA"/>
    <x v="0"/>
    <d v="2021-11-10T00:00:00"/>
    <s v="PENDIENTE"/>
    <m/>
    <m/>
    <x v="0"/>
    <x v="0"/>
    <s v="IBA1CRD023585AUTOSERVICIONUTRESA"/>
    <x v="0"/>
    <m/>
    <n v="0"/>
    <n v="0"/>
    <n v="0"/>
    <m/>
    <n v="0.01"/>
    <n v="11000000"/>
    <n v="0"/>
    <n v="0.77"/>
    <n v="5390"/>
    <n v="3.7430555555555555E-3"/>
    <d v="2021-11-14T00:00:00"/>
    <e v="#REF!"/>
    <d v="2021-12-23T00:00:00"/>
    <m/>
  </r>
  <r>
    <x v="5"/>
    <s v="MEDE"/>
    <x v="53"/>
    <x v="53"/>
    <s v="MARQUILLAS"/>
    <n v="15000"/>
    <x v="13"/>
    <x v="1"/>
    <s v="NUTRESA"/>
    <x v="0"/>
    <d v="2021-11-10T00:00:00"/>
    <s v="PENDIENTE"/>
    <m/>
    <m/>
    <x v="0"/>
    <x v="0"/>
    <s v="MEDECRD023585AUTOSERVICIONUTRESA"/>
    <x v="0"/>
    <m/>
    <n v="0"/>
    <n v="0"/>
    <n v="0"/>
    <m/>
    <n v="0.01"/>
    <n v="11000000"/>
    <n v="0"/>
    <n v="0.77"/>
    <n v="11550"/>
    <n v="8.0208333333333329E-3"/>
    <d v="2021-11-14T00:00:00"/>
    <e v="#REF!"/>
    <d v="2021-12-23T00:00:00"/>
    <m/>
  </r>
  <r>
    <x v="6"/>
    <s v="PERE"/>
    <x v="53"/>
    <x v="53"/>
    <s v="MARQUILLAS"/>
    <n v="14000"/>
    <x v="13"/>
    <x v="1"/>
    <s v="NUTRESA"/>
    <x v="0"/>
    <d v="2021-11-10T00:00:00"/>
    <s v="PENDIENTE"/>
    <m/>
    <m/>
    <x v="0"/>
    <x v="4"/>
    <s v="PERECRD023585AUTOSERVICIONUTRESA"/>
    <x v="36"/>
    <n v="14000"/>
    <n v="1"/>
    <n v="0"/>
    <n v="0"/>
    <m/>
    <n v="0.01"/>
    <n v="11000000"/>
    <n v="0"/>
    <n v="0.77"/>
    <n v="10780"/>
    <n v="7.4861111111111109E-3"/>
    <d v="2021-11-14T00:00:00"/>
    <e v="#REF!"/>
    <d v="2021-12-23T00:00:00"/>
    <m/>
  </r>
  <r>
    <x v="1"/>
    <s v="BGTA"/>
    <x v="54"/>
    <x v="54"/>
    <s v="MARQUILLAS"/>
    <n v="15000"/>
    <x v="13"/>
    <x v="1"/>
    <s v="NUTRESA"/>
    <x v="0"/>
    <d v="2021-11-10T00:00:00"/>
    <s v="PENDIENTE"/>
    <m/>
    <m/>
    <x v="0"/>
    <x v="4"/>
    <s v="BGTACRD023584AUTOSERVICIONUTRESA"/>
    <x v="37"/>
    <n v="15000"/>
    <n v="1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8"/>
    <s v="BGTA"/>
    <x v="54"/>
    <x v="54"/>
    <s v="MARQUILLAS"/>
    <n v="15000"/>
    <x v="13"/>
    <x v="1"/>
    <s v="ALTILLANO"/>
    <x v="0"/>
    <d v="2021-11-10T00:00:00"/>
    <s v="PENDIENTE"/>
    <m/>
    <m/>
    <x v="0"/>
    <x v="4"/>
    <s v="BGTACRD023584AUTOSERVICIOALTILLANO"/>
    <x v="37"/>
    <n v="16500"/>
    <n v="1"/>
    <n v="-1500"/>
    <n v="-0.1"/>
    <m/>
    <n v="0.5"/>
    <n v="4000000"/>
    <n v="0"/>
    <n v="14"/>
    <n v="210000"/>
    <n v="0.14583333333333334"/>
    <d v="2021-11-14T00:00:00"/>
    <e v="#REF!"/>
    <d v="2021-12-23T00:00:00"/>
    <m/>
  </r>
  <r>
    <x v="2"/>
    <s v="DUIT"/>
    <x v="54"/>
    <x v="54"/>
    <s v="MARQUILLAS"/>
    <n v="10000"/>
    <x v="13"/>
    <x v="1"/>
    <s v="NUTRESA"/>
    <x v="0"/>
    <d v="2021-11-10T00:00:00"/>
    <s v="PENDIENTE"/>
    <m/>
    <m/>
    <x v="0"/>
    <x v="0"/>
    <s v="DUIT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7"/>
    <s v="VILA"/>
    <x v="54"/>
    <x v="54"/>
    <s v="MARQUILLAS"/>
    <n v="10000"/>
    <x v="13"/>
    <x v="1"/>
    <s v="NUTRESA"/>
    <x v="0"/>
    <d v="2021-11-10T00:00:00"/>
    <s v="PENDIENTE"/>
    <m/>
    <m/>
    <x v="0"/>
    <x v="0"/>
    <s v="VILA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9"/>
    <s v="BUCA"/>
    <x v="54"/>
    <x v="54"/>
    <s v="MARQUILLAS"/>
    <n v="28000"/>
    <x v="13"/>
    <x v="1"/>
    <s v="NUTRESA"/>
    <x v="0"/>
    <d v="2021-11-10T00:00:00"/>
    <s v="PENDIENTE"/>
    <m/>
    <m/>
    <x v="0"/>
    <x v="0"/>
    <s v="BUCACRD023584AUTOSERVICIONUTRESA"/>
    <x v="0"/>
    <m/>
    <n v="0"/>
    <n v="0"/>
    <n v="0"/>
    <m/>
    <n v="0.5"/>
    <n v="4000000"/>
    <n v="0"/>
    <n v="14"/>
    <n v="392000"/>
    <n v="0.2722222222222222"/>
    <d v="2021-11-14T00:00:00"/>
    <e v="#REF!"/>
    <d v="2021-12-23T00:00:00"/>
    <m/>
  </r>
  <r>
    <x v="3"/>
    <s v="CALI"/>
    <x v="54"/>
    <x v="54"/>
    <s v="MARQUILLAS"/>
    <n v="10000"/>
    <x v="13"/>
    <x v="1"/>
    <s v="NUTRESA"/>
    <x v="0"/>
    <d v="2021-11-10T00:00:00"/>
    <s v="PENDIENTE"/>
    <m/>
    <m/>
    <x v="0"/>
    <x v="0"/>
    <s v="CALI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10"/>
    <s v="IBA1"/>
    <x v="54"/>
    <x v="54"/>
    <s v="MARQUILLAS"/>
    <n v="7000"/>
    <x v="13"/>
    <x v="1"/>
    <s v="NUTRESA"/>
    <x v="0"/>
    <d v="2021-11-10T00:00:00"/>
    <s v="PENDIENTE"/>
    <m/>
    <m/>
    <x v="0"/>
    <x v="0"/>
    <s v="IBA1CRD023584AUTOSERVICIONUTRESA"/>
    <x v="0"/>
    <m/>
    <n v="0"/>
    <n v="0"/>
    <n v="0"/>
    <m/>
    <n v="0.5"/>
    <n v="4000000"/>
    <n v="0"/>
    <n v="14"/>
    <n v="98000"/>
    <n v="6.805555555555555E-2"/>
    <d v="2021-11-14T00:00:00"/>
    <e v="#REF!"/>
    <d v="2021-12-23T00:00:00"/>
    <m/>
  </r>
  <r>
    <x v="5"/>
    <s v="MEDE"/>
    <x v="54"/>
    <x v="54"/>
    <s v="MARQUILLAS"/>
    <n v="15000"/>
    <x v="13"/>
    <x v="1"/>
    <s v="NUTRESA"/>
    <x v="0"/>
    <d v="2021-11-10T00:00:00"/>
    <s v="PENDIENTE"/>
    <m/>
    <m/>
    <x v="0"/>
    <x v="0"/>
    <s v="MEDECRD023584AUTOSERVICIONUTRESA"/>
    <x v="0"/>
    <m/>
    <n v="0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6"/>
    <s v="PERE"/>
    <x v="54"/>
    <x v="54"/>
    <s v="MARQUILLAS"/>
    <n v="15000"/>
    <x v="13"/>
    <x v="1"/>
    <s v="NUTRESA"/>
    <x v="0"/>
    <d v="2021-11-10T00:00:00"/>
    <s v="PENDIENTE"/>
    <m/>
    <m/>
    <x v="0"/>
    <x v="4"/>
    <s v="PERECRD023584AUTOSERVICIONUTRESA"/>
    <x v="37"/>
    <n v="15000"/>
    <n v="1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1"/>
    <s v="BGTA"/>
    <x v="55"/>
    <x v="55"/>
    <s v="INBIMA"/>
    <n v="2"/>
    <x v="14"/>
    <x v="0"/>
    <s v="NUTRESA"/>
    <x v="1"/>
    <d v="2021-11-18T00:00:00"/>
    <d v="2021-11-15T00:00:00"/>
    <m/>
    <m/>
    <x v="0"/>
    <x v="0"/>
    <s v="BGTAACT000334CADENASNUTRESA"/>
    <x v="0"/>
    <m/>
    <n v="0"/>
    <n v="0"/>
    <n v="0"/>
    <m/>
    <n v="30000000"/>
    <n v="40000000"/>
    <n v="0"/>
    <n v="180000"/>
    <n v="360000"/>
    <n v="0.25"/>
    <d v="2021-11-22T00:00:00"/>
    <e v="#REF!"/>
    <d v="2021-12-23T00:00:00"/>
    <m/>
  </r>
  <r>
    <x v="1"/>
    <s v="BGTA"/>
    <x v="56"/>
    <x v="56"/>
    <s v="POP"/>
    <n v="5"/>
    <x v="15"/>
    <x v="0"/>
    <s v="NUTRESA"/>
    <x v="0"/>
    <d v="2021-11-12T00:00:00"/>
    <d v="2021-11-16T00:00:00"/>
    <m/>
    <m/>
    <x v="0"/>
    <x v="0"/>
    <s v="BGTACRD024951CADENASNUTRESA"/>
    <x v="0"/>
    <m/>
    <n v="0"/>
    <n v="0"/>
    <n v="0"/>
    <m/>
    <n v="1000000"/>
    <n v="40000000"/>
    <n v="0"/>
    <n v="6800"/>
    <n v="34000"/>
    <n v="2.361111111111111E-2"/>
    <d v="2021-11-16T00:00:00"/>
    <e v="#REF!"/>
    <d v="2021-12-23T00:00:00"/>
    <m/>
  </r>
  <r>
    <x v="9"/>
    <s v="BUCA"/>
    <x v="56"/>
    <x v="56"/>
    <s v="POP"/>
    <n v="2"/>
    <x v="15"/>
    <x v="0"/>
    <s v="NUTRESA"/>
    <x v="0"/>
    <d v="2021-11-12T00:00:00"/>
    <d v="2021-11-16T00:00:00"/>
    <m/>
    <m/>
    <x v="0"/>
    <x v="0"/>
    <s v="BUCACRD024951CADENASNUTRESA"/>
    <x v="0"/>
    <m/>
    <n v="0"/>
    <n v="0"/>
    <n v="0"/>
    <m/>
    <n v="1000000"/>
    <n v="40000000"/>
    <n v="0"/>
    <n v="6800"/>
    <n v="13600"/>
    <n v="9.4444444444444445E-3"/>
    <d v="2021-11-16T00:00:00"/>
    <e v="#REF!"/>
    <d v="2021-12-23T00:00:00"/>
    <m/>
  </r>
  <r>
    <x v="5"/>
    <s v="MEDE"/>
    <x v="56"/>
    <x v="56"/>
    <s v="POP"/>
    <n v="1"/>
    <x v="15"/>
    <x v="0"/>
    <s v="NUTRESA"/>
    <x v="0"/>
    <d v="2021-11-12T00:00:00"/>
    <d v="2021-11-16T00:00:00"/>
    <m/>
    <m/>
    <x v="0"/>
    <x v="0"/>
    <s v="MEDECRD024951CADENASNUTRESA"/>
    <x v="0"/>
    <m/>
    <n v="0"/>
    <n v="0"/>
    <n v="0"/>
    <m/>
    <n v="1000000"/>
    <n v="40000000"/>
    <n v="0"/>
    <n v="6800"/>
    <n v="6800"/>
    <n v="4.7222222222222223E-3"/>
    <d v="2021-11-16T00:00:00"/>
    <e v="#REF!"/>
    <d v="2021-12-23T00:00:00"/>
    <m/>
  </r>
  <r>
    <x v="0"/>
    <s v="BARR"/>
    <x v="57"/>
    <x v="57"/>
    <s v="PAPELCARD"/>
    <n v="64"/>
    <x v="16"/>
    <x v="0"/>
    <s v="NUTRESA"/>
    <x v="1"/>
    <d v="2021-11-26T00:00:00"/>
    <d v="2021-11-17T00:00:00"/>
    <m/>
    <m/>
    <x v="0"/>
    <x v="0"/>
    <s v="BARRCRD024954CADENASNUTRESA"/>
    <x v="0"/>
    <m/>
    <n v="0"/>
    <n v="0"/>
    <n v="0"/>
    <m/>
    <n v="90000000"/>
    <n v="16000000"/>
    <n v="0"/>
    <n v="3200"/>
    <n v="204800"/>
    <n v="0.14222222222222222"/>
    <d v="2021-11-30T00:00:00"/>
    <e v="#REF!"/>
    <d v="2021-12-23T00:00:00"/>
    <m/>
  </r>
  <r>
    <x v="1"/>
    <s v="BGTA"/>
    <x v="57"/>
    <x v="57"/>
    <s v="PAPELCARD"/>
    <n v="30"/>
    <x v="16"/>
    <x v="0"/>
    <s v="NUTRESA"/>
    <x v="1"/>
    <d v="2021-11-26T00:00:00"/>
    <d v="2021-11-17T00:00:00"/>
    <m/>
    <m/>
    <x v="0"/>
    <x v="0"/>
    <s v="BGTACRD024954CADENASNUTRESA"/>
    <x v="0"/>
    <m/>
    <n v="0"/>
    <n v="0"/>
    <n v="0"/>
    <m/>
    <n v="90000000"/>
    <n v="16000000"/>
    <n v="0"/>
    <n v="3200"/>
    <n v="96000"/>
    <n v="6.6666666666666666E-2"/>
    <d v="2021-11-30T00:00:00"/>
    <e v="#REF!"/>
    <d v="2021-12-23T00:00:00"/>
    <m/>
  </r>
  <r>
    <x v="9"/>
    <s v="BUCA"/>
    <x v="57"/>
    <x v="57"/>
    <s v="PAPELCARD"/>
    <n v="10"/>
    <x v="16"/>
    <x v="0"/>
    <s v="NUTRESA"/>
    <x v="1"/>
    <d v="2021-11-26T00:00:00"/>
    <d v="2021-11-17T00:00:00"/>
    <m/>
    <m/>
    <x v="0"/>
    <x v="0"/>
    <s v="BUCACRD024954CADENASNUTRESA"/>
    <x v="0"/>
    <m/>
    <n v="0"/>
    <n v="0"/>
    <n v="0"/>
    <m/>
    <n v="90000000"/>
    <n v="16000000"/>
    <n v="0"/>
    <n v="3200"/>
    <n v="32000"/>
    <n v="2.2222222222222223E-2"/>
    <d v="2021-11-30T00:00:00"/>
    <e v="#REF!"/>
    <d v="2021-12-23T00:00:00"/>
    <m/>
  </r>
  <r>
    <x v="3"/>
    <s v="CALI"/>
    <x v="57"/>
    <x v="57"/>
    <s v="PAPELCARD"/>
    <n v="6"/>
    <x v="16"/>
    <x v="0"/>
    <s v="NUTRESA"/>
    <x v="1"/>
    <d v="2021-11-26T00:00:00"/>
    <d v="2021-11-17T00:00:00"/>
    <m/>
    <m/>
    <x v="0"/>
    <x v="0"/>
    <s v="CALICRD024954CADENASNUTRESA"/>
    <x v="0"/>
    <m/>
    <n v="0"/>
    <n v="0"/>
    <n v="0"/>
    <m/>
    <n v="90000000"/>
    <n v="16000000"/>
    <n v="0"/>
    <n v="3200"/>
    <n v="19200"/>
    <n v="1.3333333333333334E-2"/>
    <d v="2021-11-30T00:00:00"/>
    <e v="#REF!"/>
    <d v="2021-12-23T00:00:00"/>
    <m/>
  </r>
  <r>
    <x v="10"/>
    <s v="IBA1"/>
    <x v="57"/>
    <x v="57"/>
    <s v="PAPELCARD"/>
    <n v="8"/>
    <x v="16"/>
    <x v="0"/>
    <s v="NUTRESA"/>
    <x v="1"/>
    <d v="2021-11-26T00:00:00"/>
    <d v="2021-11-17T00:00:00"/>
    <m/>
    <m/>
    <x v="0"/>
    <x v="0"/>
    <s v="IBA1CRD024954CADENASNUTRESA"/>
    <x v="0"/>
    <m/>
    <n v="0"/>
    <n v="0"/>
    <n v="0"/>
    <m/>
    <n v="90000000"/>
    <n v="16000000"/>
    <n v="0"/>
    <n v="3200"/>
    <n v="25600"/>
    <n v="1.7777777777777778E-2"/>
    <d v="2021-11-30T00:00:00"/>
    <e v="#REF!"/>
    <d v="2021-12-23T00:00:00"/>
    <m/>
  </r>
  <r>
    <x v="5"/>
    <s v="MEDE"/>
    <x v="57"/>
    <x v="57"/>
    <s v="PAPELCARD"/>
    <n v="10"/>
    <x v="16"/>
    <x v="0"/>
    <s v="NUTRESA"/>
    <x v="1"/>
    <d v="2021-11-26T00:00:00"/>
    <d v="2021-11-17T00:00:00"/>
    <m/>
    <m/>
    <x v="0"/>
    <x v="0"/>
    <s v="MEDECRD024954CADENASNUTRESA"/>
    <x v="0"/>
    <m/>
    <n v="0"/>
    <n v="0"/>
    <n v="0"/>
    <m/>
    <n v="90000000"/>
    <n v="16000000"/>
    <n v="0"/>
    <n v="3200"/>
    <n v="32000"/>
    <n v="2.2222222222222223E-2"/>
    <d v="2021-11-30T00:00:00"/>
    <e v="#REF!"/>
    <d v="2021-12-23T00:00:00"/>
    <m/>
  </r>
  <r>
    <x v="1"/>
    <s v="BGTA"/>
    <x v="58"/>
    <x v="58"/>
    <s v="INNERCIA"/>
    <n v="8"/>
    <x v="17"/>
    <x v="0"/>
    <s v="NUTRESA"/>
    <x v="1"/>
    <d v="2021-10-22T00:00:00"/>
    <d v="2021-11-01T00:00:00"/>
    <m/>
    <m/>
    <x v="0"/>
    <x v="5"/>
    <s v="BGTACRD024590CADENASNUTRESA"/>
    <x v="4"/>
    <n v="8"/>
    <n v="1"/>
    <n v="0"/>
    <n v="0"/>
    <m/>
    <n v="116000000"/>
    <n v="39000000"/>
    <n v="0"/>
    <n v="12537.75"/>
    <n v="100302"/>
    <n v="6.965416666666667E-2"/>
    <d v="2021-10-26T00:00:00"/>
    <e v="#REF!"/>
    <d v="2021-12-23T00:00:00"/>
    <m/>
  </r>
  <r>
    <x v="4"/>
    <s v="CART"/>
    <x v="58"/>
    <x v="58"/>
    <s v="INNERCIA"/>
    <n v="1"/>
    <x v="17"/>
    <x v="0"/>
    <s v="NUTRESA"/>
    <x v="1"/>
    <d v="2021-10-22T00:00:00"/>
    <d v="2021-11-01T00:00:00"/>
    <m/>
    <m/>
    <x v="0"/>
    <x v="5"/>
    <s v="CARTCRD024590CADENASNUTRESA"/>
    <x v="13"/>
    <n v="1"/>
    <n v="1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10"/>
    <s v="IBA1"/>
    <x v="58"/>
    <x v="58"/>
    <s v="INNERCIA"/>
    <n v="1"/>
    <x v="17"/>
    <x v="0"/>
    <s v="NUTRESA"/>
    <x v="1"/>
    <d v="2021-10-22T00:00:00"/>
    <d v="2021-11-01T00:00:00"/>
    <m/>
    <m/>
    <x v="0"/>
    <x v="5"/>
    <s v="IBA1CRD024590CADENASNUTRESA"/>
    <x v="13"/>
    <n v="1"/>
    <n v="1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5"/>
    <s v="MEDE"/>
    <x v="58"/>
    <x v="58"/>
    <s v="INNERCIA"/>
    <n v="11"/>
    <x v="17"/>
    <x v="0"/>
    <s v="NUTRESA"/>
    <x v="1"/>
    <d v="2021-10-22T00:00:00"/>
    <d v="2021-11-01T00:00:00"/>
    <m/>
    <m/>
    <x v="0"/>
    <x v="5"/>
    <s v="MEDECRD024590CADENASNUTRESA"/>
    <x v="18"/>
    <n v="11"/>
    <n v="1"/>
    <n v="0"/>
    <n v="0"/>
    <m/>
    <n v="116000000"/>
    <n v="39000000"/>
    <n v="0"/>
    <n v="12537.75"/>
    <n v="137915.25"/>
    <n v="9.5774479166666662E-2"/>
    <d v="2021-10-26T00:00:00"/>
    <e v="#REF!"/>
    <d v="2021-12-23T00:00:00"/>
    <m/>
  </r>
  <r>
    <x v="6"/>
    <s v="PERE"/>
    <x v="58"/>
    <x v="58"/>
    <s v="INNERCIA"/>
    <n v="2"/>
    <x v="17"/>
    <x v="0"/>
    <s v="NUTRESA"/>
    <x v="1"/>
    <d v="2021-10-22T00:00:00"/>
    <d v="2021-11-01T00:00:00"/>
    <m/>
    <m/>
    <x v="0"/>
    <x v="5"/>
    <s v="PERECRD024590CADENASNUTRESA"/>
    <x v="7"/>
    <n v="2"/>
    <n v="1"/>
    <n v="0"/>
    <n v="0"/>
    <m/>
    <n v="116000000"/>
    <n v="39000000"/>
    <n v="0"/>
    <n v="12537.75"/>
    <n v="25075.5"/>
    <n v="1.7413541666666667E-2"/>
    <d v="2021-10-26T00:00:00"/>
    <e v="#REF!"/>
    <d v="2021-12-23T00:00:00"/>
    <m/>
  </r>
  <r>
    <x v="1"/>
    <s v="BGTA"/>
    <x v="58"/>
    <x v="58"/>
    <s v="INNERCIA"/>
    <n v="9"/>
    <x v="17"/>
    <x v="0"/>
    <s v="NUTRESA"/>
    <x v="1"/>
    <d v="2021-10-22T00:00:00"/>
    <d v="2021-11-01T00:00:00"/>
    <m/>
    <m/>
    <x v="0"/>
    <x v="0"/>
    <s v="BGTACRD024590CADENASNUTRESA"/>
    <x v="0"/>
    <m/>
    <n v="0"/>
    <n v="0"/>
    <n v="0"/>
    <m/>
    <n v="116000000"/>
    <n v="39000000"/>
    <n v="0"/>
    <n v="12537.75"/>
    <n v="112839.75"/>
    <n v="7.8360937500000005E-2"/>
    <d v="2021-10-26T00:00:00"/>
    <e v="#REF!"/>
    <d v="2021-12-23T00:00:00"/>
    <m/>
  </r>
  <r>
    <x v="9"/>
    <s v="BUCA"/>
    <x v="58"/>
    <x v="58"/>
    <s v="INNERCIA"/>
    <n v="1"/>
    <x v="17"/>
    <x v="0"/>
    <s v="NUTRESA"/>
    <x v="1"/>
    <d v="2021-10-22T00:00:00"/>
    <d v="2021-11-01T00:00:00"/>
    <m/>
    <m/>
    <x v="0"/>
    <x v="0"/>
    <s v="BUCACRD024590CADENASNUTRESA"/>
    <x v="0"/>
    <m/>
    <n v="0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3"/>
    <s v="CALI"/>
    <x v="58"/>
    <x v="58"/>
    <s v="INNERCIA"/>
    <n v="2"/>
    <x v="17"/>
    <x v="0"/>
    <s v="NUTRESA"/>
    <x v="1"/>
    <d v="2021-10-22T00:00:00"/>
    <d v="2021-11-01T00:00:00"/>
    <m/>
    <m/>
    <x v="0"/>
    <x v="0"/>
    <s v="CALICRD024590CADENASNUTRESA"/>
    <x v="0"/>
    <m/>
    <n v="0"/>
    <n v="0"/>
    <n v="0"/>
    <m/>
    <n v="116000000"/>
    <n v="39000000"/>
    <n v="0"/>
    <n v="12537.75"/>
    <n v="25075.5"/>
    <n v="1.7413541666666667E-2"/>
    <d v="2021-10-26T00:00:00"/>
    <e v="#REF!"/>
    <d v="2021-12-23T00:00:00"/>
    <m/>
  </r>
  <r>
    <x v="5"/>
    <s v="MEDE"/>
    <x v="58"/>
    <x v="58"/>
    <s v="INNERCIA"/>
    <n v="3"/>
    <x v="17"/>
    <x v="0"/>
    <s v="NUTRESA"/>
    <x v="1"/>
    <d v="2021-10-22T00:00:00"/>
    <d v="2021-11-01T00:00:00"/>
    <m/>
    <m/>
    <x v="0"/>
    <x v="0"/>
    <s v="MEDECRD024590CADENASNUTRESA"/>
    <x v="0"/>
    <m/>
    <n v="0"/>
    <n v="0"/>
    <n v="0"/>
    <m/>
    <n v="116000000"/>
    <n v="39000000"/>
    <n v="0"/>
    <n v="12537.75"/>
    <n v="37613.25"/>
    <n v="2.6120312499999999E-2"/>
    <d v="2021-10-26T00:00:00"/>
    <e v="#REF!"/>
    <d v="2021-12-23T00:00:00"/>
    <m/>
  </r>
  <r>
    <x v="3"/>
    <s v="CALI"/>
    <x v="59"/>
    <x v="59"/>
    <s v="INBIMA"/>
    <n v="6"/>
    <x v="18"/>
    <x v="0"/>
    <s v="NUTRESA"/>
    <x v="0"/>
    <d v="2021-11-16T00:00:00"/>
    <d v="2021-11-01T00:00:00"/>
    <m/>
    <m/>
    <x v="0"/>
    <x v="0"/>
    <s v="CALICRD024906CADENASNUTRESA"/>
    <x v="0"/>
    <m/>
    <n v="0"/>
    <n v="0"/>
    <n v="0"/>
    <m/>
    <n v="0.1"/>
    <n v="40500000"/>
    <n v="0"/>
    <n v="37500"/>
    <n v="225000"/>
    <n v="0.15625"/>
    <d v="2021-11-20T00:00:00"/>
    <e v="#REF!"/>
    <d v="2021-12-23T00:00:00"/>
    <m/>
  </r>
  <r>
    <x v="11"/>
    <m/>
    <x v="60"/>
    <x v="60"/>
    <m/>
    <m/>
    <x v="19"/>
    <x v="3"/>
    <m/>
    <x v="2"/>
    <m/>
    <m/>
    <m/>
    <m/>
    <x v="0"/>
    <x v="0"/>
    <m/>
    <x v="0"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9"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9"/>
    <d v="2021-11-17T00:00:00"/>
    <d v="2021-11-02T00:00:00"/>
    <s v="MATERIAL POP"/>
    <n v="25"/>
    <n v="25"/>
    <n v="1"/>
    <n v="2.0833000000000004E-2"/>
    <n v="10"/>
    <n v="-1"/>
    <x v="2"/>
    <x v="4"/>
    <s v="AUTOSERVICIO"/>
    <s v="C"/>
    <n v="11"/>
    <x v="0"/>
    <s v="NO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">
  <r>
    <x v="0"/>
    <s v="BARR"/>
    <s v="CEDIS BARRANQUILL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0-01T00:00:00"/>
    <m/>
    <d v="2020-02-10T17:08:17"/>
    <s v="COMERCIAL NUTRESA S A S"/>
    <s v="MERCADEO"/>
    <s v="GALLETAS"/>
    <s v="GENERICO"/>
    <s v="N"/>
    <d v="2015-06-26T00:00:0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514">
  <r>
    <x v="0"/>
    <s v="BARR"/>
    <n v="32885"/>
    <s v="NUTRESA"/>
    <s v="NUTRESA - COMERCIAL NUTRESA SAS"/>
    <d v="2021-11-27T00:00:00"/>
    <s v="COMPLETADO"/>
    <s v="RECEPCIO"/>
    <n v="1"/>
    <s v="OTROS"/>
    <s v="OGUZMAN"/>
    <s v="2021-11-27 10:36:56.801008"/>
    <n v="0"/>
    <n v="134536126"/>
    <s v="SE RECIBE MATERIAL DE PROVEEDOR PAPEL CARD CON REMISION 2021-1639, S/N"/>
    <s v="MP"/>
    <x v="0"/>
    <s v="CRD024947"/>
    <s v="CHISPA NAVIDAD CARULLA EN FAMILIA"/>
    <s v="UND"/>
    <m/>
    <n v="150000000"/>
    <n v="150000000"/>
    <s v="0.000000"/>
    <n v="0"/>
    <n v="0"/>
    <x v="0"/>
    <s v="NUTRESA"/>
    <s v="BUEN"/>
    <m/>
    <m/>
    <m/>
    <m/>
    <s v="OGUZMAN"/>
    <s v="2021-11-27 08:48:41.689326"/>
  </r>
  <r>
    <x v="1"/>
    <s v="BARR"/>
    <n v="32913"/>
    <s v="NUTRESA"/>
    <s v="NUTRESA - COMERCIAL NUTRESA SAS"/>
    <d v="2021-11-30T00:00:00"/>
    <s v="COMPLETADO"/>
    <s v="RECEPCIO"/>
    <n v="1"/>
    <s v="DEVOLUC"/>
    <s v="OGUZMAN"/>
    <s v="2021-12-01 09:48:42.608709"/>
    <n v="0"/>
    <n v="0"/>
    <s v="DEVOLUCIÃ“N ATENTO COMERCIALIZADORA SA, RECOGIDA 3874, MUEBLE EN MAL ESTADO, PARA BAJA, INGRESO FUERA DE TIEMPO POR MODIFICACIONES WMS DE SISTEMA DE RECOGIDAS"/>
    <s v="ME"/>
    <x v="1"/>
    <s v="ACT000300"/>
    <s v="MUEBLE SNACKERO DE PISO"/>
    <s v="UND"/>
    <m/>
    <n v="1000000"/>
    <n v="1000000"/>
    <s v="0.000000"/>
    <n v="144620"/>
    <n v="0"/>
    <x v="1"/>
    <s v="NUTRESA"/>
    <s v="BAJA"/>
    <m/>
    <m/>
    <m/>
    <m/>
    <s v="OGUZMAN"/>
    <s v="2021-11-30 09:37:31.901578"/>
  </r>
  <r>
    <x v="2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2"/>
    <s v="CRD024843"/>
    <s v="POSTAL COLCAFE CLASICO"/>
    <s v="UND"/>
    <m/>
    <n v="1500000000"/>
    <n v="1500000000"/>
    <s v="0.000000"/>
    <n v="0"/>
    <n v="0"/>
    <x v="0"/>
    <s v="BPO"/>
    <s v="BUEN"/>
    <m/>
    <m/>
    <m/>
    <m/>
    <s v="OGUZMAN"/>
    <s v="2021-12-01 13:22:19.492605"/>
  </r>
  <r>
    <x v="3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3"/>
    <s v="CRD024845"/>
    <s v="POSTAL COLCAFE GRANULADO"/>
    <s v="UND"/>
    <m/>
    <n v="1500000000"/>
    <n v="1500000000"/>
    <s v="0.000000"/>
    <n v="0"/>
    <n v="0"/>
    <x v="0"/>
    <s v="BPO"/>
    <s v="BUEN"/>
    <m/>
    <m/>
    <m/>
    <m/>
    <s v="OGUZMAN"/>
    <s v="2021-12-01 13:22:34.27143"/>
  </r>
  <r>
    <x v="4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3"/>
    <s v="CRD024845"/>
    <s v="POSTAL COLCAFE GRANULADO"/>
    <s v="UND"/>
    <m/>
    <n v="500000000"/>
    <n v="500000000"/>
    <s v="0.000000"/>
    <n v="0"/>
    <n v="0"/>
    <x v="2"/>
    <s v="BPO"/>
    <s v="BUEN"/>
    <m/>
    <m/>
    <m/>
    <m/>
    <s v="OGUZMAN"/>
    <s v="2021-12-01 13:22:32.704793"/>
  </r>
  <r>
    <x v="5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4"/>
    <s v="CRD024844"/>
    <s v="POSTAL COLCAFE VAINILLA"/>
    <s v="UND"/>
    <m/>
    <n v="1500000000"/>
    <n v="1500000000"/>
    <s v="0.000000"/>
    <n v="0"/>
    <n v="0"/>
    <x v="0"/>
    <s v="BPO"/>
    <s v="BUEN"/>
    <m/>
    <m/>
    <m/>
    <m/>
    <s v="OGUZMAN"/>
    <s v="2021-12-01 13:22:25.993803"/>
  </r>
  <r>
    <x v="6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4"/>
    <s v="CRD024844"/>
    <s v="POSTAL COLCAFE VAINILLA"/>
    <s v="UND"/>
    <m/>
    <n v="500000000"/>
    <n v="500000000"/>
    <s v="0.000000"/>
    <n v="0"/>
    <n v="0"/>
    <x v="2"/>
    <s v="BPO"/>
    <s v="BUEN"/>
    <m/>
    <m/>
    <m/>
    <m/>
    <s v="OGUZMAN"/>
    <s v="2021-12-01 13:22:27.472502"/>
  </r>
  <r>
    <x v="7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5"/>
    <s v="CRD024842"/>
    <s v="POSTAL COLCAFE DESCAFEINADO"/>
    <s v="UND"/>
    <m/>
    <n v="500000000"/>
    <n v="500000000"/>
    <s v="0.000000"/>
    <n v="0"/>
    <n v="0"/>
    <x v="2"/>
    <s v="BPO"/>
    <s v="BUEN"/>
    <m/>
    <m/>
    <m/>
    <m/>
    <s v="OGUZMAN"/>
    <s v="2021-12-01 13:22:14.430259"/>
  </r>
  <r>
    <x v="8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2"/>
    <s v="CRD024843"/>
    <s v="POSTAL COLCAFE CLASICO"/>
    <s v="UND"/>
    <m/>
    <n v="500000000"/>
    <n v="500000000"/>
    <s v="0.000000"/>
    <n v="0"/>
    <n v="0"/>
    <x v="2"/>
    <s v="BPO"/>
    <s v="BUEN"/>
    <m/>
    <m/>
    <m/>
    <m/>
    <s v="OGUZMAN"/>
    <s v="2021-12-01 13:22:21.138958"/>
  </r>
  <r>
    <x v="9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5"/>
    <s v="CRD024842"/>
    <s v="POSTAL COLCAFE DESCAFEINADO"/>
    <s v="UND"/>
    <m/>
    <n v="1500000000"/>
    <n v="1500000000"/>
    <s v="0.000000"/>
    <n v="0"/>
    <n v="0"/>
    <x v="0"/>
    <s v="BPO"/>
    <s v="BUEN"/>
    <m/>
    <m/>
    <m/>
    <m/>
    <s v="OGUZMAN"/>
    <s v="2021-12-01 13:22:12.903009"/>
  </r>
  <r>
    <x v="10"/>
    <s v="BARR"/>
    <n v="32955"/>
    <s v="NUTRESA"/>
    <s v="NUTRESA - COMERCIAL NUTRESA SAS"/>
    <d v="2021-12-02T00:00:00"/>
    <s v="COMPLETADO"/>
    <s v="RECEPCIO"/>
    <n v="1"/>
    <s v="DEVOLUC"/>
    <s v="OGUZMAN"/>
    <s v="2021-12-02 09:36:27.603979"/>
    <n v="0"/>
    <n v="0"/>
    <s v="DEVOLUCION DE AUTOSERVICIO LA 82, RECOGIDA 3866, S/N"/>
    <s v="MP"/>
    <x v="6"/>
    <s v="CRD024124"/>
    <s v="COLOMBINA MASIVA 80 CMS ROLLO 5 MTS NAVIDAD NOEL 2021"/>
    <s v="UND"/>
    <m/>
    <n v="1000000"/>
    <n v="1000000"/>
    <s v="0.000000"/>
    <n v="0"/>
    <n v="0"/>
    <x v="0"/>
    <s v="NUTRESA"/>
    <s v="BUEN"/>
    <m/>
    <m/>
    <m/>
    <m/>
    <s v="OGUZMAN"/>
    <s v="2021-12-02 08:30:51.083786"/>
  </r>
  <r>
    <x v="11"/>
    <s v="BARR"/>
    <n v="32959"/>
    <s v="NUTRESA"/>
    <s v="NUTRESA - COMERCIAL NUTRESA SAS"/>
    <d v="2021-12-02T00:00:00"/>
    <s v="COMPLETADO"/>
    <s v="RECEPCIO"/>
    <n v="1"/>
    <s v="OTROS"/>
    <s v="OGUZMAN"/>
    <s v="2021-12-05 21:21:39.568164"/>
    <n v="0"/>
    <n v="999070186250"/>
    <s v="SE RECIBE MATERIAL DE PROVEEDOR PLASTIPACK SA CON REMISION RM 83113, S/N"/>
    <s v="M"/>
    <x v="7"/>
    <s v="CRD024849"/>
    <s v="BOLSA TROQUELADA PIGMENTADA IMPRESA - BOLSA NAVIDAD"/>
    <s v="UND"/>
    <m/>
    <n v="3000000000"/>
    <n v="3000000000"/>
    <s v="0.000000"/>
    <n v="0"/>
    <n v="0"/>
    <x v="2"/>
    <s v="NUTRESA"/>
    <s v="BUEN"/>
    <m/>
    <m/>
    <m/>
    <m/>
    <s v="OGUZMAN"/>
    <s v="2021-12-02 10:54:24.465432"/>
  </r>
  <r>
    <x v="12"/>
    <s v="BARR"/>
    <n v="32990"/>
    <s v="NUTRESA"/>
    <s v="NUTRESA - COMERCIAL NUTRESA SAS"/>
    <d v="2021-12-06T00:00:00"/>
    <s v="COMPLETADO"/>
    <s v="RECEPCIO"/>
    <n v="1"/>
    <s v="OTROS"/>
    <s v="OGUZMAN"/>
    <s v="2021-12-06 22:08:49.836323"/>
    <n v="0"/>
    <n v="60010417"/>
    <s v="SE RECIBE MATERIAL DE PROVEEDOR SOUVENIR MARKETING PROMOCIONAL SAS CON REMISION 30651, INGRESO FUERA DE TIEMPO POR ESPERA EN CARGUE DE AVISO DE LLEGADA"/>
    <s v="MP"/>
    <x v="8"/>
    <s v="CRD025003"/>
    <s v="BOLSA CEN"/>
    <s v="UND"/>
    <m/>
    <n v="80000000"/>
    <n v="80000000"/>
    <s v="0.000000"/>
    <n v="0"/>
    <n v="0"/>
    <x v="0"/>
    <s v="BPO"/>
    <s v="BUEN"/>
    <m/>
    <m/>
    <m/>
    <m/>
    <s v="OGUZMAN"/>
    <s v="2021-12-06 14:38:48.19462"/>
  </r>
  <r>
    <x v="13"/>
    <s v="BARR"/>
    <n v="32998"/>
    <s v="NUTRESA"/>
    <s v="NUTRESA - COMERCIAL NUTRESA SAS"/>
    <d v="2021-12-06T00:00:00"/>
    <s v="COMPLETADO"/>
    <s v="RECEPCIO"/>
    <n v="1"/>
    <s v="OTROS"/>
    <s v="OGUZMAN"/>
    <s v="2021-12-07 10:44:32.617295"/>
    <n v="0"/>
    <n v="3152635171"/>
    <s v="SE RECIBE MATERIAL DE PROVEEDOR C I TIPISCA LTDA CON REMISION 1866, REPOSICION DE FALTANTES, SOBRAN 2 UND SEGUN AVISO DE LLEGADA YA QUE SOLO QUEDABAN PENDIENTES 10 UND"/>
    <s v="MP"/>
    <x v="9"/>
    <s v="CRD024648"/>
    <s v="SET VASOS PARA JUGO X 4. LOGO UNA TINTA UNA PIEZA"/>
    <s v="PAQ"/>
    <m/>
    <n v="12000000"/>
    <n v="12000000"/>
    <s v="0.000000"/>
    <n v="0"/>
    <n v="0"/>
    <x v="1"/>
    <s v="NUTRESA"/>
    <s v="BUEN"/>
    <m/>
    <m/>
    <m/>
    <m/>
    <s v="OGUZMAN"/>
    <s v="2021-12-06 16:18:31.286557"/>
  </r>
  <r>
    <x v="14"/>
    <s v="BARR"/>
    <n v="33000"/>
    <s v="NUTRESA"/>
    <s v="NUTRESA - COMERCIAL NUTRESA SAS"/>
    <d v="2021-12-07T00:00:00"/>
    <s v="COMPLETADO"/>
    <s v="RECEPCIO"/>
    <n v="1"/>
    <s v="DEVOLUC"/>
    <s v="OGUZMAN"/>
    <s v="2021-12-07 10:45:27.504728"/>
    <n v="0"/>
    <n v="0"/>
    <s v="DEVOLUCION DE SUPERMERCADO ROXIMAR. RECOGIDA 3865, MUEBLE SE RECOGE EMPACADO, SIN VERFIFICAR CONTENIDO, SE RETIRA EMBALAJE Y SE DETECTA PELADURAS CON OXIDO Y FISURAS EN ACRILICO"/>
    <s v="ME"/>
    <x v="10"/>
    <s v="ACT000436"/>
    <s v="MUEBLE AUTODEGUSTADOR GENERICO"/>
    <s v="UND"/>
    <m/>
    <n v="1000000"/>
    <n v="1000000"/>
    <s v="0.000000"/>
    <n v="122368"/>
    <n v="0"/>
    <x v="2"/>
    <s v="BPO"/>
    <s v="AVER"/>
    <m/>
    <m/>
    <m/>
    <m/>
    <s v="OGUZMAN"/>
    <s v="2021-12-07 09:28:04.324147"/>
  </r>
  <r>
    <x v="15"/>
    <s v="BARR"/>
    <n v="33004"/>
    <s v="NUTRESA"/>
    <s v="NUTRESA - COMERCIAL NUTRESA SAS"/>
    <d v="2021-12-07T00:00:00"/>
    <s v="COMPLETADO"/>
    <s v="RECEPCIO"/>
    <n v="1"/>
    <s v="OTROS"/>
    <s v="OGUZMAN"/>
    <s v="2021-12-09 07:30:33.908703"/>
    <n v="0"/>
    <n v="14000358833"/>
    <s v="SE RECIBE MATERIAL DE PROVEEDOR OPEN MIND CON REMISION 2852, S/N"/>
    <s v="MP"/>
    <x v="11"/>
    <s v="CRD025017"/>
    <s v="NUEVO FRONTAL CARULLA MATIZ TENTACION"/>
    <s v="UND"/>
    <m/>
    <n v="1000000"/>
    <n v="1000000"/>
    <s v="0.000000"/>
    <n v="0"/>
    <n v="0"/>
    <x v="0"/>
    <s v="NUTRESA"/>
    <s v="BUEN"/>
    <m/>
    <m/>
    <m/>
    <m/>
    <s v="OGUZMAN"/>
    <s v="2021-12-07 11:40:57.29872"/>
  </r>
  <r>
    <x v="16"/>
    <s v="BARR"/>
    <n v="33015"/>
    <s v="NUTRESA"/>
    <s v="NUTRESA - COMERCIAL NUTRESA SAS"/>
    <d v="2021-12-10T00:00:00"/>
    <s v="COMPLETADO"/>
    <s v="RECEPCIO"/>
    <n v="1"/>
    <s v="OTROS"/>
    <s v="OGUZMAN"/>
    <s v="2021-12-13 10:35:23.338693"/>
    <n v="0"/>
    <n v="0"/>
    <s v="SE RECIBE MATERIAL DE PROVEEDOR SILA GROUP SAS CON REMISION 42656, NOVEDAD DE FALTANTE DE 2 UND CRD024647, INGRESO FUERADE TIEMPO POR ESPERA EN ACTUALIZACION DE IMAGENES, YA QUE NO COINCIDIAN"/>
    <s v="MP"/>
    <x v="12"/>
    <s v="CRD024645"/>
    <s v="RECIPIENTE ARUBA CARRO PROMOTORES"/>
    <s v="UND"/>
    <m/>
    <n v="1200000000"/>
    <n v="1200000000"/>
    <s v="0.000000"/>
    <n v="0"/>
    <n v="0"/>
    <x v="1"/>
    <s v="NUTRESA"/>
    <s v="BUEN"/>
    <m/>
    <m/>
    <m/>
    <m/>
    <s v="OGUZMAN"/>
    <s v="2021-12-10 09:12:23.177526"/>
  </r>
  <r>
    <x v="17"/>
    <s v="BARR"/>
    <n v="33015"/>
    <s v="NUTRESA"/>
    <s v="NUTRESA - COMERCIAL NUTRESA SAS"/>
    <d v="2021-12-10T00:00:00"/>
    <s v="COMPLETADO"/>
    <s v="RECEPCIO"/>
    <n v="1"/>
    <s v="OTROS"/>
    <s v="OGUZMAN"/>
    <s v="2021-12-13 10:35:23.338693"/>
    <n v="0"/>
    <n v="0"/>
    <s v="SE RECIBE MATERIAL DE PROVEEDOR SILA GROUP SAS CON REMISION 42656, NOVEDAD DE FALTANTE DE 2 UND CRD024647, INGRESO FUERADE TIEMPO POR ESPERA EN ACTUALIZACION DE IMAGENES, YA QUE NO COINCIDIAN"/>
    <s v="MP"/>
    <x v="13"/>
    <s v="CRD024647"/>
    <s v="RECIPIENTE REDONDO EASY 400ML CARRO PROMOTORES"/>
    <s v="UND"/>
    <m/>
    <n v="1198000000"/>
    <n v="1198000000"/>
    <s v="0.000000"/>
    <n v="0"/>
    <n v="0"/>
    <x v="1"/>
    <s v="NUTRESA"/>
    <s v="BUEN"/>
    <m/>
    <m/>
    <m/>
    <m/>
    <s v="OGUZMAN"/>
    <s v="2021-12-10 09:13:17.488946"/>
  </r>
  <r>
    <x v="18"/>
    <s v="BARR"/>
    <n v="33015"/>
    <s v="NUTRESA"/>
    <s v="NUTRESA - COMERCIAL NUTRESA SAS"/>
    <d v="2021-12-10T00:00:00"/>
    <s v="COMPLETADO"/>
    <s v="RECEPCIO"/>
    <n v="1"/>
    <s v="OTROS"/>
    <s v="OGUZMAN"/>
    <s v="2021-12-13 10:35:23.338693"/>
    <n v="0"/>
    <n v="0"/>
    <s v="SE RECIBE MATERIAL DE PROVEEDOR SILA GROUP SAS CON REMISION 42656, NOVEDAD DE FALTANTE DE 2 UND CRD024647, INGRESO FUERADE TIEMPO POR ESPERA EN ACTUALIZACION DE IMAGENES, YA QUE NO COINCIDIAN"/>
    <s v="MP"/>
    <x v="14"/>
    <s v="CRD024644"/>
    <s v="RECIPIENTE DESPENSA TAYRONA 1 LT CARRO PROMOTORES"/>
    <s v="UND"/>
    <m/>
    <n v="1200000000"/>
    <n v="1200000000"/>
    <s v="0.000000"/>
    <n v="0"/>
    <n v="0"/>
    <x v="1"/>
    <s v="NUTRESA"/>
    <s v="BUEN"/>
    <m/>
    <m/>
    <m/>
    <m/>
    <s v="OGUZMAN"/>
    <s v="2021-12-10 09:12:01.122205"/>
  </r>
  <r>
    <x v="19"/>
    <s v="BARR"/>
    <n v="33015"/>
    <s v="NUTRESA"/>
    <s v="NUTRESA - COMERCIAL NUTRESA SAS"/>
    <d v="2021-12-10T00:00:00"/>
    <s v="COMPLETADO"/>
    <s v="RECEPCIO"/>
    <n v="1"/>
    <s v="OTROS"/>
    <s v="OGUZMAN"/>
    <s v="2021-12-13 10:35:23.338693"/>
    <n v="0"/>
    <n v="0"/>
    <s v="SE RECIBE MATERIAL DE PROVEEDOR SILA GROUP SAS CON REMISION 42656, NOVEDAD DE FALTANTE DE 2 UND CRD024647, INGRESO FUERADE TIEMPO POR ESPERA EN ACTUALIZACION DE IMAGENES, YA QUE NO COINCIDIAN"/>
    <s v="MP"/>
    <x v="15"/>
    <s v="CRD024646"/>
    <s v="RECIPIENTE RECTANGULAR VENECIA CARRO PROMOTORES"/>
    <s v="UND"/>
    <m/>
    <n v="1200000000"/>
    <n v="1200000000"/>
    <s v="0.000000"/>
    <n v="0"/>
    <n v="0"/>
    <x v="1"/>
    <s v="NUTRESA"/>
    <s v="BUEN"/>
    <m/>
    <m/>
    <m/>
    <m/>
    <s v="OGUZMAN"/>
    <s v="2021-12-10 09:12:56.818782"/>
  </r>
  <r>
    <x v="20"/>
    <s v="BARR"/>
    <n v="33016"/>
    <s v="NUTRESA"/>
    <s v="NUTRESA - COMERCIAL NUTRESA SAS"/>
    <d v="2021-12-10T00:00:00"/>
    <s v="COMPLETADO"/>
    <s v="RECEPCIO"/>
    <n v="1"/>
    <s v="OTROS"/>
    <s v="OGUZMAN"/>
    <s v="2021-12-13 10:36:23.00436"/>
    <n v="0"/>
    <n v="648650666"/>
    <s v="SE RECIBE MATERIAL DE PROVEEDOR MARQUILLAS CON REMISION CRV-32275, S/N"/>
    <s v="MP"/>
    <x v="16"/>
    <s v="CRD025004"/>
    <s v="AYUDAVENTAS TACO DIA MIEL"/>
    <s v="UND"/>
    <m/>
    <n v="53000000"/>
    <n v="53000000"/>
    <s v="0.000000"/>
    <n v="0"/>
    <n v="0"/>
    <x v="1"/>
    <s v="NUTRESA"/>
    <s v="BUEN"/>
    <m/>
    <m/>
    <m/>
    <m/>
    <s v="OGUZMAN"/>
    <s v="2021-12-10 09:21:35.900082"/>
  </r>
  <r>
    <x v="21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17"/>
    <s v="CRD025001"/>
    <s v="CHISPA DOYPACK CAPPUCCINO"/>
    <s v="UND"/>
    <m/>
    <n v="20000000"/>
    <n v="20000000"/>
    <s v="0.000000"/>
    <n v="0"/>
    <n v="0"/>
    <x v="2"/>
    <s v="NUTRESA"/>
    <s v="BUEN"/>
    <m/>
    <m/>
    <m/>
    <m/>
    <s v="OGUZMAN"/>
    <s v="2021-12-13 16:47:02.719505"/>
  </r>
  <r>
    <x v="22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18"/>
    <s v="CRD025002"/>
    <s v="CHISPA DOYPACK 3 EN1"/>
    <s v="UND"/>
    <m/>
    <n v="20000000"/>
    <n v="20000000"/>
    <s v="0.000000"/>
    <n v="0"/>
    <n v="0"/>
    <x v="2"/>
    <s v="NUTRESA"/>
    <s v="BUEN"/>
    <m/>
    <m/>
    <m/>
    <m/>
    <s v="OGUZMAN"/>
    <s v="2021-12-13 16:47:09.001652"/>
  </r>
  <r>
    <x v="23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19"/>
    <s v="CRD025008"/>
    <s v="MOVIL CAPPUCCINOS MAS BENEFICIOS"/>
    <s v="UND"/>
    <m/>
    <n v="2000000000"/>
    <n v="2000000000"/>
    <s v="0.000000"/>
    <n v="0"/>
    <n v="0"/>
    <x v="1"/>
    <s v="NUTRESA"/>
    <s v="BUEN"/>
    <m/>
    <m/>
    <m/>
    <m/>
    <s v="OGUZMAN"/>
    <s v="2021-12-13 16:47:15.092331"/>
  </r>
  <r>
    <x v="24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20"/>
    <s v="CRD025009"/>
    <s v="CHISPA CAPPUCCINOS MAS BENEFICIOS"/>
    <s v="UND"/>
    <m/>
    <n v="1400000000"/>
    <n v="1400000000"/>
    <s v="0.000000"/>
    <n v="0"/>
    <n v="0"/>
    <x v="1"/>
    <s v="NUTRESA"/>
    <s v="BUEN"/>
    <m/>
    <m/>
    <m/>
    <m/>
    <s v="OGUZMAN"/>
    <s v="2021-12-13 16:47:20.134501"/>
  </r>
  <r>
    <x v="25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21"/>
    <s v="CRD025010"/>
    <s v="AFICHE CAPPUCCINOS MAS BENEFICIOS"/>
    <s v="UND"/>
    <m/>
    <n v="1000000000"/>
    <n v="1000000000"/>
    <s v="0.000000"/>
    <n v="0"/>
    <n v="0"/>
    <x v="1"/>
    <s v="NUTRESA"/>
    <s v="BUEN"/>
    <m/>
    <m/>
    <m/>
    <m/>
    <s v="OGUZMAN"/>
    <s v="2021-12-13 16:47:26.372333"/>
  </r>
  <r>
    <x v="26"/>
    <s v="BARR"/>
    <n v="33059"/>
    <s v="NUTRESA"/>
    <s v="NUTRESA - COMERCIAL NUTRESA SAS"/>
    <d v="2021-12-14T00:00:00"/>
    <s v="COMPLETADO"/>
    <s v="RECEPCIO"/>
    <n v="1"/>
    <s v="OTROS"/>
    <s v="OGUZMAN"/>
    <s v="2021-12-17 08:10:45.834501"/>
    <n v="0"/>
    <n v="331730749"/>
    <s v="SE RECIBE MATERIAL DE PROVEEDOR MERCICO CON REMISION 11138, FALTANTE DE 4 UND CRD024643 SEGUN REMISION. SOBRANTE DE 398 SEGUN AVISO DE LLEGADA CRD024643. PENDIENTE POR LLEGA DEMAS CODIGOS SEGUN AVISO"/>
    <s v="MP"/>
    <x v="22"/>
    <s v="CRD024643"/>
    <s v="UTENSILIOS NYLON"/>
    <s v="UND"/>
    <m/>
    <n v="1196000000"/>
    <n v="1196000000"/>
    <s v="0.000000"/>
    <n v="0"/>
    <n v="0"/>
    <x v="1"/>
    <s v="NUTRESA"/>
    <s v="BUEN"/>
    <m/>
    <m/>
    <m/>
    <m/>
    <s v="OGUZMAN"/>
    <s v="2021-12-14 15:51:23.683573"/>
  </r>
  <r>
    <x v="27"/>
    <s v="BARR"/>
    <n v="33087"/>
    <s v="NUTRESA"/>
    <s v="NUTRESA - COMERCIAL NUTRESA SAS"/>
    <d v="2021-12-15T00:00:00"/>
    <s v="COMPLETADO"/>
    <s v="RECEPCIO"/>
    <n v="1"/>
    <s v="OTROS"/>
    <s v="OGUZMAN"/>
    <s v="2021-12-17 08:22:57.206628"/>
    <n v="0"/>
    <n v="0"/>
    <s v="DEVOLUCION DE MILENA PATRICIA BARRAZA, RECOGIDA 3890, S/N"/>
    <s v="MP"/>
    <x v="23"/>
    <s v="CRD024847"/>
    <s v="BOLSAS DE SILICONA KIBO X3"/>
    <s v="UND"/>
    <m/>
    <n v="28000000"/>
    <n v="28000000"/>
    <s v="0.000000"/>
    <n v="0"/>
    <n v="0"/>
    <x v="0"/>
    <s v="BPO"/>
    <s v="BUEN"/>
    <m/>
    <m/>
    <m/>
    <m/>
    <s v="OGUZMAN"/>
    <s v="2021-12-15 13:23:05.010951"/>
  </r>
  <r>
    <x v="28"/>
    <s v="BARR"/>
    <n v="33087"/>
    <s v="NUTRESA"/>
    <s v="NUTRESA - COMERCIAL NUTRESA SAS"/>
    <d v="2021-12-15T00:00:00"/>
    <s v="COMPLETADO"/>
    <s v="RECEPCIO"/>
    <n v="1"/>
    <s v="OTROS"/>
    <s v="OGUZMAN"/>
    <s v="2021-12-17 08:22:57.206628"/>
    <n v="0"/>
    <n v="0"/>
    <s v="DEVOLUCION DE MILENA PATRICIA BARRAZA, RECOGIDA 3890, S/N"/>
    <s v="M"/>
    <x v="24"/>
    <s v="CRD024262"/>
    <s v="TOALLA MICROFIBRA SUBLIMADA VERDE NOTORIEDAD DE MARCA TOSH"/>
    <s v="UND"/>
    <m/>
    <n v="7000000"/>
    <n v="7000000"/>
    <s v="0.000000"/>
    <n v="0"/>
    <n v="0"/>
    <x v="0"/>
    <s v="BPO"/>
    <s v="BUEN"/>
    <m/>
    <m/>
    <m/>
    <m/>
    <s v="OGUZMAN"/>
    <s v="2021-12-15 13:22:58.492743"/>
  </r>
  <r>
    <x v="29"/>
    <s v="BARR"/>
    <n v="33093"/>
    <s v="NUTRESA"/>
    <s v="NUTRESA - COMERCIAL NUTRESA SAS"/>
    <d v="2021-12-15T00:00:00"/>
    <s v="COMPLETADO"/>
    <s v="RECEPCIO"/>
    <n v="1"/>
    <s v="OTROS"/>
    <s v="OGUZMAN"/>
    <s v="2021-12-17 08:23:40.049046"/>
    <n v="0"/>
    <n v="300002736835"/>
    <s v="SE RECIBE MATERIAL DE PROVEEDOR OPEN MIND CON REMISION 2949, S/N"/>
    <s v="ME"/>
    <x v="25"/>
    <s v="CRD024971"/>
    <s v="EXHIBIDOR ENLATADOS TIENDAS"/>
    <s v="UND"/>
    <m/>
    <n v="348000000"/>
    <n v="348000000"/>
    <s v="0.000000"/>
    <n v="0"/>
    <n v="0"/>
    <x v="1"/>
    <s v="NUTRESA"/>
    <s v="BUEN"/>
    <m/>
    <m/>
    <m/>
    <m/>
    <s v="OGUZMAN"/>
    <s v="2021-12-15 14:09:07.214968"/>
  </r>
  <r>
    <x v="30"/>
    <s v="BARR"/>
    <n v="33097"/>
    <s v="NUTRESA"/>
    <s v="NUTRESA - COMERCIAL NUTRESA SAS"/>
    <d v="2021-12-15T00:00:00"/>
    <s v="COMPLETADO"/>
    <s v="RECEPCIO"/>
    <n v="1"/>
    <s v="OTROS"/>
    <s v="OGUZMAN"/>
    <s v="2021-12-17 08:24:15.824055"/>
    <n v="0"/>
    <n v="348650869"/>
    <s v="SE RECIBE MATERIAL DE PROVEEDOR MARQUILLAS SA CON REMISION CRV-32501, S/N"/>
    <s v="MP"/>
    <x v="26"/>
    <s v="CRD025006"/>
    <s v="AYUDAVENTAS BUBRUJAS CC"/>
    <s v="UND"/>
    <m/>
    <n v="53000000"/>
    <n v="53000000"/>
    <s v="0.000000"/>
    <n v="0"/>
    <n v="0"/>
    <x v="1"/>
    <s v="NUTRESA"/>
    <s v="BUEN"/>
    <m/>
    <m/>
    <m/>
    <m/>
    <s v="OGUZMAN"/>
    <s v="2021-12-15 15:30:58.982406"/>
  </r>
  <r>
    <x v="31"/>
    <s v="BARR"/>
    <n v="33116"/>
    <s v="NUTRESA"/>
    <s v="NUTRESA - COMERCIAL NUTRESA SAS"/>
    <d v="2021-12-17T00:00:00"/>
    <s v="COMPLETADO"/>
    <s v="RECEPCIO"/>
    <n v="1"/>
    <s v="DEVOLUC"/>
    <s v="OGUZMAN"/>
    <s v="2021-12-20 10:08:14.444942"/>
    <n v="0"/>
    <n v="0"/>
    <s v="DEVOLUCION DE SAO 93 AUTOSERVICIO, RECOGIDA 3898, MUEBLE USADO CON PELADURAS, SIN CANDADO NI LLAVE"/>
    <s v="MP"/>
    <x v="27"/>
    <s v="CRD020181"/>
    <s v="KIT IMAGEN MUEBLE SINERGIA KIBO"/>
    <s v="UND"/>
    <m/>
    <n v="1000000"/>
    <n v="1000000"/>
    <s v="0.000000"/>
    <n v="0"/>
    <n v="0"/>
    <x v="0"/>
    <s v="BPO"/>
    <s v="BUEN"/>
    <m/>
    <m/>
    <m/>
    <m/>
    <s v="OGUZMAN"/>
    <s v="2021-12-17 16:50:30.080358"/>
  </r>
  <r>
    <x v="32"/>
    <s v="BARR"/>
    <n v="33116"/>
    <s v="NUTRESA"/>
    <s v="NUTRESA - COMERCIAL NUTRESA SAS"/>
    <d v="2021-12-17T00:00:00"/>
    <s v="COMPLETADO"/>
    <s v="RECEPCIO"/>
    <n v="1"/>
    <s v="DEVOLUC"/>
    <s v="OGUZMAN"/>
    <s v="2021-12-20 10:08:14.444942"/>
    <n v="0"/>
    <n v="0"/>
    <s v="DEVOLUCION DE SAO 93 AUTOSERVICIO, RECOGIDA 3898, MUEBLE USADO CON PELADURAS, SIN CANDADO NI LLAVE"/>
    <s v="MD"/>
    <x v="28"/>
    <s v="CRD008430"/>
    <s v="MUEBLE DEGUSTACION SINERGIA CHOCOLATES"/>
    <s v="UND"/>
    <m/>
    <n v="1000000"/>
    <n v="1000000"/>
    <s v="0.000000"/>
    <n v="0"/>
    <n v="0"/>
    <x v="0"/>
    <s v="BPO"/>
    <s v="USAD"/>
    <m/>
    <m/>
    <m/>
    <m/>
    <s v="OGUZMAN"/>
    <s v="2021-12-17 16:50:23.75194"/>
  </r>
  <r>
    <x v="32"/>
    <s v="BARR"/>
    <n v="33117"/>
    <s v="NUTRESA"/>
    <s v="NUTRESA - COMERCIAL NUTRESA SAS"/>
    <d v="2021-12-17T00:00:00"/>
    <s v="COMPLETADO"/>
    <s v="RECEPCIO"/>
    <n v="1"/>
    <s v="DEVOLUC"/>
    <s v="OGUZMAN"/>
    <s v="2021-12-20 10:08:21.466734"/>
    <n v="0"/>
    <n v="0"/>
    <s v="DEVOLUCION DE SAO 094 VILLA CAROLINA, RECOGIA 3895, MUEBLE USADO CON PELADURAS Y QUEMADURA EN LA BANDEJA SUPERIOR"/>
    <s v="MD"/>
    <x v="28"/>
    <s v="CRD008430"/>
    <s v="MUEBLE DEGUSTACION SINERGIA CHOCOLATES"/>
    <s v="UND"/>
    <m/>
    <n v="1000000"/>
    <n v="1000000"/>
    <s v="0.000000"/>
    <n v="0"/>
    <n v="0"/>
    <x v="0"/>
    <s v="BPO"/>
    <s v="USAD"/>
    <m/>
    <m/>
    <m/>
    <m/>
    <s v="OGUZMAN"/>
    <s v="2021-12-17 16:50:43.009835"/>
  </r>
  <r>
    <x v="31"/>
    <s v="BARR"/>
    <n v="33117"/>
    <s v="NUTRESA"/>
    <s v="NUTRESA - COMERCIAL NUTRESA SAS"/>
    <d v="2021-12-17T00:00:00"/>
    <s v="COMPLETADO"/>
    <s v="RECEPCIO"/>
    <n v="1"/>
    <s v="DEVOLUC"/>
    <s v="OGUZMAN"/>
    <s v="2021-12-20 10:08:21.466734"/>
    <n v="0"/>
    <n v="0"/>
    <s v="DEVOLUCION DE SAO 094 VILLA CAROLINA, RECOGIA 3895, MUEBLE USADO CON PELADURAS Y QUEMADURA EN LA BANDEJA SUPERIOR"/>
    <s v="MP"/>
    <x v="27"/>
    <s v="CRD020181"/>
    <s v="KIT IMAGEN MUEBLE SINERGIA KIBO"/>
    <s v="UND"/>
    <m/>
    <n v="1000000"/>
    <n v="1000000"/>
    <s v="0.000000"/>
    <n v="0"/>
    <n v="0"/>
    <x v="0"/>
    <s v="BPO"/>
    <s v="BUEN"/>
    <m/>
    <m/>
    <m/>
    <m/>
    <s v="OGUZMAN"/>
    <s v="2021-12-17 16:50:56.071558"/>
  </r>
  <r>
    <x v="33"/>
    <s v="BARR"/>
    <n v="33121"/>
    <s v="NUTRESA"/>
    <s v="NUTRESA - COMERCIAL NUTRESA SAS"/>
    <d v="2021-12-20T00:00:00"/>
    <s v="COMPLETADO"/>
    <s v="RECEPCIO"/>
    <n v="1"/>
    <s v="OTROS"/>
    <m/>
    <s v="2021-12-20 22:21:37.676929"/>
    <n v="0"/>
    <n v="300002761099"/>
    <s v="SE RECIBE MATERIAL DE PROVEEDOR OPEN MIND CON REMISION 3006, S/N"/>
    <s v="MP"/>
    <x v="29"/>
    <s v="CRD025013"/>
    <s v="VESTIDO REJILLA SELLO ROJO CARNAVAL DE BARRANQUILLA 2021"/>
    <s v="UND"/>
    <m/>
    <n v="1000000"/>
    <n v="1000000"/>
    <s v="0.000000"/>
    <n v="0"/>
    <n v="0"/>
    <x v="0"/>
    <s v="NUTRESA"/>
    <s v="BUEN"/>
    <m/>
    <m/>
    <m/>
    <m/>
    <s v="OGUZMAN"/>
    <s v="2021-12-20 22:22:17.817175"/>
  </r>
  <r>
    <x v="34"/>
    <s v="BARR"/>
    <n v="33121"/>
    <s v="NUTRESA"/>
    <s v="NUTRESA - COMERCIAL NUTRESA SAS"/>
    <d v="2021-12-20T00:00:00"/>
    <s v="COMPLETADO"/>
    <s v="RECEPCIO"/>
    <n v="1"/>
    <s v="OTROS"/>
    <m/>
    <s v="2021-12-20 22:21:37.676929"/>
    <n v="0"/>
    <n v="300002761099"/>
    <s v="SE RECIBE MATERIAL DE PROVEEDOR OPEN MIND CON REMISION 3006, S/N"/>
    <s v="MP"/>
    <x v="30"/>
    <s v="CRD025015"/>
    <s v="COLOMBINA/ROLLO SELLO ROJO CARNAVAL DE BARRANQUILLA 2021"/>
    <s v="UND"/>
    <m/>
    <n v="11000000"/>
    <n v="11000000"/>
    <s v="0.000000"/>
    <n v="0"/>
    <n v="0"/>
    <x v="0"/>
    <s v="NUTRESA"/>
    <s v="BUEN"/>
    <m/>
    <m/>
    <m/>
    <m/>
    <s v="OGUZMAN"/>
    <s v="2021-12-20 22:22:29.403146"/>
  </r>
  <r>
    <x v="35"/>
    <s v="BARR"/>
    <n v="33121"/>
    <s v="NUTRESA"/>
    <s v="NUTRESA - COMERCIAL NUTRESA SAS"/>
    <d v="2021-12-20T00:00:00"/>
    <s v="COMPLETADO"/>
    <s v="RECEPCIO"/>
    <n v="1"/>
    <s v="OTROS"/>
    <m/>
    <s v="2021-12-20 22:21:37.676929"/>
    <n v="0"/>
    <n v="300002761099"/>
    <s v="SE RECIBE MATERIAL DE PROVEEDOR OPEN MIND CON REMISION 3006, S/N"/>
    <s v="MP"/>
    <x v="31"/>
    <s v="CRD025014"/>
    <s v="CABEZOTE CHIMENEA SELLO ROJO CARNAVAL DE BARRANQUILLA 2021"/>
    <s v="UND"/>
    <m/>
    <n v="8000000"/>
    <n v="8000000"/>
    <s v="0.000000"/>
    <n v="0"/>
    <n v="0"/>
    <x v="0"/>
    <s v="NUTRESA"/>
    <s v="BUEN"/>
    <m/>
    <m/>
    <m/>
    <m/>
    <s v="OGUZMAN"/>
    <s v="2021-12-20 22:22:24.145138"/>
  </r>
  <r>
    <x v="36"/>
    <s v="BARR"/>
    <n v="33121"/>
    <s v="NUTRESA"/>
    <s v="NUTRESA - COMERCIAL NUTRESA SAS"/>
    <d v="2021-12-20T00:00:00"/>
    <s v="COMPLETADO"/>
    <s v="RECEPCIO"/>
    <n v="1"/>
    <s v="OTROS"/>
    <m/>
    <s v="2021-12-20 22:21:37.676929"/>
    <n v="0"/>
    <n v="300002761099"/>
    <s v="SE RECIBE MATERIAL DE PROVEEDOR OPEN MIND CON REMISION 3006, S/N"/>
    <s v="MP"/>
    <x v="32"/>
    <s v="CRD025012"/>
    <s v="PUNTA SENCILLA SELLO ROJO CARNAVAL DE BARRANQUILLA 2021"/>
    <s v="UND"/>
    <m/>
    <n v="2000000"/>
    <n v="2000000"/>
    <s v="0.000000"/>
    <n v="0"/>
    <n v="0"/>
    <x v="0"/>
    <s v="NUTRESA"/>
    <s v="BUEN"/>
    <m/>
    <m/>
    <m/>
    <m/>
    <s v="OGUZMAN"/>
    <s v="2021-12-20 22:22:10.216434"/>
  </r>
  <r>
    <x v="37"/>
    <s v="BARR"/>
    <n v="33123"/>
    <s v="NUTRESA"/>
    <s v="NUTRESA - COMERCIAL NUTRESA SAS"/>
    <d v="2021-12-20T00:00:00"/>
    <s v="COMPLETADO"/>
    <s v="RECEPCIO"/>
    <n v="1"/>
    <s v="OTROS"/>
    <m/>
    <s v="2021-12-20 22:35:38.185139"/>
    <n v="0"/>
    <n v="300002761099"/>
    <s v="SE RECIBE MATERIAL DE PROVEEDOR OPEN MIND CON REMISION 2992, S/N"/>
    <s v="ME"/>
    <x v="33"/>
    <s v="CRD025023"/>
    <s v="BALCON COLCAFE 3 EN 1 MAS CREMOSO"/>
    <s v="UND"/>
    <m/>
    <n v="7000000"/>
    <n v="7000000"/>
    <s v="0.000000"/>
    <n v="0"/>
    <n v="0"/>
    <x v="2"/>
    <s v="NUTRESA"/>
    <s v="BUEN"/>
    <m/>
    <m/>
    <m/>
    <m/>
    <s v="OGUZMAN"/>
    <s v="2021-12-20 22:35:57.222442"/>
  </r>
  <r>
    <x v="38"/>
    <s v="BARR"/>
    <n v="33134"/>
    <s v="NUTRESA"/>
    <s v="NUTRESA - COMERCIAL NUTRESA SAS"/>
    <d v="2021-12-21T00:00:00"/>
    <s v="COMPLETADO"/>
    <s v="RECEPCIO"/>
    <n v="1"/>
    <s v="DEVOLUC"/>
    <m/>
    <s v="2021-12-21 06:05:50.208484"/>
    <n v="0"/>
    <n v="0"/>
    <s v="DEVOLUCION DE OLIMPICA AUTOSERVICIO CL 76, RECOGIDA 3896, MUEBLE EN MAL ESTADO, OXIDADO, ZONAS DOBLADAS, SIN CAMDADO NI LLAVES"/>
    <s v="MD"/>
    <x v="34"/>
    <s v="CRD019238"/>
    <s v="MUEBLE DEGUSTACION BENET"/>
    <s v="UND"/>
    <m/>
    <n v="1000000"/>
    <n v="1000000"/>
    <s v="0.000000"/>
    <n v="0"/>
    <n v="0"/>
    <x v="0"/>
    <s v="BPO"/>
    <s v="AVER"/>
    <m/>
    <m/>
    <m/>
    <m/>
    <s v="OGUZMAN"/>
    <s v="2021-12-21 07:45:26.589894"/>
  </r>
  <r>
    <x v="38"/>
    <s v="BARR"/>
    <n v="33135"/>
    <s v="NUTRESA"/>
    <s v="NUTRESA - COMERCIAL NUTRESA SAS"/>
    <d v="2021-12-21T00:00:00"/>
    <s v="COMPLETADO"/>
    <s v="RECEPCIO"/>
    <n v="1"/>
    <s v="DEVOLUC"/>
    <m/>
    <s v="2021-12-21 06:07:56.659742"/>
    <n v="0"/>
    <n v="0"/>
    <s v="DEVOLUCION DE SUPERDROGUERIA OLIMPICA 53, RECOGIDA 3897, MUEBLE EN MAL ESTADO, OXIDADO, ZONAS DOBLADAS, SIN CAMDADO NI LLAVES"/>
    <s v="MD"/>
    <x v="34"/>
    <s v="CRD019238"/>
    <s v="MUEBLE DEGUSTACION BENET"/>
    <s v="UND"/>
    <m/>
    <n v="1000000"/>
    <n v="1000000"/>
    <s v="0.000000"/>
    <n v="0"/>
    <n v="0"/>
    <x v="0"/>
    <s v="BPO"/>
    <s v="AVER"/>
    <m/>
    <m/>
    <m/>
    <m/>
    <s v="OGUZMAN"/>
    <s v="2021-12-21 07:45:02.928789"/>
  </r>
  <r>
    <x v="39"/>
    <s v="BARR"/>
    <n v="33136"/>
    <s v="NUTRESA"/>
    <s v="NUTRESA - COMERCIAL NUTRESA SAS"/>
    <d v="2021-12-21T00:00:00"/>
    <s v="COMPLETADO"/>
    <s v="RECEPCIO"/>
    <n v="1"/>
    <s v="DEVOLUC"/>
    <m/>
    <s v="2021-12-21 06:10:20.901011"/>
    <n v="0"/>
    <n v="0"/>
    <s v="DEVOLUCION DE CONFITERIAS DULCES Y GOLLSINAS JC, RECOGIDA 3891, NEVERA CON ALGUNOS RAYONES, NO LE FINCIONA TEMPPRIZADOR MEDIDOR DE TEMPERATURA"/>
    <s v="ME"/>
    <x v="35"/>
    <s v="ACT000225"/>
    <s v="NEVERA HACEB TD"/>
    <s v="UND"/>
    <s v="ACT000225"/>
    <n v="1000000"/>
    <n v="1000000"/>
    <s v="0.000000"/>
    <n v="127769"/>
    <n v="0"/>
    <x v="1"/>
    <s v="NUTRESA"/>
    <s v="AVER"/>
    <m/>
    <m/>
    <m/>
    <m/>
    <s v="OGUZMAN"/>
    <s v="2021-12-21 07:44:17.421542"/>
  </r>
  <r>
    <x v="40"/>
    <s v="BARR"/>
    <n v="33137"/>
    <s v="NUTRESA"/>
    <s v="NUTRESA - COMERCIAL NUTRESA SAS"/>
    <d v="2021-12-21T00:00:00"/>
    <s v="COMPLETADO"/>
    <s v="RECEPCIO"/>
    <n v="1"/>
    <s v="OTROS"/>
    <m/>
    <s v="2021-12-21 06:13:00.151361"/>
    <n v="0"/>
    <n v="332029999"/>
    <s v="SE RECIBE MATERIAL DE PROVEEDOR PAPEL CARD CON REMISION 2021-1651 S/N"/>
    <s v="MP"/>
    <x v="36"/>
    <s v="CRD025016"/>
    <s v="ESCUDO SELLO ROJO CARNAVAL DE BARRANQUILLA 2021"/>
    <s v="UND"/>
    <m/>
    <n v="20000000"/>
    <n v="20000000"/>
    <s v="0.000000"/>
    <n v="0"/>
    <n v="0"/>
    <x v="2"/>
    <s v="NUTRESA"/>
    <s v="BUEN"/>
    <m/>
    <m/>
    <m/>
    <m/>
    <s v="OGUZMAN"/>
    <s v="2021-12-21 07:57:12.672966"/>
  </r>
  <r>
    <x v="41"/>
    <s v="BARR"/>
    <n v="33138"/>
    <s v="NUTRESA"/>
    <s v="NUTRESA - COMERCIAL NUTRESA SAS"/>
    <d v="2021-12-21T00:00:00"/>
    <s v="COMPLETADO"/>
    <s v="RECEPCIO"/>
    <n v="1"/>
    <s v="OTROS"/>
    <m/>
    <s v="2021-12-21 06:15:08.908565"/>
    <n v="0"/>
    <n v="134624280"/>
    <s v="SE RECIBE MATERIAL DE PROVEEDOR PAPEL CARD CON REMISION 2021-1652 S/N"/>
    <s v="MP"/>
    <x v="37"/>
    <s v="CRD025021"/>
    <s v="CHISPA COLCAFE 3 EN 1 MAS CREMOSO"/>
    <s v="UND"/>
    <m/>
    <n v="30000000"/>
    <n v="30000000"/>
    <s v="0.000000"/>
    <n v="0"/>
    <n v="0"/>
    <x v="2"/>
    <s v="NUTRESA"/>
    <s v="BUEN"/>
    <m/>
    <m/>
    <m/>
    <m/>
    <s v="OGUZMAN"/>
    <s v="2021-12-21 07:56:20.203695"/>
  </r>
  <r>
    <x v="42"/>
    <s v="BARR"/>
    <n v="33144"/>
    <s v="NUTRESA"/>
    <s v="NUTRESA - COMERCIAL NUTRESA SAS"/>
    <d v="2021-12-21T00:00:00"/>
    <s v="COMPLETADO"/>
    <s v="RECEPCIO"/>
    <n v="1"/>
    <s v="OTROS"/>
    <m/>
    <s v="2021-12-21 21:21:02.006914"/>
    <n v="0"/>
    <n v="16004626663"/>
    <s v="SE RECIBE MATERIAL DE PROVEEDOR CREATING IDEAS CON REMISION 48867, S/N"/>
    <s v="ME"/>
    <x v="38"/>
    <s v="CRD019356"/>
    <s v="MODULAR LEGO JUMBO CAD"/>
    <s v="UND"/>
    <m/>
    <n v="5000000"/>
    <n v="5000000"/>
    <s v="0.000000"/>
    <n v="0"/>
    <n v="0"/>
    <x v="0"/>
    <s v="NUTRESA"/>
    <s v="BUEN"/>
    <m/>
    <m/>
    <m/>
    <m/>
    <s v="OGUZMAN"/>
    <s v="2021-12-21 21:22:36.653021"/>
  </r>
  <r>
    <x v="43"/>
    <s v="BARR"/>
    <n v="33144"/>
    <s v="NUTRESA"/>
    <s v="NUTRESA - COMERCIAL NUTRESA SAS"/>
    <d v="2021-12-21T00:00:00"/>
    <s v="COMPLETADO"/>
    <s v="RECEPCIO"/>
    <n v="1"/>
    <s v="OTROS"/>
    <m/>
    <s v="2021-12-21 21:21:02.006914"/>
    <n v="0"/>
    <n v="16004626663"/>
    <s v="SE RECIBE MATERIAL DE PROVEEDOR CREATING IDEAS CON REMISION 48867, S/N"/>
    <s v="ME"/>
    <x v="39"/>
    <s v="CRD019355"/>
    <s v="MODULAR LEGO JET CAD"/>
    <s v="UND"/>
    <m/>
    <n v="5000000"/>
    <n v="5000000"/>
    <s v="0.000000"/>
    <n v="0"/>
    <n v="0"/>
    <x v="0"/>
    <s v="NUTRESA"/>
    <s v="BUEN"/>
    <m/>
    <m/>
    <m/>
    <m/>
    <s v="OGUZMAN"/>
    <s v="2021-12-21 21:22:24.939005"/>
  </r>
  <r>
    <x v="44"/>
    <s v="BARR"/>
    <n v="33144"/>
    <s v="NUTRESA"/>
    <s v="NUTRESA - COMERCIAL NUTRESA SAS"/>
    <d v="2021-12-21T00:00:00"/>
    <s v="COMPLETADO"/>
    <s v="RECEPCIO"/>
    <n v="1"/>
    <s v="OTROS"/>
    <m/>
    <s v="2021-12-21 21:21:02.006914"/>
    <n v="0"/>
    <n v="16004626663"/>
    <s v="SE RECIBE MATERIAL DE PROVEEDOR CREATING IDEAS CON REMISION 48867, S/N"/>
    <s v="ME"/>
    <x v="40"/>
    <s v="CRD019354"/>
    <s v="MODULAR LEGO LA ESPECIAL CAD"/>
    <s v="UND"/>
    <m/>
    <n v="7000000"/>
    <n v="7000000"/>
    <s v="0.000000"/>
    <n v="0"/>
    <n v="0"/>
    <x v="0"/>
    <s v="NUTRESA"/>
    <s v="BUEN"/>
    <m/>
    <m/>
    <m/>
    <m/>
    <s v="OGUZMAN"/>
    <s v="2021-12-21 21:22:08.154225"/>
  </r>
  <r>
    <x v="45"/>
    <s v="BARR"/>
    <n v="33144"/>
    <s v="NUTRESA"/>
    <s v="NUTRESA - COMERCIAL NUTRESA SAS"/>
    <d v="2021-12-21T00:00:00"/>
    <s v="COMPLETADO"/>
    <s v="RECEPCIO"/>
    <n v="1"/>
    <s v="OTROS"/>
    <m/>
    <s v="2021-12-21 21:21:02.006914"/>
    <n v="0"/>
    <n v="16004626663"/>
    <s v="SE RECIBE MATERIAL DE PROVEEDOR CREATING IDEAS CON REMISION 48867, S/N"/>
    <s v="ME"/>
    <x v="41"/>
    <s v="CRD019353"/>
    <s v="MODULAR LEGO TOSH CAD"/>
    <s v="UND"/>
    <m/>
    <n v="3000000"/>
    <n v="3000000"/>
    <s v="0.000000"/>
    <n v="0"/>
    <n v="0"/>
    <x v="0"/>
    <s v="NUTRESA"/>
    <s v="BUEN"/>
    <m/>
    <m/>
    <m/>
    <m/>
    <s v="OGUZMAN"/>
    <s v="2021-12-21 21:21:55.121158"/>
  </r>
  <r>
    <x v="46"/>
    <s v="BARR"/>
    <n v="33152"/>
    <s v="NUTRESA"/>
    <s v="NUTRESA - COMERCIAL NUTRESA SAS"/>
    <d v="2021-12-21T00:00:00"/>
    <s v="COMPLETADO"/>
    <s v="RECEPCIO"/>
    <n v="1"/>
    <s v="OTROS"/>
    <s v="OGUZMAN"/>
    <s v="2021-12-22 07:12:36.245441"/>
    <n v="0"/>
    <n v="14114367713"/>
    <s v="SE RECIBE MATERIAL DE PROVEEDOR INNERCIA CON REMISION"/>
    <s v="ME"/>
    <x v="42"/>
    <s v="CRD025041"/>
    <s v="EXHIBIDOR DE MOSTRADOR INFUSIONES TOSH"/>
    <s v="UND"/>
    <m/>
    <n v="35000000"/>
    <n v="35000000"/>
    <s v="0.000000"/>
    <n v="0"/>
    <n v="0"/>
    <x v="1"/>
    <s v="NUTRESA"/>
    <s v="BUEN"/>
    <m/>
    <m/>
    <m/>
    <m/>
    <s v="OGUZMAN"/>
    <s v="2021-12-21 22:11:42.76123"/>
  </r>
  <r>
    <x v="47"/>
    <s v="BGTA"/>
    <n v="63981"/>
    <s v="NUTRESA"/>
    <s v="NUTRESA - COMERCIAL NUTRESA SAS"/>
    <d v="2021-11-30T00:00:00"/>
    <s v="COMPLETADO"/>
    <s v="RECEPCIO"/>
    <n v="1"/>
    <s v="OTROS"/>
    <s v="AFANAYA"/>
    <s v="2021-11-30 15:27:28.761851"/>
    <s v="NUTRESA"/>
    <n v="21455"/>
    <s v="SE RECIBE MATERIAL DE NUTRESA PARA INGRESO A INVENTARIO SEGUN REMI-21455"/>
    <s v="MP"/>
    <x v="43"/>
    <s v="CRD024946"/>
    <s v="ESTANDARTE TV NAVIDAD CARULLA EN FAMILIA"/>
    <s v="UND"/>
    <m/>
    <n v="2000000"/>
    <n v="2000000"/>
    <s v="0.000000"/>
    <n v="0"/>
    <n v="0"/>
    <x v="0"/>
    <s v="NUTRESA"/>
    <s v="BUEN"/>
    <m/>
    <m/>
    <m/>
    <m/>
    <s v="RCASTRO"/>
    <s v="2021-11-30 11:28:45.292337"/>
  </r>
  <r>
    <x v="48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3"/>
    <s v="CRD024845"/>
    <s v="POSTAL COLCAFE GRANULADO"/>
    <s v="UND"/>
    <m/>
    <n v="500000000"/>
    <n v="500000000"/>
    <s v="0.000000"/>
    <n v="0"/>
    <n v="0"/>
    <x v="2"/>
    <s v="ALTILLANO_BPO"/>
    <s v="BUEN"/>
    <m/>
    <m/>
    <m/>
    <m/>
    <s v="RCASTRO"/>
    <s v="2021-11-30 11:54:50.920906"/>
  </r>
  <r>
    <x v="49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4"/>
    <s v="CRD024844"/>
    <s v="POSTAL COLCAFE VAINILLA"/>
    <s v="UND"/>
    <m/>
    <n v="500000000"/>
    <n v="500000000"/>
    <s v="0.000000"/>
    <n v="0"/>
    <n v="0"/>
    <x v="2"/>
    <s v="ALTILLANO_BPO"/>
    <s v="BUEN"/>
    <m/>
    <m/>
    <m/>
    <m/>
    <s v="RCASTRO"/>
    <s v="2021-11-30 11:54:01.573037"/>
  </r>
  <r>
    <x v="50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4"/>
    <s v="CRD024844"/>
    <s v="POSTAL COLCAFE VAINILLA"/>
    <s v="UND"/>
    <m/>
    <n v="1000000000"/>
    <n v="1000000000"/>
    <s v="0.000000"/>
    <n v="0"/>
    <n v="0"/>
    <x v="2"/>
    <s v="BPO"/>
    <s v="BUEN"/>
    <m/>
    <m/>
    <m/>
    <m/>
    <s v="RCASTRO"/>
    <s v="2021-11-30 11:54:10.835316"/>
  </r>
  <r>
    <x v="51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3"/>
    <s v="CRD024845"/>
    <s v="POSTAL COLCAFE GRANULADO"/>
    <s v="UND"/>
    <m/>
    <n v="3000000000"/>
    <n v="3000000000"/>
    <s v="0.000000"/>
    <n v="0"/>
    <n v="0"/>
    <x v="0"/>
    <s v="BPO"/>
    <s v="BUEN"/>
    <m/>
    <m/>
    <m/>
    <m/>
    <s v="RCASTRO"/>
    <s v="2021-11-30 11:55:14.844662"/>
  </r>
  <r>
    <x v="52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4"/>
    <s v="CRD024844"/>
    <s v="POSTAL COLCAFE VAINILLA"/>
    <s v="UND"/>
    <m/>
    <n v="3000000000"/>
    <n v="3000000000"/>
    <s v="0.000000"/>
    <n v="0"/>
    <n v="0"/>
    <x v="0"/>
    <s v="BPO"/>
    <s v="BUEN"/>
    <m/>
    <m/>
    <m/>
    <m/>
    <s v="RCASTRO"/>
    <s v="2021-11-30 11:54:23.868971"/>
  </r>
  <r>
    <x v="53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2"/>
    <s v="CRD024843"/>
    <s v="POSTAL COLCAFE CLASICO"/>
    <s v="UND"/>
    <m/>
    <n v="500000000"/>
    <n v="500000000"/>
    <s v="0.000000"/>
    <n v="0"/>
    <n v="0"/>
    <x v="2"/>
    <s v="ALTILLANO_BPO"/>
    <s v="BUEN"/>
    <m/>
    <m/>
    <m/>
    <m/>
    <s v="RCASTRO"/>
    <s v="2021-11-30 11:53:15.017853"/>
  </r>
  <r>
    <x v="54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5"/>
    <s v="CRD024842"/>
    <s v="POSTAL COLCAFE DESCAFEINADO"/>
    <s v="UND"/>
    <m/>
    <n v="3000000000"/>
    <n v="3000000000"/>
    <s v="0.000000"/>
    <n v="0"/>
    <n v="0"/>
    <x v="0"/>
    <s v="BPO"/>
    <s v="BUEN"/>
    <m/>
    <m/>
    <m/>
    <m/>
    <s v="RCASTRO"/>
    <s v="2021-11-30 11:52:53.041185"/>
  </r>
  <r>
    <x v="55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2"/>
    <s v="CRD024843"/>
    <s v="POSTAL COLCAFE CLASICO"/>
    <s v="UND"/>
    <m/>
    <n v="1000000000"/>
    <n v="1000000000"/>
    <s v="0.000000"/>
    <n v="0"/>
    <n v="0"/>
    <x v="2"/>
    <s v="BPO"/>
    <s v="BUEN"/>
    <m/>
    <m/>
    <m/>
    <m/>
    <s v="RCASTRO"/>
    <s v="2021-11-30 11:53:31.514825"/>
  </r>
  <r>
    <x v="56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5"/>
    <s v="CRD024842"/>
    <s v="POSTAL COLCAFE DESCAFEINADO"/>
    <s v="UND"/>
    <m/>
    <n v="500000000"/>
    <n v="500000000"/>
    <s v="0.000000"/>
    <n v="0"/>
    <n v="0"/>
    <x v="2"/>
    <s v="ALTILLANO_BPO"/>
    <s v="BUEN"/>
    <m/>
    <m/>
    <m/>
    <m/>
    <s v="RCASTRO"/>
    <s v="2021-11-30 11:52:15.825162"/>
  </r>
  <r>
    <x v="57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3"/>
    <s v="CRD024845"/>
    <s v="POSTAL COLCAFE GRANULADO"/>
    <s v="UND"/>
    <m/>
    <n v="1000000000"/>
    <n v="1000000000"/>
    <s v="0.000000"/>
    <n v="0"/>
    <n v="0"/>
    <x v="2"/>
    <s v="BPO"/>
    <s v="BUEN"/>
    <m/>
    <m/>
    <m/>
    <m/>
    <s v="RCASTRO"/>
    <s v="2021-11-30 11:55:02.853083"/>
  </r>
  <r>
    <x v="58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2"/>
    <s v="CRD024843"/>
    <s v="POSTAL COLCAFE CLASICO"/>
    <s v="UND"/>
    <m/>
    <n v="3000000000"/>
    <n v="3000000000"/>
    <s v="0.000000"/>
    <n v="0"/>
    <n v="0"/>
    <x v="0"/>
    <s v="BPO"/>
    <s v="BUEN"/>
    <m/>
    <m/>
    <m/>
    <m/>
    <s v="RCASTRO"/>
    <s v="2021-11-30 11:53:44.125836"/>
  </r>
  <r>
    <x v="59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5"/>
    <s v="CRD024842"/>
    <s v="POSTAL COLCAFE DESCAFEINADO"/>
    <s v="UND"/>
    <m/>
    <n v="1000000000"/>
    <n v="1000000000"/>
    <s v="0.000000"/>
    <n v="0"/>
    <n v="0"/>
    <x v="2"/>
    <s v="BPO"/>
    <s v="BUEN"/>
    <m/>
    <m/>
    <m/>
    <m/>
    <s v="RCASTRO"/>
    <s v="2021-11-30 11:52:39.565849"/>
  </r>
  <r>
    <x v="60"/>
    <s v="BGTA"/>
    <n v="63990"/>
    <s v="NUTRESA"/>
    <s v="NUTRESA - COMERCIAL NUTRESA SAS"/>
    <d v="2021-11-30T00:00:00"/>
    <s v="COMPLETADO"/>
    <s v="RECEPCIO"/>
    <n v="1"/>
    <s v="OTROS"/>
    <s v="AFANAYA"/>
    <s v="2021-11-30 15:45:48.584062"/>
    <s v="NUTRESA"/>
    <n v="12403"/>
    <s v="SE RECIBE MATERIAL DE NUTRESA PARA INGRESO A INVENTARIO SEGUN RECO-12403"/>
    <s v="ME"/>
    <x v="44"/>
    <s v="ACT000120"/>
    <s v="PUESTO DE PAGO FRONTAL SUPERETES"/>
    <s v="UND"/>
    <m/>
    <n v="1000000"/>
    <n v="1000000"/>
    <s v="0.000000"/>
    <n v="91097"/>
    <n v="0"/>
    <x v="2"/>
    <s v="NUTRESA"/>
    <s v="BAJA"/>
    <m/>
    <m/>
    <m/>
    <m/>
    <s v="RCASTRO"/>
    <s v="2021-11-30 14:36:01.508102"/>
  </r>
  <r>
    <x v="61"/>
    <s v="BGTA"/>
    <n v="64012"/>
    <s v="NUTRESA"/>
    <s v="NUTRESA - COMERCIAL NUTRESA SAS"/>
    <d v="2021-12-01T00:00:00"/>
    <s v="COMPLETADO"/>
    <s v="RECEPCIO"/>
    <n v="1"/>
    <s v="OTROS"/>
    <s v="RCASTRO"/>
    <s v="2021-12-01 15:15:30.261861"/>
    <s v="COLGATE"/>
    <n v="4587"/>
    <s v="SE RECIBE MATERIAL DE NUTRESA PARA INGRESO A INVENTARIO SEGUN REMI 4587"/>
    <s v="P"/>
    <x v="45"/>
    <s v="CRD022670"/>
    <s v="PLEGADIZA CAPSULA EXPRESS CHOCOLISTO 13.5G X 10 UDS"/>
    <s v="UND"/>
    <m/>
    <n v="220000000"/>
    <n v="220000000"/>
    <s v="0.000000"/>
    <n v="0"/>
    <s v="BOG02062022"/>
    <x v="0"/>
    <s v="BPO"/>
    <s v="BUEN"/>
    <d v="2022-02-06T00:00:00"/>
    <m/>
    <d v="2022-02-06T00:00:00"/>
    <m/>
    <s v="RCASTRO"/>
    <s v="2021-12-01 11:47:17.160499"/>
  </r>
  <r>
    <x v="62"/>
    <s v="BGTA"/>
    <n v="64012"/>
    <s v="NUTRESA"/>
    <s v="NUTRESA - COMERCIAL NUTRESA SAS"/>
    <d v="2021-12-01T00:00:00"/>
    <s v="COMPLETADO"/>
    <s v="RECEPCIO"/>
    <n v="1"/>
    <s v="OTROS"/>
    <s v="RCASTRO"/>
    <s v="2021-12-01 15:15:30.261861"/>
    <s v="COLGATE"/>
    <n v="4587"/>
    <s v="SE RECIBE MATERIAL DE NUTRESA PARA INGRESO A INVENTARIO SEGUN REMI 4587"/>
    <s v="M"/>
    <x v="46"/>
    <s v="CRD016151"/>
    <s v="DISPENSADOR DE CAPSULAS EXPRESS NUTRESA"/>
    <s v="UND"/>
    <m/>
    <n v="220000000"/>
    <n v="220000000"/>
    <s v="0.000000"/>
    <n v="0"/>
    <n v="0"/>
    <x v="0"/>
    <s v="BPO"/>
    <s v="BUEN"/>
    <m/>
    <m/>
    <m/>
    <m/>
    <s v="RCASTRO"/>
    <s v="2021-12-01 11:45:21.694754"/>
  </r>
  <r>
    <x v="63"/>
    <s v="BGTA"/>
    <n v="64012"/>
    <s v="NUTRESA"/>
    <s v="NUTRESA - COMERCIAL NUTRESA SAS"/>
    <d v="2021-12-01T00:00:00"/>
    <s v="COMPLETADO"/>
    <s v="RECEPCIO"/>
    <n v="1"/>
    <s v="OTROS"/>
    <s v="RCASTRO"/>
    <s v="2021-12-01 15:15:30.261861"/>
    <s v="COLGATE"/>
    <n v="4587"/>
    <s v="SE RECIBE MATERIAL DE NUTRESA PARA INGRESO A INVENTARIO SEGUN REMI 4587"/>
    <s v="P"/>
    <x v="47"/>
    <s v="CRD014117"/>
    <s v="PLEGADIZA SELLO ROJO CPE"/>
    <s v="UND"/>
    <m/>
    <n v="220000000"/>
    <n v="220000000"/>
    <s v="0.000000"/>
    <n v="0"/>
    <s v="BOG02062022"/>
    <x v="0"/>
    <s v="BPO"/>
    <s v="BUEN"/>
    <d v="2022-02-06T00:00:00"/>
    <m/>
    <d v="2022-02-06T00:00:00"/>
    <m/>
    <s v="RCASTRO"/>
    <s v="2021-12-01 11:45:01.840222"/>
  </r>
  <r>
    <x v="64"/>
    <s v="BGTA"/>
    <n v="64065"/>
    <s v="NUTRESA"/>
    <s v="NUTRESA - COMERCIAL NUTRESA SAS"/>
    <d v="2021-12-02T00:00:00"/>
    <s v="COMPLETADO"/>
    <s v="RECEPCIO"/>
    <n v="1"/>
    <s v="OTROS"/>
    <s v="RCASTRO"/>
    <s v="2021-12-02 12:41:15.30052"/>
    <s v="NUTRESA"/>
    <n v="30645"/>
    <s v="SE RECIBE MATERIAL DE NUTRESA PARA INGRESO A INVENTARIO SEGUN REMI-30645"/>
    <s v="MP"/>
    <x v="8"/>
    <s v="CRD025003"/>
    <s v="BOLSA CEN"/>
    <s v="UND"/>
    <m/>
    <n v="220000000"/>
    <n v="220000000"/>
    <s v="0.000000"/>
    <n v="0"/>
    <n v="0"/>
    <x v="0"/>
    <s v="BPO"/>
    <s v="BUEN"/>
    <m/>
    <m/>
    <m/>
    <m/>
    <s v="RCASTRO"/>
    <s v="2021-12-02 11:37:59.396574"/>
  </r>
  <r>
    <x v="65"/>
    <s v="BGTA"/>
    <n v="64071"/>
    <s v="NUTRESA"/>
    <s v="NUTRESA - COMERCIAL NUTRESA SAS"/>
    <d v="2021-12-03T00:00:00"/>
    <s v="COMPLETADO"/>
    <s v="RECEPCIO"/>
    <n v="1"/>
    <s v="OTROS"/>
    <s v="AFANAYA"/>
    <s v="2021-12-03 09:34:18.032823"/>
    <s v="NUTRESA"/>
    <s v="REMI-34850"/>
    <s v="SE RECIBE MATERIAL DE NUTRESA PARA SU INGRESO A INVENTARIO SEGUN REMI-34850"/>
    <s v="P"/>
    <x v="48"/>
    <s v="CRD024981"/>
    <s v="PLEGADIZA WAFER SURTIDA SIN AZUCAR"/>
    <s v="UND"/>
    <m/>
    <n v="275000000"/>
    <n v="275000000"/>
    <s v="0.000000"/>
    <n v="0"/>
    <s v="BOG06082022"/>
    <x v="2"/>
    <s v="NUTRESA"/>
    <s v="BUEN"/>
    <d v="2022-06-08T00:00:00"/>
    <m/>
    <d v="2022-06-08T00:00:00"/>
    <m/>
    <s v="FRODRIGUEZ"/>
    <s v="2021-12-03 06:33:47.84983"/>
  </r>
  <r>
    <x v="66"/>
    <s v="BGTA"/>
    <n v="64072"/>
    <s v="NUTRESA"/>
    <s v="NUTRESA - COMERCIAL NUTRESA SAS"/>
    <d v="2021-12-03T00:00:00"/>
    <s v="COMPLETADO"/>
    <s v="RECEPCIO"/>
    <n v="1"/>
    <s v="OTROS"/>
    <s v="AFANAYA"/>
    <s v="2021-12-03 09:35:10.648957"/>
    <s v="NUTRESA"/>
    <s v="REMI-34851"/>
    <s v="SE RECIBE MATERIAL DE NUTRESA PARA SU INGRESO A INVENTARIO SEGUN REMI-34851"/>
    <s v="P"/>
    <x v="48"/>
    <s v="CRD024981"/>
    <s v="PLEGADIZA WAFER SURTIDA SIN AZUCAR"/>
    <s v="UND"/>
    <m/>
    <n v="67000000"/>
    <n v="67000000"/>
    <s v="0.000000"/>
    <n v="0"/>
    <s v="BOG06082022"/>
    <x v="2"/>
    <s v="ALTILLANO"/>
    <s v="BUEN"/>
    <d v="2022-06-08T00:00:00"/>
    <m/>
    <d v="2022-06-08T00:00:00"/>
    <m/>
    <s v="FRODRIGUEZ"/>
    <s v="2021-12-03 06:44:17.511862"/>
  </r>
  <r>
    <x v="67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49"/>
    <s v="CRD012726"/>
    <s v="TORNILLO DORIA CLASICA X 250G"/>
    <s v="UND"/>
    <m/>
    <n v="4000000"/>
    <n v="4000000"/>
    <s v="0.000000"/>
    <n v="0"/>
    <s v="BOG05082023"/>
    <x v="0"/>
    <s v="NUTRESA"/>
    <s v="BUEN"/>
    <d v="2023-05-08T00:00:00"/>
    <m/>
    <d v="2023-05-08T00:00:00"/>
    <m/>
    <s v="FRODRIGUEZ"/>
    <s v="2021-12-03 07:36:13.933537"/>
  </r>
  <r>
    <x v="68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0"/>
    <s v="CRD012721"/>
    <s v="TRADE GTA. DUX INTEGRAL BS. 9X3"/>
    <s v="PAQ"/>
    <m/>
    <n v="4000000"/>
    <n v="4000000"/>
    <s v="0.000000"/>
    <n v="0"/>
    <s v="BOG07132022"/>
    <x v="0"/>
    <s v="NUTRESA"/>
    <s v="BUEN"/>
    <d v="2022-07-13T00:00:00"/>
    <m/>
    <d v="2022-07-13T00:00:00"/>
    <m/>
    <s v="FRODRIGUEZ"/>
    <s v="2021-12-03 07:31:12.20041"/>
  </r>
  <r>
    <x v="69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1"/>
    <s v="CRD012719"/>
    <s v="TRADE GTA. DUCALES TC. X2"/>
    <s v="UND"/>
    <m/>
    <n v="4000000"/>
    <n v="4000000"/>
    <s v="0.000000"/>
    <n v="0"/>
    <s v="BOG07242022"/>
    <x v="0"/>
    <s v="NUTRESA"/>
    <s v="BUEN"/>
    <d v="2022-07-24T00:00:00"/>
    <m/>
    <d v="2022-07-24T00:00:00"/>
    <m/>
    <s v="FRODRIGUEZ"/>
    <s v="2021-12-03 07:30:35.21705"/>
  </r>
  <r>
    <x v="70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2"/>
    <s v="CRD002384"/>
    <s v="1001568 GTA SALTIN NOEL TC X 3"/>
    <s v="UND"/>
    <m/>
    <n v="4000000"/>
    <n v="4000000"/>
    <s v="0.000000"/>
    <n v="0"/>
    <s v="BOG08142022"/>
    <x v="0"/>
    <s v="NUTRESA"/>
    <s v="BUEN"/>
    <d v="2022-08-14T00:00:00"/>
    <m/>
    <d v="2022-08-14T00:00:00"/>
    <m/>
    <s v="FRODRIGUEZ"/>
    <s v="2021-12-03 07:29:19.955209"/>
  </r>
  <r>
    <x v="71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3"/>
    <s v="CRD001185"/>
    <s v="CHOCOLATINA JET BJA X 12 UND X 144 G"/>
    <s v="PAQ"/>
    <m/>
    <n v="4000000"/>
    <n v="4000000"/>
    <s v="0.000000"/>
    <n v="0"/>
    <s v="BOG11022022"/>
    <x v="0"/>
    <s v="NUTRESA"/>
    <s v="BUEN"/>
    <d v="2022-11-02T00:00:00"/>
    <m/>
    <d v="2022-11-02T00:00:00"/>
    <m/>
    <s v="FRODRIGUEZ"/>
    <s v="2021-12-03 07:28:34.198725"/>
  </r>
  <r>
    <x v="72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4"/>
    <s v="CRD021829"/>
    <s v="MAIZ DULCE ZENU X 241 G"/>
    <s v="UND"/>
    <m/>
    <n v="3000000"/>
    <n v="3000000"/>
    <s v="0.000000"/>
    <n v="0"/>
    <s v="BOG09202024"/>
    <x v="0"/>
    <s v="NUTRESA"/>
    <s v="BUEN"/>
    <d v="2024-09-20T00:00:00"/>
    <m/>
    <d v="2024-09-20T00:00:00"/>
    <m/>
    <s v="FRODRIGUEZ"/>
    <s v="2021-12-03 07:37:01.356683"/>
  </r>
  <r>
    <x v="73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5"/>
    <s v="CRD012466"/>
    <s v="COLCAFE CLASICO X 50 GR"/>
    <s v="UND"/>
    <m/>
    <n v="4000000"/>
    <n v="4000000"/>
    <s v="0.000000"/>
    <n v="0"/>
    <s v="BOG11112023"/>
    <x v="0"/>
    <s v="NUTRESA"/>
    <s v="BUEN"/>
    <d v="2023-11-11T00:00:00"/>
    <m/>
    <d v="2023-11-11T00:00:00"/>
    <m/>
    <s v="FRODRIGUEZ"/>
    <s v="2021-12-03 07:29:53.285"/>
  </r>
  <r>
    <x v="74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6"/>
    <s v="CRD023444"/>
    <s v="MANI KRAKS LA ESPECIAL DOYPACK X140G"/>
    <s v="UND"/>
    <m/>
    <n v="4000000"/>
    <n v="4000000"/>
    <s v="0.000000"/>
    <n v="0"/>
    <s v="BOG11232022"/>
    <x v="0"/>
    <s v="NUTRESA"/>
    <s v="BUEN"/>
    <d v="2022-11-23T00:00:00"/>
    <m/>
    <d v="2022-11-23T00:00:00"/>
    <m/>
    <s v="FRODRIGUEZ"/>
    <s v="2021-12-03 07:37:59.040838"/>
  </r>
  <r>
    <x v="75"/>
    <s v="BGTA"/>
    <n v="64089"/>
    <s v="NUTRESA"/>
    <s v="NUTRESA - COMERCIAL NUTRESA SAS"/>
    <d v="2021-12-03T00:00:00"/>
    <s v="COMPLETADO"/>
    <s v="RECEPCIO"/>
    <n v="1"/>
    <s v="OTROS"/>
    <s v="RCASTRO"/>
    <s v="2021-12-04 13:21:05.504301"/>
    <s v="NUTRESA"/>
    <n v="2852"/>
    <s v="SE RECIBE MATERIAL DE NUTRESA PARA INGRESO A INVENTARIO SEGUN REMI-2852"/>
    <s v="MP"/>
    <x v="11"/>
    <s v="CRD025017"/>
    <s v="NUEVO FRONTAL CARULLA MATIZ TENTACION"/>
    <s v="UND"/>
    <m/>
    <n v="10000000"/>
    <n v="10000000"/>
    <s v="0.000000"/>
    <n v="0"/>
    <n v="0"/>
    <x v="0"/>
    <s v="NUTRESA"/>
    <s v="BUEN"/>
    <m/>
    <m/>
    <m/>
    <m/>
    <s v="RCASTRO"/>
    <s v="2021-12-03 11:42:39.572424"/>
  </r>
  <r>
    <x v="76"/>
    <s v="BGTA"/>
    <n v="64091"/>
    <s v="NUTRESA"/>
    <s v="NUTRESA - COMERCIAL NUTRESA SAS"/>
    <d v="2021-12-03T00:00:00"/>
    <s v="COMPLETADO"/>
    <s v="RECEPCIO"/>
    <n v="1"/>
    <s v="OTROS"/>
    <s v="RCASTRO"/>
    <s v="2021-12-04 13:22:50.235164"/>
    <s v="NUTRESA"/>
    <s v="OC-4502198002"/>
    <s v="SE RECIBE MATERIAL DE NUTRESA PROVEEDOR PLASTIPACK S.A CON REMISION-83136, SIN NOVEDAD"/>
    <s v="M"/>
    <x v="7"/>
    <s v="CRD024849"/>
    <s v="BOLSA TROQUELADA PIGMENTADA IMPRESA - BOLSA NAVIDAD"/>
    <s v="UND"/>
    <m/>
    <n v="35000000000"/>
    <n v="35000000000"/>
    <s v="0.000000"/>
    <n v="0"/>
    <n v="0"/>
    <x v="2"/>
    <s v="NUTRESA"/>
    <s v="BUEN"/>
    <m/>
    <m/>
    <m/>
    <m/>
    <s v="JZAMBRANO"/>
    <s v="2021-12-03 11:49:57.813911"/>
  </r>
  <r>
    <x v="76"/>
    <s v="BGTA"/>
    <n v="64092"/>
    <s v="NUTRESA"/>
    <s v="NUTRESA - COMERCIAL NUTRESA SAS"/>
    <d v="2021-12-03T00:00:00"/>
    <s v="COMPLETADO"/>
    <s v="RECEPCIO"/>
    <n v="1"/>
    <s v="OTROS"/>
    <s v="RCASTRO"/>
    <s v="2021-12-04 13:22:13.04903"/>
    <s v="NUTRESA"/>
    <s v="OC-4502198002"/>
    <s v="SE RECIBE MATERIAL DE NUTRESA PROVEEDOR PLASTIPACK S.A CON REMISION-83137, SIN NOVEDAD"/>
    <s v="M"/>
    <x v="7"/>
    <s v="CRD024849"/>
    <s v="BOLSA TROQUELADA PIGMENTADA IMPRESA - BOLSA NAVIDAD"/>
    <s v="UND"/>
    <m/>
    <n v="15000000000"/>
    <n v="15000000000"/>
    <s v="0.000000"/>
    <n v="0"/>
    <n v="0"/>
    <x v="2"/>
    <s v="NUTRESA"/>
    <s v="BUEN"/>
    <m/>
    <m/>
    <m/>
    <m/>
    <s v="JZAMBRANO"/>
    <s v="2021-12-03 12:00:32.876474"/>
  </r>
  <r>
    <x v="77"/>
    <s v="BGTA"/>
    <n v="64112"/>
    <s v="NUTRESA"/>
    <s v="NUTRESA - COMERCIAL NUTRESA SAS"/>
    <d v="2021-12-04T00:00:00"/>
    <s v="COMPLETADO"/>
    <s v="RECEPCIO"/>
    <n v="1"/>
    <s v="OTROS"/>
    <s v="RCASTRO"/>
    <s v="2021-12-04 12:19:29.632738"/>
    <s v="NUTRESA"/>
    <s v="REMI-4849"/>
    <s v="SE RECIBE MATERIAL DE NUTRESA PARA SU INGRESO A INVENTARIO SEGUN REMI-4849"/>
    <s v="P"/>
    <x v="57"/>
    <s v="CRD025007"/>
    <s v="GTA. NAVIDAD MEGA SURTIDA SALADA 780G"/>
    <s v="UND"/>
    <m/>
    <n v="68000000"/>
    <n v="68000000"/>
    <s v="0.000000"/>
    <n v="0"/>
    <s v="BOG04172022"/>
    <x v="0"/>
    <s v="NUTRESA"/>
    <s v="BUEN"/>
    <d v="2022-04-17T00:00:00"/>
    <m/>
    <d v="2022-04-17T00:00:00"/>
    <m/>
    <s v="FRODRIGUEZ"/>
    <s v="2021-12-04 11:01:04.435447"/>
  </r>
  <r>
    <x v="78"/>
    <s v="BGTA"/>
    <n v="64143"/>
    <s v="NUTRESA"/>
    <s v="NUTRESA - COMERCIAL NUTRESA SAS"/>
    <d v="2021-12-06T00:00:00"/>
    <s v="COMPLETADO"/>
    <s v="RECEPCIO"/>
    <n v="1"/>
    <s v="OTROS"/>
    <s v="AFANAYA"/>
    <s v="2021-12-06 17:07:55.399984"/>
    <s v="NUTRESA"/>
    <n v="9914"/>
    <s v="SE RECIBE MATERIAL DE NUTRESA PARA INGRESO A INVENTARIO SEGUN REMI-9914"/>
    <s v="M"/>
    <x v="58"/>
    <s v="CRD024830"/>
    <s v="SANDUCHERA KALLEY K-SM101. ACTIVIDAD MILLONES POR MONTONES"/>
    <s v="UND"/>
    <m/>
    <n v="2000000"/>
    <n v="2000000"/>
    <s v="0.000000"/>
    <n v="0"/>
    <n v="0"/>
    <x v="2"/>
    <s v="NUTRESA"/>
    <s v="BUEN"/>
    <m/>
    <m/>
    <m/>
    <m/>
    <s v="RCASTRO"/>
    <s v="2021-12-06 13:38:12.458248"/>
  </r>
  <r>
    <x v="79"/>
    <s v="BGTA"/>
    <n v="64189"/>
    <s v="NUTRESA"/>
    <s v="NUTRESA - COMERCIAL NUTRESA SAS"/>
    <d v="2021-12-07T00:00:00"/>
    <s v="COMPLETADO"/>
    <s v="RECEPCIO"/>
    <n v="1"/>
    <s v="OTROS"/>
    <s v="AFANAYA"/>
    <s v="2021-12-07 16:38:56.440116"/>
    <s v="NUTRESA"/>
    <n v="286111"/>
    <s v="SE RECIBE MATERIAL DE NUTRESA PARA INGRESOA INVENTARIO SEGUN DES-286111"/>
    <s v="MP"/>
    <x v="59"/>
    <s v="CRD024126"/>
    <s v="COLOMBINA PREMIUMNAVIDAD NOEL 2021"/>
    <s v="UND"/>
    <m/>
    <n v="1000000"/>
    <n v="1000000"/>
    <s v="0.000000"/>
    <n v="0"/>
    <n v="0"/>
    <x v="2"/>
    <s v="NUTRESA"/>
    <s v="BUEN"/>
    <m/>
    <m/>
    <m/>
    <m/>
    <s v="RCASTRO"/>
    <s v="2021-12-07 12:19:55.053448"/>
  </r>
  <r>
    <x v="80"/>
    <s v="BGTA"/>
    <n v="64198"/>
    <s v="NUTRESA"/>
    <s v="NUTRESA - COMERCIAL NUTRESA SAS"/>
    <d v="2021-12-07T00:00:00"/>
    <s v="COMPLETADO"/>
    <s v="RECEPCIO"/>
    <n v="1"/>
    <s v="OTROS"/>
    <s v="AFANAYA"/>
    <s v="2021-12-09 12:18:02.546856"/>
    <s v="NUTRESA"/>
    <n v="32278"/>
    <s v="SE RECIBE MATERIAL DE NUTRESA PARA INGRESO A INVENTARIO SEGUN REMI32278"/>
    <s v="MP"/>
    <x v="16"/>
    <s v="CRD025004"/>
    <s v="AYUDAVENTAS TACO DIA MIEL"/>
    <s v="UND"/>
    <m/>
    <n v="130000000"/>
    <n v="130000000"/>
    <s v="0.000000"/>
    <n v="0"/>
    <n v="0"/>
    <x v="1"/>
    <s v="NUTRESA"/>
    <s v="BUEN"/>
    <m/>
    <m/>
    <m/>
    <m/>
    <s v="RCASTRO"/>
    <s v="2021-12-07 16:21:24.940062"/>
  </r>
  <r>
    <x v="81"/>
    <s v="BGTA"/>
    <n v="64199"/>
    <s v="NUTRESA"/>
    <s v="NUTRESA - COMERCIAL NUTRESA SAS"/>
    <d v="2021-12-07T00:00:00"/>
    <s v="COMPLETADO"/>
    <s v="RECEPCIO"/>
    <n v="1"/>
    <s v="OTROS"/>
    <s v="AFANAYA"/>
    <s v="2021-12-09 12:18:19.27758"/>
    <s v="NUTRESA"/>
    <n v="32276"/>
    <s v="SE RECIBE MATERIAL DE NUTRESA PARA INGRESO A INVENTARIO SEGUN REMI32276"/>
    <s v="MP"/>
    <x v="16"/>
    <s v="CRD025004"/>
    <s v="AYUDAVENTAS TACO DIA MIEL"/>
    <s v="UND"/>
    <m/>
    <n v="122000000"/>
    <n v="122000000"/>
    <s v="0.000000"/>
    <n v="0"/>
    <n v="0"/>
    <x v="1"/>
    <s v="ALTILLANO"/>
    <s v="BUEN"/>
    <m/>
    <m/>
    <m/>
    <m/>
    <s v="RCASTRO"/>
    <s v="2021-12-07 16:23:35.217639"/>
  </r>
  <r>
    <x v="80"/>
    <s v="BGTA"/>
    <n v="64200"/>
    <s v="NUTRESA"/>
    <s v="NUTRESA - COMERCIAL NUTRESA SAS"/>
    <d v="2021-12-07T00:00:00"/>
    <s v="COMPLETADO"/>
    <s v="RECEPCIO"/>
    <n v="1"/>
    <s v="OTROS"/>
    <s v="AFANAYA"/>
    <s v="2021-12-09 12:18:32.962182"/>
    <s v="NUTRESA"/>
    <n v="32277"/>
    <s v="SE RECIBE MATERIAL DE NUTRESA PARA INGRESO A INVENTARIO SEGUN REMI32277"/>
    <s v="MP"/>
    <x v="16"/>
    <s v="CRD025004"/>
    <s v="AYUDAVENTAS TACO DIA MIEL"/>
    <s v="UND"/>
    <m/>
    <n v="23000000"/>
    <n v="23000000"/>
    <s v="0.000000"/>
    <n v="0"/>
    <n v="0"/>
    <x v="1"/>
    <s v="NUTRESA"/>
    <s v="BUEN"/>
    <m/>
    <m/>
    <m/>
    <m/>
    <s v="RCASTRO"/>
    <s v="2021-12-07 16:26:50.279739"/>
  </r>
  <r>
    <x v="82"/>
    <s v="BGTA"/>
    <n v="64207"/>
    <s v="NUTRESA"/>
    <s v="NUTRESA - COMERCIAL NUTRESA SAS"/>
    <d v="2021-12-09T00:00:00"/>
    <s v="COMPLETADO"/>
    <s v="RECEPCIO"/>
    <n v="1"/>
    <s v="OTROS"/>
    <s v="AFANAYA"/>
    <s v="2021-12-09 17:20:58.161135"/>
    <s v="NUTRESA"/>
    <n v="2949"/>
    <s v="SE RECIBE MATERIAL DE NUTRESA PARA INGRESO A INVENTARIO SEGUN REMI-2949"/>
    <s v="ME"/>
    <x v="25"/>
    <s v="CRD024971"/>
    <s v="EXHIBIDOR ENLATADOS TIENDAS"/>
    <s v="UND"/>
    <m/>
    <n v="143000000"/>
    <n v="143000000"/>
    <s v="0.000000"/>
    <n v="0"/>
    <n v="0"/>
    <x v="1"/>
    <s v="ALTILLANO"/>
    <s v="BUEN"/>
    <m/>
    <m/>
    <m/>
    <m/>
    <s v="RCASTRO"/>
    <s v="2021-12-09 10:45:55.428277"/>
  </r>
  <r>
    <x v="83"/>
    <s v="BGTA"/>
    <n v="64208"/>
    <s v="NUTRESA"/>
    <s v="NUTRESA - COMERCIAL NUTRESA SAS"/>
    <d v="2021-12-09T00:00:00"/>
    <s v="COMPLETADO"/>
    <s v="RECEPCIO"/>
    <n v="1"/>
    <s v="OTROS"/>
    <s v="AFANAYA"/>
    <s v="2021-12-09 17:20:32.370633"/>
    <s v="NUTRESA"/>
    <n v="4971"/>
    <s v="SE RECIBE MATERIAL DE NUTRESA PARA INGRESO A INVENTARIO SEGUN REMI-4971"/>
    <s v="ME"/>
    <x v="25"/>
    <s v="CRD024971"/>
    <s v="EXHIBIDOR ENLATADOS TIENDAS"/>
    <s v="UND"/>
    <m/>
    <n v="2914000000"/>
    <n v="2914000000"/>
    <s v="0.000000"/>
    <n v="0"/>
    <n v="0"/>
    <x v="1"/>
    <s v="NUTRESA"/>
    <s v="BUEN"/>
    <m/>
    <m/>
    <m/>
    <m/>
    <s v="RCASTRO"/>
    <s v="2021-12-09 10:50:04.228667"/>
  </r>
  <r>
    <x v="84"/>
    <s v="BGTA"/>
    <n v="64270"/>
    <s v="NUTRESA"/>
    <s v="NUTRESA - COMERCIAL NUTRESA SAS"/>
    <d v="2021-12-11T00:00:00"/>
    <s v="COMPLETADO"/>
    <s v="RECEPCIO"/>
    <n v="1"/>
    <s v="OTROS"/>
    <s v="AFANAYA"/>
    <s v="2021-12-11 12:56:35.196149"/>
    <s v="NUTRESA"/>
    <s v="LNA1205247"/>
    <s v="SE RECIBE MATERIAL DE NUTRESA PARA SU INGRESO A INVENTARIO SEGUN LNA1205247"/>
    <s v="M"/>
    <x v="60"/>
    <s v="CRD018765"/>
    <s v="SET SARTEN 18 Y 20 CMS UNIVERSAL"/>
    <s v="UND"/>
    <s v="CRD018765"/>
    <n v="400000000"/>
    <n v="400000000"/>
    <s v="0.000000"/>
    <n v="0"/>
    <n v="0"/>
    <x v="0"/>
    <s v="BPO"/>
    <s v="BUEN"/>
    <m/>
    <m/>
    <m/>
    <m/>
    <s v="FRODRIGUEZ"/>
    <s v="2021-12-11 10:55:30.256177"/>
  </r>
  <r>
    <x v="85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20"/>
    <s v="CRD025009"/>
    <s v="CHISPA CAPPUCCINOS MAS BENEFICIOS"/>
    <s v="UND"/>
    <m/>
    <n v="2600000000"/>
    <n v="2600000000"/>
    <s v="0.000000"/>
    <n v="0"/>
    <n v="0"/>
    <x v="1"/>
    <s v="NUTRESA"/>
    <s v="BUEN"/>
    <m/>
    <m/>
    <m/>
    <m/>
    <s v="RCASTRO"/>
    <s v="2021-12-13 12:26:35.165929"/>
  </r>
  <r>
    <x v="86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21"/>
    <s v="CRD025010"/>
    <s v="AFICHE CAPPUCCINOS MAS BENEFICIOS"/>
    <s v="UND"/>
    <m/>
    <n v="1500000000"/>
    <n v="1500000000"/>
    <s v="0.000000"/>
    <n v="0"/>
    <n v="0"/>
    <x v="1"/>
    <s v="NUTRESA"/>
    <s v="BUEN"/>
    <m/>
    <m/>
    <m/>
    <m/>
    <s v="RCASTRO"/>
    <s v="2021-12-13 12:26:56.228056"/>
  </r>
  <r>
    <x v="87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21"/>
    <s v="CRD025010"/>
    <s v="AFICHE CAPPUCCINOS MAS BENEFICIOS"/>
    <s v="UND"/>
    <m/>
    <n v="800000000"/>
    <n v="800000000"/>
    <s v="0.000000"/>
    <n v="0"/>
    <n v="0"/>
    <x v="1"/>
    <s v="ALTILLANO"/>
    <s v="BUEN"/>
    <m/>
    <m/>
    <m/>
    <m/>
    <s v="RCASTRO"/>
    <s v="2021-12-13 12:27:03.21046"/>
  </r>
  <r>
    <x v="88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19"/>
    <s v="CRD025008"/>
    <s v="MOVIL CAPPUCCINOS MAS BENEFICIOS"/>
    <s v="UND"/>
    <m/>
    <n v="3900000000"/>
    <n v="3900000000"/>
    <s v="0.000000"/>
    <n v="0"/>
    <n v="0"/>
    <x v="1"/>
    <s v="NUTRESA"/>
    <s v="BUEN"/>
    <m/>
    <m/>
    <m/>
    <m/>
    <s v="RCASTRO"/>
    <s v="2021-12-13 12:26:18.591535"/>
  </r>
  <r>
    <x v="89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20"/>
    <s v="CRD025009"/>
    <s v="CHISPA CAPPUCCINOS MAS BENEFICIOS"/>
    <s v="UND"/>
    <m/>
    <n v="400000000"/>
    <n v="400000000"/>
    <s v="0.000000"/>
    <n v="0"/>
    <n v="0"/>
    <x v="1"/>
    <s v="ALTILLANO"/>
    <s v="BUEN"/>
    <m/>
    <m/>
    <m/>
    <m/>
    <s v="RCASTRO"/>
    <s v="2021-12-13 12:26:41.607533"/>
  </r>
  <r>
    <x v="90"/>
    <s v="BGTA"/>
    <n v="64286"/>
    <s v="NUTRESA"/>
    <s v="NUTRESA - COMERCIAL NUTRESA SAS"/>
    <d v="2021-12-13T00:00:00"/>
    <s v="COMPLETADO"/>
    <s v="RECEPCIO"/>
    <n v="1"/>
    <s v="OTROS"/>
    <s v="AFANAYA"/>
    <s v="2021-12-13 18:01:18.628152"/>
    <s v="NUTRESA"/>
    <n v="23779"/>
    <s v="SE RECIBE MATERIAL DE NUTRESA PARA INGRESO A INVENTARIO SEGUN REMI-23779"/>
    <s v="MP"/>
    <x v="18"/>
    <s v="CRD025002"/>
    <s v="CHISPA DOYPACK 3 EN1"/>
    <s v="UND"/>
    <m/>
    <n v="150000000"/>
    <n v="150000000"/>
    <s v="0.000000"/>
    <n v="0"/>
    <n v="0"/>
    <x v="2"/>
    <s v="NUTRESA"/>
    <s v="BUEN"/>
    <m/>
    <m/>
    <m/>
    <m/>
    <s v="RCASTRO"/>
    <s v="2021-12-13 12:29:53.445555"/>
  </r>
  <r>
    <x v="91"/>
    <s v="BGTA"/>
    <n v="64286"/>
    <s v="NUTRESA"/>
    <s v="NUTRESA - COMERCIAL NUTRESA SAS"/>
    <d v="2021-12-13T00:00:00"/>
    <s v="COMPLETADO"/>
    <s v="RECEPCIO"/>
    <n v="1"/>
    <s v="OTROS"/>
    <s v="AFANAYA"/>
    <s v="2021-12-13 18:01:18.628152"/>
    <s v="NUTRESA"/>
    <n v="23779"/>
    <s v="SE RECIBE MATERIAL DE NUTRESA PARA INGRESO A INVENTARIO SEGUN REMI-23779"/>
    <s v="MP"/>
    <x v="17"/>
    <s v="CRD025001"/>
    <s v="CHISPA DOYPACK CAPPUCCINO"/>
    <s v="UND"/>
    <m/>
    <n v="150000000"/>
    <n v="150000000"/>
    <s v="0.000000"/>
    <n v="0"/>
    <n v="0"/>
    <x v="2"/>
    <s v="NUTRESA"/>
    <s v="BUEN"/>
    <m/>
    <m/>
    <m/>
    <m/>
    <s v="RCASTRO"/>
    <s v="2021-12-13 12:29:38.737628"/>
  </r>
  <r>
    <x v="92"/>
    <s v="BGTA"/>
    <n v="64286"/>
    <s v="NUTRESA"/>
    <s v="NUTRESA - COMERCIAL NUTRESA SAS"/>
    <d v="2021-12-13T00:00:00"/>
    <s v="COMPLETADO"/>
    <s v="RECEPCIO"/>
    <n v="1"/>
    <s v="OTROS"/>
    <s v="AFANAYA"/>
    <s v="2021-12-13 18:01:18.628152"/>
    <s v="NUTRESA"/>
    <n v="23779"/>
    <s v="SE RECIBE MATERIAL DE NUTRESA PARA INGRESO A INVENTARIO SEGUN REMI-23779"/>
    <s v="MP"/>
    <x v="17"/>
    <s v="CRD025001"/>
    <s v="CHISPA DOYPACK CAPPUCCINO"/>
    <s v="UND"/>
    <m/>
    <n v="150000000"/>
    <n v="150000000"/>
    <s v="0.000000"/>
    <n v="0"/>
    <n v="0"/>
    <x v="2"/>
    <s v="ALTILLANO"/>
    <s v="BUEN"/>
    <m/>
    <m/>
    <m/>
    <m/>
    <s v="RCASTRO"/>
    <s v="2021-12-13 12:29:44.745308"/>
  </r>
  <r>
    <x v="93"/>
    <s v="BGTA"/>
    <n v="64286"/>
    <s v="NUTRESA"/>
    <s v="NUTRESA - COMERCIAL NUTRESA SAS"/>
    <d v="2021-12-13T00:00:00"/>
    <s v="COMPLETADO"/>
    <s v="RECEPCIO"/>
    <n v="1"/>
    <s v="OTROS"/>
    <s v="AFANAYA"/>
    <s v="2021-12-13 18:01:18.628152"/>
    <s v="NUTRESA"/>
    <n v="23779"/>
    <s v="SE RECIBE MATERIAL DE NUTRESA PARA INGRESO A INVENTARIO SEGUN REMI-23779"/>
    <s v="MP"/>
    <x v="18"/>
    <s v="CRD025002"/>
    <s v="CHISPA DOYPACK 3 EN1"/>
    <s v="UND"/>
    <m/>
    <n v="150000000"/>
    <n v="150000000"/>
    <s v="0.000000"/>
    <n v="0"/>
    <n v="0"/>
    <x v="2"/>
    <s v="ALTILLANO"/>
    <s v="BUEN"/>
    <m/>
    <m/>
    <m/>
    <m/>
    <s v="RCASTRO"/>
    <s v="2021-12-13 12:29:58.62799"/>
  </r>
  <r>
    <x v="94"/>
    <s v="BGTA"/>
    <n v="64294"/>
    <s v="NUTRESA"/>
    <s v="NUTRESA - COMERCIAL NUTRESA SAS"/>
    <d v="2021-12-13T00:00:00"/>
    <s v="COMPLETADO"/>
    <s v="RECEPCIO"/>
    <n v="1"/>
    <s v="OTROS"/>
    <s v="AFANAYA"/>
    <s v="2021-12-14 12:57:14.612316"/>
    <s v="NUTRESA"/>
    <n v="21493"/>
    <s v="SE RECIBE MATERIAL DE NUTRESA PARA INGRESO A INVENTARIO SEGUN REMI-21493"/>
    <s v="MP"/>
    <x v="61"/>
    <s v="CRD024945"/>
    <s v="FRONTAL NAVIDAD CARULLA EN FAMILIA"/>
    <s v="UND"/>
    <m/>
    <n v="3000000"/>
    <n v="3000000"/>
    <s v="0.000000"/>
    <n v="0"/>
    <n v="0"/>
    <x v="0"/>
    <s v="NUTRESA"/>
    <s v="BUEN"/>
    <m/>
    <m/>
    <m/>
    <m/>
    <s v="RCASTRO"/>
    <s v="2021-12-13 16:24:26.562112"/>
  </r>
  <r>
    <x v="95"/>
    <s v="BGTA"/>
    <n v="64295"/>
    <s v="NUTRESA"/>
    <s v="NUTRESA - COMERCIAL NUTRESA SAS"/>
    <d v="2021-12-13T00:00:00"/>
    <s v="COMPLETADO"/>
    <s v="RECEPCIO"/>
    <n v="1"/>
    <s v="OTROS"/>
    <s v="AFANAYA"/>
    <s v="2021-12-14 12:56:47.319457"/>
    <s v="NUTRESA"/>
    <n v="21495"/>
    <s v="SE RECIBE MATERIAL DE NUTRESA PARA INGRESO A INVENTARIO SEGUN REMI-21495"/>
    <s v="MP"/>
    <x v="62"/>
    <s v="CRD024353"/>
    <s v="ARBOL EXITO NAVIDAD NOEL 2021"/>
    <s v="UND"/>
    <m/>
    <n v="4000000"/>
    <n v="4000000"/>
    <s v="0.000000"/>
    <n v="0"/>
    <n v="0"/>
    <x v="0"/>
    <s v="NUTRESA"/>
    <s v="BUEN"/>
    <m/>
    <m/>
    <m/>
    <m/>
    <s v="RCASTRO"/>
    <s v="2021-12-13 16:29:19.702686"/>
  </r>
  <r>
    <x v="96"/>
    <s v="BGTA"/>
    <n v="64303"/>
    <s v="NUTRESA"/>
    <s v="NUTRESA - COMERCIAL NUTRESA SAS"/>
    <d v="2021-12-13T00:00:00"/>
    <s v="COMPLETADO"/>
    <s v="RECEPCIO"/>
    <n v="1"/>
    <s v="OTROS"/>
    <s v="AFANAYA"/>
    <s v="2021-12-14 12:56:17.737847"/>
    <s v="NUTRESA"/>
    <n v="7164699237"/>
    <s v="SE RECIBE MATERIAL DE NUTRESA PARA INGRESO A INVENTARIO SEGUN REMI-7164699237"/>
    <s v="P"/>
    <x v="63"/>
    <s v="CRD025005"/>
    <s v="GTA. TOSH MIEL TACO 209G"/>
    <s v="UND"/>
    <m/>
    <n v="33000000"/>
    <n v="33000000"/>
    <s v="0.000000"/>
    <n v="0"/>
    <s v="BOG28082022"/>
    <x v="1"/>
    <s v="NUTRESA"/>
    <s v="BUEN"/>
    <d v="2022-08-28T00:00:00"/>
    <m/>
    <d v="2022-08-28T00:00:00"/>
    <m/>
    <s v="RCASTRO"/>
    <s v="2021-12-13 17:36:35.536802"/>
  </r>
  <r>
    <x v="97"/>
    <s v="BGTA"/>
    <n v="64304"/>
    <s v="NUTRESA"/>
    <s v="NUTRESA - COMERCIAL NUTRESA SAS"/>
    <d v="2021-12-13T00:00:00"/>
    <s v="COMPLETADO"/>
    <s v="RECEPCIO"/>
    <n v="1"/>
    <s v="OTROS"/>
    <s v="AFANAYA"/>
    <s v="2021-12-14 12:55:54.192842"/>
    <s v="NUTRESA"/>
    <n v="7164540425"/>
    <s v="SE RECIBE MATERIAL DE NUTRESA PARA INGRESO A INVENTARIO SEGUN REMI-7164540425"/>
    <s v="P"/>
    <x v="63"/>
    <s v="CRD025005"/>
    <s v="GTA. TOSH MIEL TACO 209G"/>
    <s v="UND"/>
    <m/>
    <n v="52000000"/>
    <n v="52000000"/>
    <s v="0.000000"/>
    <n v="0"/>
    <s v="BOG28082022"/>
    <x v="1"/>
    <s v="ALTILLANO"/>
    <s v="BUEN"/>
    <d v="2022-08-28T00:00:00"/>
    <m/>
    <d v="2022-08-28T00:00:00"/>
    <m/>
    <s v="RCASTRO"/>
    <s v="2021-12-13 17:39:51.371049"/>
  </r>
  <r>
    <x v="98"/>
    <s v="BGTA"/>
    <n v="64310"/>
    <s v="NUTRESA"/>
    <s v="NUTRESA - COMERCIAL NUTRESA SAS"/>
    <d v="2021-12-14T00:00:00"/>
    <s v="COMPLETADO"/>
    <s v="RECEPCIO"/>
    <n v="1"/>
    <s v="OTROS"/>
    <s v="AFANAYA"/>
    <s v="2021-12-14 12:52:11.129672"/>
    <s v="NUTRESA"/>
    <s v="SV-7164811172"/>
    <s v="SE RECIBE MATERIAL DE NUTRESA PROVEEDOR COMPAÃ‘IA DE GALLETAS NOEL S.A.S CON SALIDA VARIA-7164811172, SIN NOVEDAD"/>
    <s v="P"/>
    <x v="64"/>
    <s v="CRD024788"/>
    <s v="GTA. NAVIDAD 2021 DEGUSTACION P.I."/>
    <s v="UND"/>
    <m/>
    <n v="61110000000"/>
    <n v="61110000000"/>
    <s v="0.000000"/>
    <n v="0"/>
    <s v="BOG10022022"/>
    <x v="2"/>
    <s v="BPO"/>
    <s v="BUEN"/>
    <d v="2022-10-02T00:00:00"/>
    <m/>
    <d v="2022-10-02T00:00:00"/>
    <m/>
    <s v="JZAMBRANO"/>
    <s v="2021-12-14 10:13:17.078698"/>
  </r>
  <r>
    <x v="99"/>
    <s v="BGTA"/>
    <n v="64357"/>
    <s v="NUTRESA"/>
    <s v="NUTRESA - COMERCIAL NUTRESA SAS"/>
    <d v="2021-12-16T00:00:00"/>
    <s v="COMPLETADO"/>
    <s v="RECEPCIO"/>
    <n v="1"/>
    <s v="OTROS"/>
    <s v="AFANAYA"/>
    <s v="2021-12-16 16:39:50.418247"/>
    <s v="NUTRESA"/>
    <n v="2992"/>
    <s v="SE RECIBE MATERIAL DE NUTRESA PARA INGRESO A INVENTARIO SEGUN REMI-2992"/>
    <s v="ME"/>
    <x v="33"/>
    <s v="CRD025023"/>
    <s v="BALCON COLCAFE 3 EN 1 MAS CREMOSO"/>
    <s v="UND"/>
    <m/>
    <n v="27000000"/>
    <n v="27000000"/>
    <s v="0.000000"/>
    <n v="0"/>
    <n v="0"/>
    <x v="2"/>
    <s v="ALTILLANO"/>
    <s v="BUEN"/>
    <m/>
    <m/>
    <m/>
    <m/>
    <s v="RCASTRO"/>
    <s v="2021-12-16 11:38:16.114599"/>
  </r>
  <r>
    <x v="100"/>
    <s v="BGTA"/>
    <n v="64358"/>
    <s v="NUTRESA"/>
    <s v="NUTRESA - COMERCIAL NUTRESA SAS"/>
    <d v="2021-12-16T00:00:00"/>
    <s v="COMPLETADO"/>
    <s v="RECEPCIO"/>
    <n v="1"/>
    <s v="OTROS"/>
    <s v="AFANAYA"/>
    <s v="2021-12-16 16:39:08.186621"/>
    <s v="NUTRESA"/>
    <n v="5023"/>
    <s v="SE RECIBE MATERIAL DE NUTRESA PARA INGRESO A INVENTARIO SEGUN REMI-5023"/>
    <s v="ME"/>
    <x v="33"/>
    <s v="CRD025023"/>
    <s v="BALCON COLCAFE 3 EN 1 MAS CREMOSO"/>
    <s v="UND"/>
    <m/>
    <n v="60000000"/>
    <n v="60000000"/>
    <s v="0.000000"/>
    <n v="0"/>
    <n v="0"/>
    <x v="2"/>
    <s v="NUTRESA"/>
    <s v="BUEN"/>
    <m/>
    <m/>
    <m/>
    <m/>
    <s v="RCASTRO"/>
    <s v="2021-12-16 11:44:56.844635"/>
  </r>
  <r>
    <x v="101"/>
    <s v="BGTA"/>
    <n v="64359"/>
    <s v="NUTRESA"/>
    <s v="NUTRESA - COMERCIAL NUTRESA SAS"/>
    <d v="2021-12-16T00:00:00"/>
    <s v="COMPLETADO"/>
    <s v="RECEPCIO"/>
    <n v="1"/>
    <s v="OTROS"/>
    <s v="AFANAYA"/>
    <s v="2021-12-16 16:40:18.673799"/>
    <s v="NUTRESA"/>
    <n v="5022"/>
    <s v="SE RECIBE MATERIAL DE NUTRESA PARA INGRESO A INVENTARIO SEGUN REMI-5022"/>
    <s v="MP"/>
    <x v="65"/>
    <s v="CRD025022"/>
    <s v="MARCO DELIMITADOR COLCAFE 3 EN 1 MAS CREMOSO"/>
    <s v="UND"/>
    <m/>
    <n v="19000000"/>
    <n v="19000000"/>
    <s v="0.000000"/>
    <n v="0"/>
    <n v="0"/>
    <x v="2"/>
    <s v="ALTILLANO"/>
    <s v="BUEN"/>
    <m/>
    <m/>
    <m/>
    <m/>
    <s v="RCASTRO"/>
    <s v="2021-12-16 11:48:23.595496"/>
  </r>
  <r>
    <x v="96"/>
    <s v="BGTA"/>
    <n v="64377"/>
    <s v="NUTRESA"/>
    <s v="NUTRESA - COMERCIAL NUTRESA SAS"/>
    <d v="2021-12-16T00:00:00"/>
    <s v="COMPLETADO"/>
    <s v="RECEPCIO"/>
    <n v="1"/>
    <s v="OTROS"/>
    <s v="AFANAYA"/>
    <s v="2021-12-17 13:18:02.332036"/>
    <s v="NUTRESA"/>
    <s v="IGN-35147"/>
    <s v="SE RECIBE MATERIAL DE NUTRESA PARA SU INGRESO A INVENTARIO SEGUN IGN-35147"/>
    <s v="P"/>
    <x v="63"/>
    <s v="CRD025005"/>
    <s v="GTA. TOSH MIEL TACO 209G"/>
    <s v="UND"/>
    <m/>
    <n v="120000000"/>
    <n v="120000000"/>
    <s v="0.000000"/>
    <n v="0"/>
    <s v="BOG08282022"/>
    <x v="1"/>
    <s v="NUTRESA"/>
    <s v="BUEN"/>
    <d v="2022-08-28T00:00:00"/>
    <m/>
    <d v="2022-08-28T00:00:00"/>
    <m/>
    <s v="FRODRIGUEZ"/>
    <s v="2021-12-16 17:14:14.078114"/>
  </r>
  <r>
    <x v="78"/>
    <s v="BGTA"/>
    <n v="64402"/>
    <s v="NUTRESA"/>
    <s v="NUTRESA - COMERCIAL NUTRESA SAS"/>
    <d v="2021-12-20T00:00:00"/>
    <s v="COMPLETADO"/>
    <s v="RECEPCIO"/>
    <n v="1"/>
    <s v="OTROS"/>
    <s v="AFANAYA"/>
    <s v="2021-12-20 12:59:56.482213"/>
    <s v="NUTRESA"/>
    <s v="GUIA-1267"/>
    <s v="SE RECIBE MATERIAL DE NUTRESA PARA SU INGRESO A INVENTARIO SEGUN GUIA-1267"/>
    <s v="M"/>
    <x v="58"/>
    <s v="CRD024830"/>
    <s v="SANDUCHERA KALLEY K-SM101. ACTIVIDAD MILLONES POR MONTONES"/>
    <s v="UND"/>
    <m/>
    <n v="2000000"/>
    <n v="2000000"/>
    <s v="0.000000"/>
    <n v="0"/>
    <n v="0"/>
    <x v="2"/>
    <s v="NUTRESA"/>
    <s v="BUEN"/>
    <m/>
    <m/>
    <m/>
    <m/>
    <s v="FRODRIGUEZ"/>
    <s v="2021-12-20 07:51:58.019697"/>
  </r>
  <r>
    <x v="102"/>
    <s v="BGTA"/>
    <n v="64407"/>
    <s v="NUTRESA"/>
    <s v="NUTRESA - COMERCIAL NUTRESA SAS"/>
    <d v="2021-12-20T00:00:00"/>
    <s v="COMPLETADO"/>
    <s v="RECEPCIO"/>
    <n v="1"/>
    <s v="OTROS"/>
    <s v="AFANAYA"/>
    <s v="2021-12-20 12:58:20.451238"/>
    <s v="NUTRESA"/>
    <s v="IDR-18225"/>
    <s v="SE RECIBE MATERIAL DE NUTRESA PARA SU INGRESO A INVENTARIO SEGUN IDR-18225"/>
    <s v="P"/>
    <x v="66"/>
    <s v="CRD025039"/>
    <s v="SALVAO DE TRIGO PULVERIZA DORIA X 300G"/>
    <s v="UND"/>
    <m/>
    <n v="276000000"/>
    <n v="276000000"/>
    <s v="0.000000"/>
    <n v="0"/>
    <s v="BOG10192022"/>
    <x v="2"/>
    <s v="NUTRESA"/>
    <s v="BUEN"/>
    <d v="2022-10-19T00:00:00"/>
    <m/>
    <d v="2022-10-19T00:00:00"/>
    <m/>
    <s v="FRODRIGUEZ"/>
    <s v="2021-12-20 11:15:21.896258"/>
  </r>
  <r>
    <x v="103"/>
    <s v="BGTA"/>
    <n v="64408"/>
    <s v="NUTRESA"/>
    <s v="NUTRESA - COMERCIAL NUTRESA SAS"/>
    <d v="2021-12-20T00:00:00"/>
    <s v="COMPLETADO"/>
    <s v="RECEPCIO"/>
    <n v="1"/>
    <s v="OTROS"/>
    <s v="AFANAYA"/>
    <s v="2021-12-20 12:58:26.382082"/>
    <s v="NUTRESA"/>
    <s v="IDR-18227"/>
    <s v="SE RECIBE MATERIAL DE NUTRESA PARA SU INGRESO A INVENTARIO SEGUN IDR-18227"/>
    <s v="P"/>
    <x v="66"/>
    <s v="CRD025039"/>
    <s v="SALVAO DE TRIGO PULVERIZA DORIA X 300G"/>
    <s v="UND"/>
    <m/>
    <n v="24000000"/>
    <n v="24000000"/>
    <s v="0.000000"/>
    <n v="0"/>
    <s v="BOG10192022"/>
    <x v="2"/>
    <s v="ALTILLANO"/>
    <s v="BUEN"/>
    <d v="2022-10-19T00:00:00"/>
    <m/>
    <d v="2022-10-19T00:00:00"/>
    <m/>
    <s v="FRODRIGUEZ"/>
    <s v="2021-12-20 11:23:43.595115"/>
  </r>
  <r>
    <x v="104"/>
    <s v="BGTA"/>
    <n v="64441"/>
    <s v="NUTRESA"/>
    <s v="NUTRESA - COMERCIAL NUTRESA SAS"/>
    <d v="2021-12-20T00:00:00"/>
    <s v="COMPLETADO"/>
    <s v="RECEPCIO"/>
    <n v="1"/>
    <s v="OTROS"/>
    <s v="RCASTRO"/>
    <s v="2021-12-21 10:00:13.06772"/>
    <s v="NUTRESA"/>
    <n v="1655"/>
    <s v="SE RECIBE MATERIAL DE NUTRESA PARA INGRESO A INVENTARIO SEGUN REMI-1655"/>
    <s v="MP"/>
    <x v="37"/>
    <s v="CRD025021"/>
    <s v="CHISPA COLCAFE 3 EN 1 MAS CREMOSO"/>
    <s v="UND"/>
    <m/>
    <n v="119000000"/>
    <n v="119000000"/>
    <s v="0.000000"/>
    <n v="0"/>
    <n v="0"/>
    <x v="2"/>
    <s v="ALTILLANO"/>
    <s v="BUEN"/>
    <m/>
    <m/>
    <m/>
    <m/>
    <s v="RCASTRO"/>
    <s v="2021-12-20 17:39:21.036378"/>
  </r>
  <r>
    <x v="105"/>
    <s v="BGTA"/>
    <n v="64441"/>
    <s v="NUTRESA"/>
    <s v="NUTRESA - COMERCIAL NUTRESA SAS"/>
    <d v="2021-12-20T00:00:00"/>
    <s v="COMPLETADO"/>
    <s v="RECEPCIO"/>
    <n v="1"/>
    <s v="OTROS"/>
    <s v="RCASTRO"/>
    <s v="2021-12-21 10:00:13.06772"/>
    <s v="NUTRESA"/>
    <n v="1655"/>
    <s v="SE RECIBE MATERIAL DE NUTRESA PARA INGRESO A INVENTARIO SEGUN REMI-1655"/>
    <s v="MP"/>
    <x v="67"/>
    <s v="CRD025020"/>
    <s v="ROMPETRAFICO COLCAFE 3 EN 1 MAS CREMOSO"/>
    <s v="UND"/>
    <m/>
    <n v="30000000"/>
    <n v="30000000"/>
    <s v="0.000000"/>
    <n v="0"/>
    <n v="0"/>
    <x v="2"/>
    <s v="ALTILLANO"/>
    <s v="BUEN"/>
    <m/>
    <m/>
    <m/>
    <m/>
    <s v="RCASTRO"/>
    <s v="2021-12-20 17:39:06.481707"/>
  </r>
  <r>
    <x v="106"/>
    <s v="BGTA"/>
    <n v="64442"/>
    <s v="NUTRESA"/>
    <s v="NUTRESA - COMERCIAL NUTRESA SAS"/>
    <d v="2021-12-20T00:00:00"/>
    <s v="COMPLETADO"/>
    <s v="RECEPCIO"/>
    <n v="1"/>
    <s v="OTROS"/>
    <s v="RCASTRO"/>
    <s v="2021-12-21 10:48:57.903509"/>
    <s v="NUTRESA"/>
    <n v="1653"/>
    <s v="SE RECIBE MATERIAL DE NUTRESA PARA INGRESO A INVENTARIO SEGUN REMI-1653"/>
    <s v="MP"/>
    <x v="67"/>
    <s v="CRD025020"/>
    <s v="ROMPETRAFICO COLCAFE 3 EN 1 MAS CREMOSO"/>
    <s v="UND"/>
    <m/>
    <n v="50000000"/>
    <n v="50000000"/>
    <s v="0.000000"/>
    <n v="0"/>
    <n v="0"/>
    <x v="2"/>
    <s v="NUTRESA"/>
    <s v="BUEN"/>
    <m/>
    <m/>
    <m/>
    <m/>
    <s v="RCASTRO"/>
    <s v="2021-12-20 17:42:02.193786"/>
  </r>
  <r>
    <x v="107"/>
    <s v="BGTA"/>
    <n v="64442"/>
    <s v="NUTRESA"/>
    <s v="NUTRESA - COMERCIAL NUTRESA SAS"/>
    <d v="2021-12-20T00:00:00"/>
    <s v="COMPLETADO"/>
    <s v="RECEPCIO"/>
    <n v="1"/>
    <s v="OTROS"/>
    <s v="RCASTRO"/>
    <s v="2021-12-21 10:48:57.903509"/>
    <s v="NUTRESA"/>
    <n v="1653"/>
    <s v="SE RECIBE MATERIAL DE NUTRESA PARA INGRESO A INVENTARIO SEGUN REMI-1653"/>
    <s v="MP"/>
    <x v="37"/>
    <s v="CRD025021"/>
    <s v="CHISPA COLCAFE 3 EN 1 MAS CREMOSO"/>
    <s v="UND"/>
    <m/>
    <n v="200000000"/>
    <n v="200000000"/>
    <s v="0.000000"/>
    <n v="0"/>
    <n v="0"/>
    <x v="2"/>
    <s v="NUTRESA"/>
    <s v="BUEN"/>
    <m/>
    <m/>
    <m/>
    <m/>
    <s v="RCASTRO"/>
    <s v="2021-12-20 17:42:10.953148"/>
  </r>
  <r>
    <x v="107"/>
    <s v="BGTA"/>
    <n v="64443"/>
    <s v="NUTRESA"/>
    <s v="NUTRESA - COMERCIAL NUTRESA SAS"/>
    <d v="2021-12-20T00:00:00"/>
    <s v="COMPLETADO"/>
    <s v="RECEPCIO"/>
    <n v="1"/>
    <s v="OTROS"/>
    <s v="RCASTRO"/>
    <s v="2021-12-21 10:51:08.778822"/>
    <s v="NUTRESA"/>
    <n v="1654"/>
    <s v="SE RECIBE MATERIAL DE NUTRESA PARA INGRESO A INVENTARIO SEGUN REMI-1653SE RECIBE MATERIAL DE NUTRESA PARA INGRESO A INVENTARIO SEGUN REMI-1654"/>
    <s v="MP"/>
    <x v="37"/>
    <s v="CRD025021"/>
    <s v="CHISPA COLCAFE 3 EN 1 MAS CREMOSO"/>
    <s v="UND"/>
    <m/>
    <n v="200000000"/>
    <n v="200000000"/>
    <s v="0.000000"/>
    <n v="0"/>
    <n v="0"/>
    <x v="2"/>
    <s v="NUTRESA"/>
    <s v="BUEN"/>
    <m/>
    <m/>
    <m/>
    <m/>
    <s v="RCASTRO"/>
    <s v="2021-12-20 17:45:00.557454"/>
  </r>
  <r>
    <x v="106"/>
    <s v="BGTA"/>
    <n v="64443"/>
    <s v="NUTRESA"/>
    <s v="NUTRESA - COMERCIAL NUTRESA SAS"/>
    <d v="2021-12-20T00:00:00"/>
    <s v="COMPLETADO"/>
    <s v="RECEPCIO"/>
    <n v="1"/>
    <s v="OTROS"/>
    <s v="RCASTRO"/>
    <s v="2021-12-21 10:51:08.778822"/>
    <s v="NUTRESA"/>
    <n v="1654"/>
    <s v="SE RECIBE MATERIAL DE NUTRESA PARA INGRESO A INVENTARIO SEGUN REMI-1653SE RECIBE MATERIAL DE NUTRESA PARA INGRESO A INVENTARIO SEGUN REMI-1654"/>
    <s v="MP"/>
    <x v="67"/>
    <s v="CRD025020"/>
    <s v="ROMPETRAFICO COLCAFE 3 EN 1 MAS CREMOSO"/>
    <s v="UND"/>
    <m/>
    <n v="50000000"/>
    <n v="50000000"/>
    <s v="0.000000"/>
    <n v="0"/>
    <n v="0"/>
    <x v="2"/>
    <s v="NUTRESA"/>
    <s v="BUEN"/>
    <m/>
    <m/>
    <m/>
    <m/>
    <s v="RCASTRO"/>
    <s v="2021-12-20 17:44:51.237496"/>
  </r>
  <r>
    <x v="108"/>
    <s v="BGTA"/>
    <n v="64444"/>
    <s v="NUTRESA"/>
    <s v="NUTRESA - COMERCIAL NUTRESA SAS"/>
    <d v="2021-12-20T00:00:00"/>
    <s v="COMPLETADO"/>
    <s v="RECEPCIO"/>
    <n v="1"/>
    <s v="OTROS"/>
    <s v="RCASTRO"/>
    <s v="2021-12-21 10:54:14.176453"/>
    <s v="NUTRESA"/>
    <n v="32500"/>
    <s v="SE RECIBE MATERIAL DE NUTRESA PARA INGRESO A INVENTARIO SEGUN REMI-1653SE RECIBE MATERIAL DE NUTRESA PARA INGRESO A INVENTARIO SEGUN REMI-1654"/>
    <s v="MP"/>
    <x v="26"/>
    <s v="CRD025006"/>
    <s v="AYUDAVENTAS BUBRUJAS CC"/>
    <s v="UND"/>
    <m/>
    <n v="130000000"/>
    <n v="130000000"/>
    <s v="0.000000"/>
    <n v="0"/>
    <n v="0"/>
    <x v="1"/>
    <s v="NUTRESA"/>
    <s v="BUEN"/>
    <m/>
    <m/>
    <m/>
    <m/>
    <s v="RCASTRO"/>
    <s v="2021-12-20 17:48:28.424327"/>
  </r>
  <r>
    <x v="109"/>
    <s v="BGTA"/>
    <n v="64445"/>
    <s v="NUTRESA"/>
    <s v="NUTRESA - COMERCIAL NUTRESA SAS"/>
    <d v="2021-12-20T00:00:00"/>
    <s v="COMPLETADO"/>
    <s v="RECEPCIO"/>
    <n v="1"/>
    <s v="OTROS"/>
    <s v="RCASTRO"/>
    <s v="2021-12-21 10:55:37.601529"/>
    <s v="NUTRESA"/>
    <n v="32498"/>
    <s v="SE RECIBE MATERIAL DE NUTRESA PARA INGRESO A INVENTARIO SEGUN REMI-1653SE RECIBE MATERIAL DE NUTRESA PARA INGRESO A INVENTARIO SEGUN REMI-32498"/>
    <s v="MP"/>
    <x v="26"/>
    <s v="CRD025006"/>
    <s v="AYUDAVENTAS BUBRUJAS CC"/>
    <s v="UND"/>
    <m/>
    <n v="122000000"/>
    <n v="122000000"/>
    <s v="0.000000"/>
    <n v="0"/>
    <n v="0"/>
    <x v="1"/>
    <s v="ALTILLANO"/>
    <s v="BUEN"/>
    <m/>
    <m/>
    <m/>
    <m/>
    <s v="RCASTRO"/>
    <s v="2021-12-20 17:50:42.781628"/>
  </r>
  <r>
    <x v="108"/>
    <s v="BGTA"/>
    <n v="64446"/>
    <s v="NUTRESA"/>
    <s v="NUTRESA - COMERCIAL NUTRESA SAS"/>
    <d v="2021-12-20T00:00:00"/>
    <s v="COMPLETADO"/>
    <s v="RECEPCIO"/>
    <n v="1"/>
    <s v="OTROS"/>
    <s v="RCASTRO"/>
    <s v="2021-12-21 10:52:59.626324"/>
    <s v="NUTRESA"/>
    <n v="32499"/>
    <s v="SE RECIBE MATERIAL DE NUTRESA PARA INGRESO A INVENTARIO SEGUN REMI-1653SE RECIBE MATERIAL DE NUTRESA PARA INGRESO A INVENTARIO SEGUN REMI-32499"/>
    <s v="MP"/>
    <x v="26"/>
    <s v="CRD025006"/>
    <s v="AYUDAVENTAS BUBRUJAS CC"/>
    <s v="UND"/>
    <m/>
    <n v="23000000"/>
    <n v="23000000"/>
    <s v="0.000000"/>
    <n v="0"/>
    <n v="0"/>
    <x v="1"/>
    <s v="NUTRESA"/>
    <s v="BUEN"/>
    <m/>
    <m/>
    <m/>
    <m/>
    <s v="RCASTRO"/>
    <s v="2021-12-20 17:57:01.101708"/>
  </r>
  <r>
    <x v="110"/>
    <s v="BGTA"/>
    <n v="64459"/>
    <s v="NUTRESA"/>
    <s v="NUTRESA - COMERCIAL NUTRESA SAS"/>
    <d v="2021-12-21T00:00:00"/>
    <s v="COMPLETADO"/>
    <s v="RECEPCIO"/>
    <n v="1"/>
    <s v="OTROS"/>
    <s v="AFANAYA"/>
    <s v="2021-12-21 16:12:13.670168"/>
    <s v="NUTRESA"/>
    <n v="38965"/>
    <s v="SE RECIBE MATERIAL DE NUTRESA PARA INGRESO A INVENTARIO SEGUN REMI-38965"/>
    <s v="ME"/>
    <x v="42"/>
    <s v="CRD025041"/>
    <s v="EXHIBIDOR DE MOSTRADOR INFUSIONES TOSH"/>
    <s v="UND"/>
    <m/>
    <n v="12000000"/>
    <n v="12000000"/>
    <s v="0.000000"/>
    <n v="0"/>
    <n v="0"/>
    <x v="2"/>
    <s v="ALTILLANO"/>
    <s v="BUEN"/>
    <m/>
    <m/>
    <m/>
    <m/>
    <s v="RCASTRO"/>
    <s v="2021-12-21 12:38:00.481621"/>
  </r>
  <r>
    <x v="111"/>
    <s v="BGTA"/>
    <n v="64460"/>
    <s v="NUTRESA"/>
    <s v="NUTRESA - COMERCIAL NUTRESA SAS"/>
    <d v="2021-12-21T00:00:00"/>
    <s v="COMPLETADO"/>
    <s v="RECEPCIO"/>
    <n v="1"/>
    <s v="OTROS"/>
    <s v="AFANAYA"/>
    <s v="2021-12-21 16:12:30.628545"/>
    <s v="NUTRESA"/>
    <n v="38960"/>
    <s v="SE RECIBE MATERIAL DE NUTRESA PARA INGRESO A INVENTARIO SEGUN REMI-38960"/>
    <s v="ME"/>
    <x v="42"/>
    <s v="CRD025041"/>
    <s v="EXHIBIDOR DE MOSTRADOR INFUSIONES TOSH"/>
    <s v="UND"/>
    <m/>
    <n v="2000000"/>
    <n v="2000000"/>
    <s v="0.000000"/>
    <n v="0"/>
    <n v="0"/>
    <x v="1"/>
    <s v="ALTILLANO"/>
    <s v="BUEN"/>
    <m/>
    <m/>
    <m/>
    <m/>
    <s v="RCASTRO"/>
    <s v="2021-12-21 12:40:38.359836"/>
  </r>
  <r>
    <x v="112"/>
    <s v="BGTA"/>
    <n v="64462"/>
    <s v="NUTRESA"/>
    <s v="NUTRESA - COMERCIAL NUTRESA SAS"/>
    <d v="2021-12-21T00:00:00"/>
    <s v="COMPLETADO"/>
    <s v="RECEPCIO"/>
    <n v="1"/>
    <s v="OTROS"/>
    <s v="AFANAYA"/>
    <s v="2021-12-21 16:12:44.629195"/>
    <s v="NUTRESA"/>
    <n v="1203"/>
    <s v="SE RECIBE MATERIAL DE NUTRESA PARA INGRESO A INVENTARIO SEGUN REMI-1203"/>
    <s v="ME"/>
    <x v="68"/>
    <s v="CRD025040"/>
    <s v="SHIPPER INFUSIONES TOSH"/>
    <s v="UND"/>
    <m/>
    <n v="2000000"/>
    <n v="2000000"/>
    <s v="0.000000"/>
    <n v="0"/>
    <n v="0"/>
    <x v="1"/>
    <s v="ALTILLANO"/>
    <s v="BUEN"/>
    <m/>
    <m/>
    <m/>
    <m/>
    <s v="RCASTRO"/>
    <s v="2021-12-21 12:44:04.262017"/>
  </r>
  <r>
    <x v="113"/>
    <s v="BGTA"/>
    <n v="64463"/>
    <s v="NUTRESA"/>
    <s v="NUTRESA - COMERCIAL NUTRESA SAS"/>
    <d v="2021-12-21T00:00:00"/>
    <s v="COMPLETADO"/>
    <s v="RECEPCIO"/>
    <n v="1"/>
    <s v="OTROS"/>
    <s v="AFANAYA"/>
    <s v="2021-12-21 16:13:03.947799"/>
    <s v="NUTRESA"/>
    <s v="2965."/>
    <s v="SE RECIBE MATERIAL DE NUTRESA PARA INGRESO A INVENTARIO SEGUN REMI-2965."/>
    <s v="ME"/>
    <x v="68"/>
    <s v="CRD025040"/>
    <s v="SHIPPER INFUSIONES TOSH"/>
    <s v="UND"/>
    <m/>
    <n v="6000000"/>
    <n v="6000000"/>
    <s v="0.000000"/>
    <n v="0"/>
    <n v="0"/>
    <x v="2"/>
    <s v="ALTILLANO"/>
    <s v="BUEN"/>
    <m/>
    <m/>
    <m/>
    <m/>
    <s v="RCASTRO"/>
    <s v="2021-12-21 12:48:48.333922"/>
  </r>
  <r>
    <x v="114"/>
    <s v="BGTA"/>
    <n v="64464"/>
    <s v="NUTRESA"/>
    <s v="NUTRESA - COMERCIAL NUTRESA SAS"/>
    <d v="2021-12-21T00:00:00"/>
    <s v="COMPLETADO"/>
    <s v="RECEPCIO"/>
    <n v="1"/>
    <s v="OTROS"/>
    <s v="AFANAYA"/>
    <s v="2021-12-21 16:13:38.945467"/>
    <s v="NUTRESA"/>
    <n v="38964"/>
    <s v="SE RECIBE MATERIAL DE NUTRESA PARA INGRESO A INVENTARIO SEGUN REMI-38964"/>
    <s v="ME"/>
    <x v="42"/>
    <s v="CRD025041"/>
    <s v="EXHIBIDOR DE MOSTRADOR INFUSIONES TOSH"/>
    <s v="UND"/>
    <m/>
    <n v="9000000"/>
    <n v="9000000"/>
    <s v="0.000000"/>
    <n v="0"/>
    <n v="0"/>
    <x v="2"/>
    <s v="NUTRESA"/>
    <s v="BUEN"/>
    <m/>
    <m/>
    <m/>
    <m/>
    <s v="RCASTRO"/>
    <s v="2021-12-21 12:51:18.251911"/>
  </r>
  <r>
    <x v="115"/>
    <s v="BGTA"/>
    <n v="64466"/>
    <s v="NUTRESA"/>
    <s v="NUTRESA - COMERCIAL NUTRESA SAS"/>
    <d v="2021-12-21T00:00:00"/>
    <s v="COMPLETADO"/>
    <s v="RECEPCIO"/>
    <n v="1"/>
    <s v="OTROS"/>
    <s v="AFANAYA"/>
    <s v="2021-12-21 16:14:03.311602"/>
    <s v="NUTRESA"/>
    <n v="38959"/>
    <s v="SE RECIBE MATERIAL DE NUTRESA PARA INGRESO A INVENTARIO SEGUN REMI-38959"/>
    <s v="ME"/>
    <x v="42"/>
    <s v="CRD025041"/>
    <s v="EXHIBIDOR DE MOSTRADOR INFUSIONES TOSH"/>
    <s v="UND"/>
    <m/>
    <n v="69000000"/>
    <n v="69000000"/>
    <s v="0.000000"/>
    <n v="0"/>
    <n v="0"/>
    <x v="1"/>
    <s v="NUTRESA"/>
    <s v="BUEN"/>
    <m/>
    <m/>
    <m/>
    <m/>
    <s v="RCASTRO"/>
    <s v="2021-12-21 12:55:21.790056"/>
  </r>
  <r>
    <x v="116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4"/>
    <s v="CRD024844"/>
    <s v="POSTAL COLCAFE VAINILLA"/>
    <s v="UND"/>
    <m/>
    <n v="500000000"/>
    <n v="500000000"/>
    <s v="0.000000"/>
    <n v="0"/>
    <n v="0"/>
    <x v="2"/>
    <s v="BPO"/>
    <s v="BUEN"/>
    <m/>
    <m/>
    <m/>
    <m/>
    <s v="SBELLO"/>
    <s v="2021-11-30 11:54:59.477688"/>
  </r>
  <r>
    <x v="117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3"/>
    <s v="CRD024845"/>
    <s v="POSTAL COLCAFE GRANULADO"/>
    <s v="UND"/>
    <m/>
    <n v="500000000"/>
    <n v="500000000"/>
    <s v="0.000000"/>
    <n v="0"/>
    <n v="0"/>
    <x v="2"/>
    <s v="BPO"/>
    <s v="BUEN"/>
    <m/>
    <m/>
    <m/>
    <m/>
    <s v="SBELLO"/>
    <s v="2021-11-30 11:55:05.811402"/>
  </r>
  <r>
    <x v="118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5"/>
    <s v="CRD024842"/>
    <s v="POSTAL COLCAFE DESCAFEINADO"/>
    <s v="UND"/>
    <m/>
    <n v="500000000"/>
    <n v="500000000"/>
    <s v="0.000000"/>
    <n v="0"/>
    <n v="0"/>
    <x v="0"/>
    <s v="BPO"/>
    <s v="BUEN"/>
    <m/>
    <m/>
    <m/>
    <m/>
    <s v="SBELLO"/>
    <s v="2021-11-30 11:54:56.396066"/>
  </r>
  <r>
    <x v="119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5"/>
    <s v="CRD024842"/>
    <s v="POSTAL COLCAFE DESCAFEINADO"/>
    <s v="UND"/>
    <m/>
    <n v="500000000"/>
    <n v="500000000"/>
    <s v="0.000000"/>
    <n v="0"/>
    <n v="0"/>
    <x v="2"/>
    <s v="BPO"/>
    <s v="BUEN"/>
    <m/>
    <m/>
    <m/>
    <m/>
    <s v="SBELLO"/>
    <s v="2021-11-30 11:54:55.211374"/>
  </r>
  <r>
    <x v="120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4"/>
    <s v="CRD024844"/>
    <s v="POSTAL COLCAFE VAINILLA"/>
    <s v="UND"/>
    <m/>
    <n v="500000000"/>
    <n v="500000000"/>
    <s v="0.000000"/>
    <n v="0"/>
    <n v="0"/>
    <x v="0"/>
    <s v="BPO"/>
    <s v="BUEN"/>
    <m/>
    <m/>
    <m/>
    <m/>
    <s v="SBELLO"/>
    <s v="2021-11-30 11:55:00.818597"/>
  </r>
  <r>
    <x v="121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2"/>
    <s v="CRD024843"/>
    <s v="POSTAL COLCAFE CLASICO"/>
    <s v="UND"/>
    <m/>
    <n v="500000000"/>
    <n v="500000000"/>
    <s v="0.000000"/>
    <n v="0"/>
    <n v="0"/>
    <x v="2"/>
    <s v="BPO"/>
    <s v="BUEN"/>
    <m/>
    <m/>
    <m/>
    <m/>
    <s v="SBELLO"/>
    <s v="2021-11-30 11:54:47.591861"/>
  </r>
  <r>
    <x v="122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2"/>
    <s v="CRD024843"/>
    <s v="POSTAL COLCAFE CLASICO"/>
    <s v="UND"/>
    <m/>
    <n v="500000000"/>
    <n v="500000000"/>
    <s v="0.000000"/>
    <n v="0"/>
    <n v="0"/>
    <x v="0"/>
    <s v="BPO"/>
    <s v="BUEN"/>
    <m/>
    <m/>
    <m/>
    <m/>
    <s v="SBELLO"/>
    <s v="2021-11-30 11:54:48.737557"/>
  </r>
  <r>
    <x v="123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3"/>
    <s v="CRD024845"/>
    <s v="POSTAL COLCAFE GRANULADO"/>
    <s v="UND"/>
    <m/>
    <n v="500000000"/>
    <n v="500000000"/>
    <s v="0.000000"/>
    <n v="0"/>
    <n v="0"/>
    <x v="0"/>
    <s v="BPO"/>
    <s v="BUEN"/>
    <m/>
    <m/>
    <m/>
    <m/>
    <s v="SBELLO"/>
    <s v="2021-11-30 11:55:04.782355"/>
  </r>
  <r>
    <x v="124"/>
    <s v="BUCA"/>
    <n v="28972"/>
    <s v="NUTRESA"/>
    <s v="NUTRESA - COMERCIAL NUTRESA SAS"/>
    <d v="2021-12-02T00:00:00"/>
    <s v="COMPLETADO"/>
    <s v="RECEPCIO"/>
    <n v="1"/>
    <s v="OTROS"/>
    <s v="SBELLO"/>
    <s v="2021-12-02 13:17:49.85344"/>
    <n v="0"/>
    <n v="0"/>
    <s v="SE RECIBE MATERIAL DEL PROVEEDOR PLASTIPACK CON REMISIÃ“N NÂ°83115 SIN NOVEDAD"/>
    <s v="M"/>
    <x v="7"/>
    <s v="CRD024849"/>
    <s v="BOLSA TROQUELADA PIGMENTADA IMPRESA - BOLSA NAVIDAD"/>
    <s v="UND"/>
    <m/>
    <n v="15000000000"/>
    <n v="15000000000"/>
    <s v="0.000000"/>
    <n v="0"/>
    <n v="0"/>
    <x v="2"/>
    <s v="NUTRESA"/>
    <s v="BUEN"/>
    <m/>
    <m/>
    <m/>
    <m/>
    <s v="SBELLO"/>
    <s v="2021-12-02 13:17:01.29646"/>
  </r>
  <r>
    <x v="125"/>
    <s v="BUCA"/>
    <n v="29008"/>
    <s v="NUTRESA"/>
    <s v="NUTRESA - COMERCIAL NUTRESA SAS"/>
    <d v="2021-12-06T00:00:00"/>
    <s v="COMPLETADO"/>
    <s v="RECEPCIO"/>
    <n v="1"/>
    <s v="OTROS"/>
    <s v="SBELLO"/>
    <s v="2021-12-06 16:45:02.909406"/>
    <n v="0"/>
    <n v="0"/>
    <s v="SE RECIBE MATERIAL DEL PROVEEDOR SILA CON FACTURA NÂ°SG2067 CON NOVEDAD CRD024647 LLGAN 381 EN FISICO Y EN EL DOCUMENTO EN EL AVISO DICE QUE LLEGAN 400"/>
    <s v="MP"/>
    <x v="15"/>
    <s v="CRD024646"/>
    <s v="RECIPIENTE RECTANGULAR VENECIA CARRO PROMOTORES"/>
    <s v="UND"/>
    <m/>
    <n v="400000000"/>
    <n v="400000000"/>
    <s v="0.000000"/>
    <n v="0"/>
    <n v="0"/>
    <x v="1"/>
    <s v="NUTRESA"/>
    <s v="BUEN"/>
    <m/>
    <m/>
    <m/>
    <m/>
    <s v="SBELLO"/>
    <s v="2021-12-06 16:43:40.013265"/>
  </r>
  <r>
    <x v="126"/>
    <s v="BUCA"/>
    <n v="29008"/>
    <s v="NUTRESA"/>
    <s v="NUTRESA - COMERCIAL NUTRESA SAS"/>
    <d v="2021-12-06T00:00:00"/>
    <s v="COMPLETADO"/>
    <s v="RECEPCIO"/>
    <n v="1"/>
    <s v="OTROS"/>
    <s v="SBELLO"/>
    <s v="2021-12-06 16:45:02.909406"/>
    <n v="0"/>
    <n v="0"/>
    <s v="SE RECIBE MATERIAL DEL PROVEEDOR SILA CON FACTURA NÂ°SG2067 CON NOVEDAD CRD024647 LLGAN 381 EN FISICO Y EN EL DOCUMENTO EN EL AVISO DICE QUE LLEGAN 400"/>
    <s v="MP"/>
    <x v="12"/>
    <s v="CRD024645"/>
    <s v="RECIPIENTE ARUBA CARRO PROMOTORES"/>
    <s v="UND"/>
    <m/>
    <n v="400000000"/>
    <n v="400000000"/>
    <s v="0.000000"/>
    <n v="0"/>
    <n v="0"/>
    <x v="1"/>
    <s v="NUTRESA"/>
    <s v="BUEN"/>
    <m/>
    <m/>
    <m/>
    <m/>
    <s v="SBELLO"/>
    <s v="2021-12-06 16:43:36.349341"/>
  </r>
  <r>
    <x v="127"/>
    <s v="BUCA"/>
    <n v="29008"/>
    <s v="NUTRESA"/>
    <s v="NUTRESA - COMERCIAL NUTRESA SAS"/>
    <d v="2021-12-06T00:00:00"/>
    <s v="COMPLETADO"/>
    <s v="RECEPCIO"/>
    <n v="1"/>
    <s v="OTROS"/>
    <s v="SBELLO"/>
    <s v="2021-12-06 16:45:02.909406"/>
    <n v="0"/>
    <n v="0"/>
    <s v="SE RECIBE MATERIAL DEL PROVEEDOR SILA CON FACTURA NÂ°SG2067 CON NOVEDAD CRD024647 LLGAN 381 EN FISICO Y EN EL DOCUMENTO EN EL AVISO DICE QUE LLEGAN 400"/>
    <s v="MP"/>
    <x v="14"/>
    <s v="CRD024644"/>
    <s v="RECIPIENTE DESPENSA TAYRONA 1 LT CARRO PROMOTORES"/>
    <s v="UND"/>
    <m/>
    <n v="400000000"/>
    <n v="400000000"/>
    <s v="0.000000"/>
    <n v="0"/>
    <n v="0"/>
    <x v="1"/>
    <s v="NUTRESA"/>
    <s v="BUEN"/>
    <m/>
    <m/>
    <m/>
    <m/>
    <s v="SBELLO"/>
    <s v="2021-12-06 16:43:33.163974"/>
  </r>
  <r>
    <x v="128"/>
    <s v="BUCA"/>
    <n v="29008"/>
    <s v="NUTRESA"/>
    <s v="NUTRESA - COMERCIAL NUTRESA SAS"/>
    <d v="2021-12-06T00:00:00"/>
    <s v="COMPLETADO"/>
    <s v="RECEPCIO"/>
    <n v="1"/>
    <s v="OTROS"/>
    <s v="SBELLO"/>
    <s v="2021-12-06 16:45:02.909406"/>
    <n v="0"/>
    <n v="0"/>
    <s v="SE RECIBE MATERIAL DEL PROVEEDOR SILA CON FACTURA NÂ°SG2067 CON NOVEDAD CRD024647 LLGAN 381 EN FISICO Y EN EL DOCUMENTO EN EL AVISO DICE QUE LLEGAN 400"/>
    <s v="MP"/>
    <x v="13"/>
    <s v="CRD024647"/>
    <s v="RECIPIENTE REDONDO EASY 400ML CARRO PROMOTORES"/>
    <s v="UND"/>
    <m/>
    <n v="381000000"/>
    <n v="381000000"/>
    <s v="0.000000"/>
    <n v="0"/>
    <n v="0"/>
    <x v="1"/>
    <s v="NUTRESA"/>
    <s v="BUEN"/>
    <m/>
    <m/>
    <m/>
    <m/>
    <s v="SBELLO"/>
    <s v="2021-12-06 16:43:44.155998"/>
  </r>
  <r>
    <x v="129"/>
    <s v="BUCA"/>
    <n v="29064"/>
    <s v="NUTRESA"/>
    <s v="NUTRESA - COMERCIAL NUTRESA SAS"/>
    <d v="2021-12-14T00:00:00"/>
    <s v="COMPLETADO"/>
    <s v="RECEPCIO"/>
    <n v="1"/>
    <s v="OTROS"/>
    <s v="SBELLO"/>
    <s v="2021-12-14 09:20:53.887555"/>
    <n v="0"/>
    <n v="0"/>
    <s v="SE RECIBE MATERIAL DEL PROVEEDOR IMPRESOS CON REMISIÃ“N NÂ°23793 SIN NOVEDAD"/>
    <s v="MP"/>
    <x v="20"/>
    <s v="CRD025009"/>
    <s v="CHISPA CAPPUCCINOS MAS BENEFICIOS"/>
    <s v="UND"/>
    <m/>
    <n v="1400000000"/>
    <n v="1400000000"/>
    <s v="0.000000"/>
    <n v="0"/>
    <n v="0"/>
    <x v="1"/>
    <s v="NUTRESA"/>
    <s v="BUEN"/>
    <m/>
    <m/>
    <m/>
    <m/>
    <s v="SBELLO"/>
    <s v="2021-12-14 09:13:01.119318"/>
  </r>
  <r>
    <x v="130"/>
    <s v="BUCA"/>
    <n v="29064"/>
    <s v="NUTRESA"/>
    <s v="NUTRESA - COMERCIAL NUTRESA SAS"/>
    <d v="2021-12-14T00:00:00"/>
    <s v="COMPLETADO"/>
    <s v="RECEPCIO"/>
    <n v="1"/>
    <s v="OTROS"/>
    <s v="SBELLO"/>
    <s v="2021-12-14 09:20:53.887555"/>
    <n v="0"/>
    <n v="0"/>
    <s v="SE RECIBE MATERIAL DEL PROVEEDOR IMPRESOS CON REMISIÃ“N NÂ°23793 SIN NOVEDAD"/>
    <s v="MP"/>
    <x v="21"/>
    <s v="CRD025010"/>
    <s v="AFICHE CAPPUCCINOS MAS BENEFICIOS"/>
    <s v="UND"/>
    <m/>
    <n v="800000000"/>
    <n v="800000000"/>
    <s v="0.000000"/>
    <n v="0"/>
    <n v="0"/>
    <x v="1"/>
    <s v="NUTRESA"/>
    <s v="BUEN"/>
    <m/>
    <m/>
    <m/>
    <m/>
    <s v="SBELLO"/>
    <s v="2021-12-14 09:13:05.148344"/>
  </r>
  <r>
    <x v="131"/>
    <s v="BUCA"/>
    <n v="29064"/>
    <s v="NUTRESA"/>
    <s v="NUTRESA - COMERCIAL NUTRESA SAS"/>
    <d v="2021-12-14T00:00:00"/>
    <s v="COMPLETADO"/>
    <s v="RECEPCIO"/>
    <n v="1"/>
    <s v="OTROS"/>
    <s v="SBELLO"/>
    <s v="2021-12-14 09:20:53.887555"/>
    <n v="0"/>
    <n v="0"/>
    <s v="SE RECIBE MATERIAL DEL PROVEEDOR IMPRESOS CON REMISIÃ“N NÂ°23793 SIN NOVEDAD"/>
    <s v="MP"/>
    <x v="19"/>
    <s v="CRD025008"/>
    <s v="MOVIL CAPPUCCINOS MAS BENEFICIOS"/>
    <s v="UND"/>
    <m/>
    <n v="1100000000"/>
    <n v="1100000000"/>
    <s v="0.000000"/>
    <n v="0"/>
    <n v="0"/>
    <x v="1"/>
    <s v="NUTRESA"/>
    <s v="BUEN"/>
    <m/>
    <m/>
    <m/>
    <m/>
    <s v="SBELLO"/>
    <s v="2021-12-14 09:12:57.616299"/>
  </r>
  <r>
    <x v="132"/>
    <s v="BUCA"/>
    <n v="29065"/>
    <s v="NUTRESA"/>
    <s v="NUTRESA - COMERCIAL NUTRESA SAS"/>
    <d v="2021-12-14T00:00:00"/>
    <s v="COMPLETADO"/>
    <s v="RECEPCIO"/>
    <n v="1"/>
    <s v="OTROS"/>
    <s v="SBELLO"/>
    <s v="2021-12-14 09:00:54.038449"/>
    <n v="0"/>
    <n v="0"/>
    <s v="SE RECIBE MATERIAL DEL PROVEEDOR IMPRESOS CON REMISIÃ“N NÂ°23784 SIN NOVEDAD"/>
    <s v="MP"/>
    <x v="18"/>
    <s v="CRD025002"/>
    <s v="CHISPA DOYPACK 3 EN1"/>
    <s v="UND"/>
    <m/>
    <n v="120000000"/>
    <n v="120000000"/>
    <s v="0.000000"/>
    <n v="0"/>
    <n v="0"/>
    <x v="2"/>
    <s v="NUTRESA"/>
    <s v="BUEN"/>
    <m/>
    <m/>
    <m/>
    <m/>
    <s v="SBELLO"/>
    <s v="2021-12-14 09:00:17.051335"/>
  </r>
  <r>
    <x v="133"/>
    <s v="BUCA"/>
    <n v="29065"/>
    <s v="NUTRESA"/>
    <s v="NUTRESA - COMERCIAL NUTRESA SAS"/>
    <d v="2021-12-14T00:00:00"/>
    <s v="COMPLETADO"/>
    <s v="RECEPCIO"/>
    <n v="1"/>
    <s v="OTROS"/>
    <s v="SBELLO"/>
    <s v="2021-12-14 09:00:54.038449"/>
    <n v="0"/>
    <n v="0"/>
    <s v="SE RECIBE MATERIAL DEL PROVEEDOR IMPRESOS CON REMISIÃ“N NÂ°23784 SIN NOVEDAD"/>
    <s v="MP"/>
    <x v="17"/>
    <s v="CRD025001"/>
    <s v="CHISPA DOYPACK CAPPUCCINO"/>
    <s v="UND"/>
    <m/>
    <n v="120000000"/>
    <n v="120000000"/>
    <s v="0.000000"/>
    <n v="0"/>
    <n v="0"/>
    <x v="2"/>
    <s v="NUTRESA"/>
    <s v="BUEN"/>
    <m/>
    <m/>
    <m/>
    <m/>
    <s v="SBELLO"/>
    <s v="2021-12-14 09:00:13.940566"/>
  </r>
  <r>
    <x v="134"/>
    <s v="BUCA"/>
    <n v="29066"/>
    <s v="NUTRESA"/>
    <s v="NUTRESA - COMERCIAL NUTRESA SAS"/>
    <d v="2021-12-14T00:00:00"/>
    <s v="COMPLETADO"/>
    <s v="RECEPCIO"/>
    <n v="1"/>
    <s v="OTROS"/>
    <s v="SBELLO"/>
    <s v="2021-12-14 09:36:07.741805"/>
    <n v="0"/>
    <n v="0"/>
    <s v="SE RECIBE MATERIAL DEL PROVEEDOR INCAMETAL CON FACTURA NÂ°LNA1205247 SIN NOVEDAD"/>
    <s v="M"/>
    <x v="60"/>
    <s v="CRD018765"/>
    <s v="SET SARTEN 18 Y 20 CMS UNIVERSAL"/>
    <s v="UND"/>
    <s v="CRD018765"/>
    <n v="50000000"/>
    <n v="50000000"/>
    <s v="0.000000"/>
    <n v="0"/>
    <n v="0"/>
    <x v="0"/>
    <s v="BPO"/>
    <s v="BUEN"/>
    <m/>
    <m/>
    <m/>
    <m/>
    <s v="SBELLO"/>
    <s v="2021-12-14 09:35:48.693055"/>
  </r>
  <r>
    <x v="135"/>
    <s v="BUCA"/>
    <n v="29084"/>
    <s v="NUTRESA"/>
    <s v="NUTRESA - COMERCIAL NUTRESA SAS"/>
    <d v="2021-12-16T00:00:00"/>
    <s v="COMPLETADO"/>
    <s v="RECEPCIO"/>
    <n v="1"/>
    <s v="OTROS"/>
    <s v="SBELLO"/>
    <s v="2021-12-16 11:11:35.531817"/>
    <n v="0"/>
    <n v="0"/>
    <s v="SE RECIBE MATERIAL DEL PROVEEDOR MARQUILLAS CON REMISIÃ“N NÂ°32279 SIN NOVEDAD"/>
    <s v="MP"/>
    <x v="16"/>
    <s v="CRD025004"/>
    <s v="AYUDAVENTAS TACO DIA MIEL"/>
    <s v="UND"/>
    <m/>
    <n v="86000000"/>
    <n v="86000000"/>
    <s v="0.000000"/>
    <n v="0"/>
    <n v="0"/>
    <x v="1"/>
    <s v="NUTRESA"/>
    <s v="BUEN"/>
    <m/>
    <m/>
    <m/>
    <m/>
    <s v="SBELLO"/>
    <s v="2021-12-16 11:11:15.135137"/>
  </r>
  <r>
    <x v="136"/>
    <s v="BUCA"/>
    <n v="29095"/>
    <s v="NUTRESA"/>
    <s v="NUTRESA - COMERCIAL NUTRESA SAS"/>
    <d v="2021-12-17T00:00:00"/>
    <s v="COMPLETADO"/>
    <s v="RECEPCIO"/>
    <n v="1"/>
    <s v="OTROS"/>
    <s v="SBELLO"/>
    <s v="2021-12-17 13:48:03.200326"/>
    <n v="0"/>
    <n v="0"/>
    <s v="SE RECIBE MATERIAL DEL PROVEEDOR OPEN MIND CON REMISIÃ“N NÂ°2992 SIN NOVEDAD"/>
    <s v="ME"/>
    <x v="33"/>
    <s v="CRD025023"/>
    <s v="BALCON COLCAFE 3 EN 1 MAS CREMOSO"/>
    <s v="UND"/>
    <m/>
    <n v="60000000"/>
    <n v="60000000"/>
    <s v="0.000000"/>
    <n v="0"/>
    <n v="0"/>
    <x v="2"/>
    <s v="NUTRESA"/>
    <s v="BUEN"/>
    <m/>
    <m/>
    <m/>
    <m/>
    <s v="SBELLO"/>
    <s v="2021-12-17 13:47:08.231291"/>
  </r>
  <r>
    <x v="137"/>
    <s v="BUCA"/>
    <n v="29099"/>
    <s v="NUTRESA"/>
    <s v="NUTRESA - COMERCIAL NUTRESA SAS"/>
    <d v="2021-12-17T00:00:00"/>
    <s v="COMPLETADO"/>
    <s v="RECEPCIO"/>
    <n v="1"/>
    <s v="OTROS"/>
    <s v="SBELLO"/>
    <s v="2021-12-17 16:48:54.584517"/>
    <n v="0"/>
    <n v="0"/>
    <s v="SE RECIBE MATERIAL DEL PROVEEDOR PAPELCARD CON REMISIÃ“N NÂ°1658 SIN NOVEDAD"/>
    <s v="MP"/>
    <x v="67"/>
    <s v="CRD025020"/>
    <s v="ROMPETRAFICO COLCAFE 3 EN 1 MAS CREMOSO"/>
    <s v="UND"/>
    <m/>
    <n v="60000000"/>
    <n v="60000000"/>
    <s v="0.000000"/>
    <n v="0"/>
    <n v="0"/>
    <x v="2"/>
    <s v="NUTRESA"/>
    <s v="BUEN"/>
    <m/>
    <m/>
    <m/>
    <m/>
    <s v="SBELLO"/>
    <s v="2021-12-17 16:47:20.629794"/>
  </r>
  <r>
    <x v="138"/>
    <s v="BUCA"/>
    <n v="29099"/>
    <s v="NUTRESA"/>
    <s v="NUTRESA - COMERCIAL NUTRESA SAS"/>
    <d v="2021-12-17T00:00:00"/>
    <s v="COMPLETADO"/>
    <s v="RECEPCIO"/>
    <n v="1"/>
    <s v="OTROS"/>
    <s v="SBELLO"/>
    <s v="2021-12-17 16:48:54.584517"/>
    <n v="0"/>
    <n v="0"/>
    <s v="SE RECIBE MATERIAL DEL PROVEEDOR PAPELCARD CON REMISIÃ“N NÂ°1658 SIN NOVEDAD"/>
    <s v="MP"/>
    <x v="37"/>
    <s v="CRD025021"/>
    <s v="CHISPA COLCAFE 3 EN 1 MAS CREMOSO"/>
    <s v="UND"/>
    <m/>
    <n v="180000000"/>
    <n v="180000000"/>
    <s v="0.000000"/>
    <n v="0"/>
    <n v="0"/>
    <x v="2"/>
    <s v="NUTRESA"/>
    <s v="BUEN"/>
    <m/>
    <m/>
    <m/>
    <m/>
    <s v="SBELLO"/>
    <s v="2021-12-17 16:47:23.959703"/>
  </r>
  <r>
    <x v="139"/>
    <s v="BUCA"/>
    <n v="29100"/>
    <s v="NUTRESA"/>
    <s v="NUTRESA - COMERCIAL NUTRESA SAS"/>
    <d v="2021-12-17T00:00:00"/>
    <s v="COMPLETADO"/>
    <s v="RECEPCIO"/>
    <n v="1"/>
    <s v="OTROS"/>
    <s v="SBELLO"/>
    <s v="2021-12-17 16:45:29.641784"/>
    <n v="0"/>
    <n v="0"/>
    <s v="SE RECIBE MATERIAL DEL PROVEEDOR MARQUILLAS CON REMISIÃ“N NÂ°CRV-32505 SIN NOVEDAD"/>
    <s v="MP"/>
    <x v="26"/>
    <s v="CRD025006"/>
    <s v="AYUDAVENTAS BUBRUJAS CC"/>
    <s v="UND"/>
    <m/>
    <n v="86000000"/>
    <n v="86000000"/>
    <s v="0.000000"/>
    <n v="0"/>
    <n v="0"/>
    <x v="1"/>
    <s v="NUTRESA"/>
    <s v="BUEN"/>
    <m/>
    <m/>
    <m/>
    <m/>
    <s v="SBELLO"/>
    <s v="2021-12-17 16:45:09.901222"/>
  </r>
  <r>
    <x v="140"/>
    <s v="BUCA"/>
    <n v="29121"/>
    <s v="NUTRESA"/>
    <s v="NUTRESA - COMERCIAL NUTRESA SAS"/>
    <d v="2021-12-21T00:00:00"/>
    <s v="COMPLETADO"/>
    <s v="RECEPCIO"/>
    <n v="1"/>
    <s v="OTROS"/>
    <s v="SBELLO"/>
    <s v="2021-12-21 10:56:30.64789"/>
    <n v="0"/>
    <n v="0"/>
    <s v="SE RECIBE MATERIAL DEL PROVEEDOR INNERCIA CON REMISIÃ“N NÂ°38953 SIN NOVEDAD"/>
    <s v="ME"/>
    <x v="42"/>
    <s v="CRD025041"/>
    <s v="EXHIBIDOR DE MOSTRADOR INFUSIONES TOSH"/>
    <s v="UND"/>
    <m/>
    <n v="2000000"/>
    <n v="2000000"/>
    <s v="0.000000"/>
    <n v="0"/>
    <n v="0"/>
    <x v="2"/>
    <s v="NUTRESA"/>
    <s v="BUEN"/>
    <m/>
    <m/>
    <m/>
    <m/>
    <s v="SBELLO"/>
    <s v="2021-12-21 10:55:36.746493"/>
  </r>
  <r>
    <x v="141"/>
    <s v="BUCA"/>
    <n v="29122"/>
    <s v="NUTRESA"/>
    <s v="NUTRESA - COMERCIAL NUTRESA SAS"/>
    <d v="2021-12-21T00:00:00"/>
    <s v="COMPLETADO"/>
    <s v="RECEPCIO"/>
    <n v="1"/>
    <s v="OTROS"/>
    <s v="SBELLO"/>
    <s v="2021-12-21 10:55:24.870161"/>
    <n v="0"/>
    <n v="0"/>
    <s v="SE RECIBE MATERIAL DEL PROVEEDOR INNERCIA CON REMISIÃ“N NÂ°38950 SIN NOVEDAD"/>
    <s v="ME"/>
    <x v="42"/>
    <s v="CRD025041"/>
    <s v="EXHIBIDOR DE MOSTRADOR INFUSIONES TOSH"/>
    <s v="UND"/>
    <m/>
    <n v="12000000"/>
    <n v="12000000"/>
    <s v="0.000000"/>
    <n v="0"/>
    <n v="0"/>
    <x v="1"/>
    <s v="NUTRESA"/>
    <s v="BUEN"/>
    <m/>
    <m/>
    <m/>
    <m/>
    <s v="SBELLO"/>
    <s v="2021-12-21 10:54:34.716708"/>
  </r>
  <r>
    <x v="142"/>
    <s v="BUCA"/>
    <n v="29123"/>
    <s v="NUTRESA"/>
    <s v="NUTRESA - COMERCIAL NUTRESA SAS"/>
    <d v="2021-12-21T00:00:00"/>
    <s v="COMPLETADO"/>
    <s v="RECEPCIO"/>
    <n v="1"/>
    <s v="OTROS"/>
    <s v="SBELLO"/>
    <s v="2021-12-21 10:55:28.668799"/>
    <n v="0"/>
    <n v="0"/>
    <s v="SE RECIBE MATERIAL DEL PROVEEDOR INNERCIA CON REMISIÃ“N NÂ°38950 SIN NOVEDAD"/>
    <s v="ME"/>
    <x v="68"/>
    <s v="CRD025040"/>
    <s v="SHIPPER INFUSIONES TOSH"/>
    <s v="UND"/>
    <m/>
    <n v="1000000"/>
    <n v="1000000"/>
    <s v="0.000000"/>
    <n v="0"/>
    <n v="0"/>
    <x v="1"/>
    <s v="NUTRESA"/>
    <s v="BUEN"/>
    <m/>
    <m/>
    <m/>
    <m/>
    <s v="SBELLO"/>
    <s v="2021-12-21 10:54:45.403719"/>
  </r>
  <r>
    <x v="143"/>
    <s v="BUCA"/>
    <n v="29124"/>
    <s v="NUTRESA"/>
    <s v="NUTRESA - COMERCIAL NUTRESA SAS"/>
    <d v="2021-12-21T00:00:00"/>
    <s v="COMPLETADO"/>
    <s v="RECEPCIO"/>
    <n v="1"/>
    <s v="OTROS"/>
    <m/>
    <s v="2021-12-21 10:28:02.747539"/>
    <n v="0"/>
    <n v="0"/>
    <s v="SE RECIBE MATERIAL DEL PROVEEDOR INNERCIA CON REMISIÃ“N NÂ°38953 SIN NOVEDAD"/>
    <s v="ME"/>
    <x v="68"/>
    <s v="CRD025040"/>
    <s v="SHIPPER INFUSIONES TOSH"/>
    <s v="UND"/>
    <m/>
    <n v="4000000"/>
    <n v="4000000"/>
    <s v="0.000000"/>
    <n v="0"/>
    <n v="0"/>
    <x v="2"/>
    <s v="NUTRESA"/>
    <s v="BUEN"/>
    <m/>
    <m/>
    <m/>
    <m/>
    <s v="SBELLO"/>
    <s v="2021-12-21 10:55:43.976082"/>
  </r>
  <r>
    <x v="144"/>
    <s v="CALI"/>
    <n v="52309"/>
    <s v="NUTRESA"/>
    <s v="NUTRESA - COMERCIAL NUTRESA SAS"/>
    <d v="2021-11-29T00:00:00"/>
    <s v="COMPLETADO"/>
    <s v="RECEPCIO"/>
    <n v="1"/>
    <s v="OTROS"/>
    <s v="JAGIRALDO"/>
    <s v="2021-11-29 13:17:35.623217"/>
    <n v="0"/>
    <n v="0"/>
    <s v="DEV. DEL PDV &quot;SURTIALAMEDA&quot; CON RECOGIDA NÂ°190648 -"/>
    <s v="ME"/>
    <x v="10"/>
    <s v="ACT000436"/>
    <s v="MUEBLE AUTODEGUSTADOR GENERICO"/>
    <s v="UND"/>
    <m/>
    <n v="1000000"/>
    <n v="1000000"/>
    <s v="0.000000"/>
    <n v="91554"/>
    <n v="0"/>
    <x v="2"/>
    <s v="BPO"/>
    <s v="AVER"/>
    <m/>
    <m/>
    <m/>
    <m/>
    <s v="JCAMACHO"/>
    <s v="2021-11-29 12:03:29.202509"/>
  </r>
  <r>
    <x v="145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2"/>
    <s v="CRD024843"/>
    <s v="POSTAL COLCAFE CLASICO"/>
    <s v="UND"/>
    <m/>
    <n v="500000000"/>
    <n v="500000000"/>
    <s v="0.000000"/>
    <n v="0"/>
    <n v="0"/>
    <x v="2"/>
    <s v="BPO"/>
    <s v="BUEN"/>
    <m/>
    <m/>
    <m/>
    <m/>
    <s v="CMOSQUERA"/>
    <s v="2021-11-29 12:13:59.833506"/>
  </r>
  <r>
    <x v="146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5"/>
    <s v="CRD024842"/>
    <s v="POSTAL COLCAFE DESCAFEINADO"/>
    <s v="UND"/>
    <m/>
    <n v="500000000"/>
    <n v="500000000"/>
    <s v="0.000000"/>
    <n v="0"/>
    <n v="0"/>
    <x v="2"/>
    <s v="BPO"/>
    <s v="BUEN"/>
    <m/>
    <m/>
    <m/>
    <m/>
    <s v="CMOSQUERA"/>
    <s v="2021-11-29 12:14:11.256407"/>
  </r>
  <r>
    <x v="147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5"/>
    <s v="CRD024842"/>
    <s v="POSTAL COLCAFE DESCAFEINADO"/>
    <s v="UND"/>
    <m/>
    <n v="1000000000"/>
    <n v="1000000000"/>
    <s v="0.000000"/>
    <n v="0"/>
    <n v="0"/>
    <x v="0"/>
    <s v="BPO"/>
    <s v="BUEN"/>
    <m/>
    <m/>
    <m/>
    <m/>
    <s v="CMOSQUERA"/>
    <s v="2021-11-29 12:14:09.449507"/>
  </r>
  <r>
    <x v="148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2"/>
    <s v="CRD024843"/>
    <s v="POSTAL COLCAFE CLASICO"/>
    <s v="UND"/>
    <m/>
    <n v="1000000000"/>
    <n v="1000000000"/>
    <s v="0.000000"/>
    <n v="0"/>
    <n v="0"/>
    <x v="0"/>
    <s v="BPO"/>
    <s v="BUEN"/>
    <m/>
    <m/>
    <m/>
    <m/>
    <s v="CMOSQUERA"/>
    <s v="2021-11-29 12:13:58.464484"/>
  </r>
  <r>
    <x v="149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4"/>
    <s v="CRD024844"/>
    <s v="POSTAL COLCAFE VAINILLA"/>
    <s v="UND"/>
    <m/>
    <n v="500000000"/>
    <n v="500000000"/>
    <s v="0.000000"/>
    <n v="0"/>
    <n v="0"/>
    <x v="2"/>
    <s v="BPO"/>
    <s v="BUEN"/>
    <m/>
    <m/>
    <m/>
    <m/>
    <s v="CMOSQUERA"/>
    <s v="2021-11-29 12:13:47.947971"/>
  </r>
  <r>
    <x v="150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4"/>
    <s v="CRD024844"/>
    <s v="POSTAL COLCAFE VAINILLA"/>
    <s v="UND"/>
    <m/>
    <n v="1000000000"/>
    <n v="1000000000"/>
    <s v="0.000000"/>
    <n v="0"/>
    <n v="0"/>
    <x v="0"/>
    <s v="BPO"/>
    <s v="BUEN"/>
    <m/>
    <m/>
    <m/>
    <m/>
    <s v="CMOSQUERA"/>
    <s v="2021-11-29 12:13:46.396179"/>
  </r>
  <r>
    <x v="151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3"/>
    <s v="CRD024845"/>
    <s v="POSTAL COLCAFE GRANULADO"/>
    <s v="UND"/>
    <m/>
    <n v="500000000"/>
    <n v="500000000"/>
    <s v="0.000000"/>
    <n v="0"/>
    <n v="0"/>
    <x v="2"/>
    <s v="BPO"/>
    <s v="BUEN"/>
    <m/>
    <m/>
    <m/>
    <m/>
    <s v="CMOSQUERA"/>
    <s v="2021-11-29 12:12:21.431513"/>
  </r>
  <r>
    <x v="152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3"/>
    <s v="CRD024845"/>
    <s v="POSTAL COLCAFE GRANULADO"/>
    <s v="UND"/>
    <m/>
    <n v="1000000000"/>
    <n v="1000000000"/>
    <s v="0.000000"/>
    <n v="0"/>
    <n v="0"/>
    <x v="0"/>
    <s v="BPO"/>
    <s v="BUEN"/>
    <m/>
    <m/>
    <m/>
    <m/>
    <s v="CMOSQUERA"/>
    <s v="2021-11-29 12:12:43.292509"/>
  </r>
  <r>
    <x v="153"/>
    <s v="CALI"/>
    <n v="52358"/>
    <s v="NUTRESA"/>
    <s v="NUTRESA - COMERCIAL NUTRESA SAS"/>
    <d v="2021-11-30T00:00:00"/>
    <s v="COMPLETADO"/>
    <s v="RECEPCIO"/>
    <n v="1"/>
    <s v="OTROS"/>
    <s v="JAGIRALDO"/>
    <s v="2021-12-01 07:06:39.006231"/>
    <n v="0"/>
    <n v="0"/>
    <s v="SE RECIBE MATERIAL DEL PROVEEDOR &quot;CARTONERIA INDUSTRIAL&quot; CON REMISIÃ“N NÂ° - 74598"/>
    <s v="MP"/>
    <x v="69"/>
    <s v="CRD022322"/>
    <s v="PLEGADIZA Y CARTON FABRICA DE ANCHETAS NAVIDAD PAQ X 40 UND"/>
    <s v="PAQ"/>
    <m/>
    <n v="75000000"/>
    <n v="75000000"/>
    <s v="0.000000"/>
    <n v="0"/>
    <n v="0"/>
    <x v="2"/>
    <s v="BPO"/>
    <s v="BUEN"/>
    <m/>
    <m/>
    <m/>
    <m/>
    <s v="CMOSQUERA"/>
    <s v="2021-11-30 18:14:33.253598"/>
  </r>
  <r>
    <x v="154"/>
    <s v="CALI"/>
    <n v="52385"/>
    <s v="NUTRESA"/>
    <s v="NUTRESA - COMERCIAL NUTRESA SAS"/>
    <d v="2021-12-01T00:00:00"/>
    <s v="COMPLETADO"/>
    <s v="RECEPCIO"/>
    <n v="1"/>
    <s v="OTROS"/>
    <s v="JAGIRALDO"/>
    <s v="2021-12-01 15:14:05.908272"/>
    <n v="0"/>
    <n v="0"/>
    <s v="SE RECIBE MATERIAL DEL PROVEEDOR &quot;NUTREASA&quot; CON GUIA NÂ° - 700065170456"/>
    <s v="ME"/>
    <x v="70"/>
    <s v="CRD023535"/>
    <s v="BALCON CROSS DOBLE SELLO ROJO KIT AU 2021"/>
    <s v="UND"/>
    <m/>
    <n v="2000000"/>
    <n v="2000000"/>
    <s v="0.000000"/>
    <n v="0"/>
    <n v="0"/>
    <x v="2"/>
    <s v="NUTRESA"/>
    <s v="BUEN"/>
    <m/>
    <m/>
    <m/>
    <m/>
    <s v="CMOSQUERA"/>
    <s v="2021-12-01 11:18:34.981269"/>
  </r>
  <r>
    <x v="155"/>
    <s v="CALI"/>
    <n v="52389"/>
    <s v="NUTRESA"/>
    <s v="NUTRESA - COMERCIAL NUTRESA SAS"/>
    <d v="2021-12-01T00:00:00"/>
    <s v="COMPLETADO"/>
    <s v="RECEPCIO"/>
    <n v="1"/>
    <s v="OTROS"/>
    <s v="JAGIRALDO"/>
    <s v="2021-12-01 15:09:45.791572"/>
    <n v="0"/>
    <n v="0"/>
    <s v="SE RECIBE MATERIAL DEL PROVEEDOR &quot;SOUVENIR&quot; CON REMISIÃ“N NÂ° - 30648"/>
    <s v="MP"/>
    <x v="8"/>
    <s v="CRD025003"/>
    <s v="BOLSA CEN"/>
    <s v="UND"/>
    <m/>
    <n v="100000000"/>
    <n v="100000000"/>
    <s v="0.000000"/>
    <n v="0"/>
    <n v="0"/>
    <x v="0"/>
    <s v="BPO"/>
    <s v="BUEN"/>
    <m/>
    <m/>
    <m/>
    <m/>
    <s v="CMOSQUERA"/>
    <s v="2021-12-01 14:10:39.648867"/>
  </r>
  <r>
    <x v="156"/>
    <s v="CALI"/>
    <n v="52395"/>
    <s v="NUTRESA"/>
    <s v="NUTRESA - COMERCIAL NUTRESA SAS"/>
    <d v="2021-12-02T00:00:00"/>
    <s v="COMPLETADO"/>
    <s v="RECEPCIO"/>
    <n v="1"/>
    <s v="OTROS"/>
    <s v="JAGIRALDO"/>
    <s v="2021-12-02 18:02:57.205803"/>
    <n v="0"/>
    <n v="0"/>
    <s v="SE RECIBE MATERIAL DEL PROVEEDOR &quot;PLASTIPACK&quot; CON REMISIÃ“N NÂ° - 83116"/>
    <s v="M"/>
    <x v="7"/>
    <s v="CRD024849"/>
    <s v="BOLSA TROQUELADA PIGMENTADA IMPRESA - BOLSA NAVIDAD"/>
    <s v="UND"/>
    <m/>
    <n v="15000000000"/>
    <n v="15000000000"/>
    <s v="0.000000"/>
    <n v="0"/>
    <n v="0"/>
    <x v="2"/>
    <s v="NUTRESA"/>
    <s v="BUEN"/>
    <m/>
    <m/>
    <m/>
    <m/>
    <s v="CMOSQUERA"/>
    <s v="2021-12-02 09:09:43.864978"/>
  </r>
  <r>
    <x v="157"/>
    <s v="CALI"/>
    <n v="52396"/>
    <s v="NUTRESA"/>
    <s v="NUTRESA - COMERCIAL NUTRESA SAS"/>
    <d v="2021-12-02T00:00:00"/>
    <s v="COMPLETADO"/>
    <s v="RECEPCIO"/>
    <n v="1"/>
    <s v="OTROS"/>
    <s v="JAGIRALDO"/>
    <s v="2021-12-06 09:53:49.87044"/>
    <n v="0"/>
    <n v="0"/>
    <s v="DEV. DEL PDV &quot;TALLER APUNTO&quot; CON RECOGIDA NÂ° -5356"/>
    <s v="ME"/>
    <x v="35"/>
    <s v="ACT000225"/>
    <s v="NEVERA HACEB TD"/>
    <s v="UND"/>
    <s v="ACT000225"/>
    <n v="1000000"/>
    <n v="1000000"/>
    <s v="0.000000"/>
    <n v="130680"/>
    <n v="0"/>
    <x v="1"/>
    <s v="NUTRESA"/>
    <s v="BAJA"/>
    <m/>
    <m/>
    <m/>
    <m/>
    <s v="JAGIRALDO"/>
    <s v="2021-12-02 07:44:29.406664"/>
  </r>
  <r>
    <x v="158"/>
    <s v="CALI"/>
    <n v="52429"/>
    <s v="NUTRESA"/>
    <s v="NUTRESA - COMERCIAL NUTRESA SAS"/>
    <d v="2021-12-03T00:00:00"/>
    <s v="COMPLETADO"/>
    <s v="RECEPCIO"/>
    <n v="1"/>
    <s v="OTROS"/>
    <s v="JAGIRALDO"/>
    <s v="2021-12-06 09:28:03.482276"/>
    <n v="0"/>
    <n v="0"/>
    <s v="DEV. DEL PDV &quot;OPERAR CALI&quot; CON RECOGIDA NÂ° 5367-"/>
    <s v="ME"/>
    <x v="71"/>
    <s v="ACT000035"/>
    <s v="VP NEVERA GOLOSINAS JET TRADICIONALa"/>
    <s v="UND"/>
    <m/>
    <n v="1000000"/>
    <n v="1000000"/>
    <s v="0.000000"/>
    <n v="62729"/>
    <n v="0"/>
    <x v="1"/>
    <s v="NUTRESA"/>
    <s v="BAJA"/>
    <m/>
    <m/>
    <m/>
    <m/>
    <s v="CMOSQUERA"/>
    <s v="2021-12-04 08:18:26.849431"/>
  </r>
  <r>
    <x v="159"/>
    <s v="CALI"/>
    <n v="52556"/>
    <s v="NUTRESA"/>
    <s v="NUTRESA - COMERCIAL NUTRESA SAS"/>
    <d v="2021-12-11T00:00:00"/>
    <s v="COMPLETADO"/>
    <s v="RECEPCIO"/>
    <n v="1"/>
    <s v="OTROS"/>
    <s v="JAGIRALDO"/>
    <s v="2021-12-13 10:35:48.454479"/>
    <n v="0"/>
    <n v="0"/>
    <s v="SE RECIBE MATERIAL DEL PROVEEDOR &quot;MARQUILLAS&quot; CON REMISIÃ“N NÂ° - CRV-32282"/>
    <s v="MP"/>
    <x v="16"/>
    <s v="CRD025004"/>
    <s v="AYUDAVENTAS TACO DIA MIEL"/>
    <s v="UND"/>
    <m/>
    <n v="80000000"/>
    <n v="80000000"/>
    <s v="0.000000"/>
    <n v="0"/>
    <n v="0"/>
    <x v="1"/>
    <s v="NUTRESA"/>
    <s v="BUEN"/>
    <m/>
    <m/>
    <m/>
    <m/>
    <s v="CMOSQUERA"/>
    <s v="2021-12-11 08:47:02.099651"/>
  </r>
  <r>
    <x v="160"/>
    <s v="CALI"/>
    <n v="52583"/>
    <s v="NUTRESA"/>
    <s v="NUTRESA - COMERCIAL NUTRESA SAS"/>
    <d v="2021-12-13T00:00:00"/>
    <s v="COMPLETADO"/>
    <s v="RECEPCIO"/>
    <n v="1"/>
    <s v="OTROS"/>
    <s v="JAGIRALDO"/>
    <s v="2021-12-13 11:24:57.10179"/>
    <n v="0"/>
    <n v="0"/>
    <s v="SE RECIBE MATERIAL DEL PROVEEDOR &quot;OPENMINDS&quot; CON REMISIÃ“N NÂ° - 2949"/>
    <s v="ME"/>
    <x v="25"/>
    <s v="CRD024971"/>
    <s v="EXHIBIDOR ENLATADOS TIENDAS"/>
    <s v="UND"/>
    <m/>
    <n v="522000000"/>
    <n v="522000000"/>
    <s v="0.000000"/>
    <n v="0"/>
    <n v="0"/>
    <x v="1"/>
    <s v="NUTRESA"/>
    <s v="BUEN"/>
    <m/>
    <m/>
    <m/>
    <m/>
    <s v="JCAMACHO"/>
    <s v="2021-12-13 10:59:12.798912"/>
  </r>
  <r>
    <x v="161"/>
    <s v="CALI"/>
    <n v="52606"/>
    <s v="NUTRESA"/>
    <s v="NUTRESA - COMERCIAL NUTRESA SAS"/>
    <d v="2021-12-14T00:00:00"/>
    <s v="COMPLETADO"/>
    <s v="RECEPCIO"/>
    <n v="1"/>
    <s v="OTROS"/>
    <s v="JAGIRALDO"/>
    <s v="2021-12-14 15:38:40.793214"/>
    <n v="0"/>
    <n v="0"/>
    <s v="SE RECIBE MATERIAL DEL PROVEEDOR &quot;IMPRESOS&quot; CON REMISIÃ“N NÂ° - 23785"/>
    <s v="MP"/>
    <x v="17"/>
    <s v="CRD025001"/>
    <s v="CHISPA DOYPACK CAPPUCCINO"/>
    <s v="UND"/>
    <m/>
    <n v="90000000"/>
    <n v="90000000"/>
    <s v="0.000000"/>
    <n v="0"/>
    <n v="0"/>
    <x v="2"/>
    <s v="NUTRESA"/>
    <s v="BUEN"/>
    <m/>
    <m/>
    <m/>
    <m/>
    <s v="CMOSQUERA"/>
    <s v="2021-12-14 08:10:40.813479"/>
  </r>
  <r>
    <x v="162"/>
    <s v="CALI"/>
    <n v="52606"/>
    <s v="NUTRESA"/>
    <s v="NUTRESA - COMERCIAL NUTRESA SAS"/>
    <d v="2021-12-14T00:00:00"/>
    <s v="COMPLETADO"/>
    <s v="RECEPCIO"/>
    <n v="1"/>
    <s v="OTROS"/>
    <s v="JAGIRALDO"/>
    <s v="2021-12-14 15:38:40.793214"/>
    <n v="0"/>
    <n v="0"/>
    <s v="SE RECIBE MATERIAL DEL PROVEEDOR &quot;IMPRESOS&quot; CON REMISIÃ“N NÂ° - 23785"/>
    <s v="MP"/>
    <x v="18"/>
    <s v="CRD025002"/>
    <s v="CHISPA DOYPACK 3 EN1"/>
    <s v="UND"/>
    <m/>
    <n v="90000000"/>
    <n v="90000000"/>
    <s v="0.000000"/>
    <n v="0"/>
    <n v="0"/>
    <x v="2"/>
    <s v="NUTRESA"/>
    <s v="BUEN"/>
    <m/>
    <m/>
    <m/>
    <m/>
    <s v="CMOSQUERA"/>
    <s v="2021-12-14 08:10:28.850199"/>
  </r>
  <r>
    <x v="163"/>
    <s v="CALI"/>
    <n v="52615"/>
    <s v="NUTRESA"/>
    <s v="NUTRESA - COMERCIAL NUTRESA SAS"/>
    <d v="2021-12-14T00:00:00"/>
    <s v="COMPLETADO"/>
    <s v="RECEPCIO"/>
    <n v="1"/>
    <s v="OTROS"/>
    <s v="JAGIRALDO"/>
    <s v="2021-12-15 10:33:09.693161"/>
    <n v="0"/>
    <n v="0"/>
    <s v="SE RECIBE MATERIAL DEL PROVEEDOR &quot;IMPRESOS&quot; CON REMISIÃ“N NÂ° - 23794"/>
    <s v="MP"/>
    <x v="19"/>
    <s v="CRD025008"/>
    <s v="MOVIL CAPPUCCINOS MAS BENEFICIOS"/>
    <s v="UND"/>
    <m/>
    <n v="2000000000"/>
    <n v="2000000000"/>
    <s v="0.000000"/>
    <n v="0"/>
    <n v="0"/>
    <x v="1"/>
    <s v="NUTRESA"/>
    <s v="BUEN"/>
    <m/>
    <m/>
    <m/>
    <m/>
    <s v="CMOSQUERA"/>
    <s v="2021-12-14 16:53:47.61816"/>
  </r>
  <r>
    <x v="164"/>
    <s v="CALI"/>
    <n v="52615"/>
    <s v="NUTRESA"/>
    <s v="NUTRESA - COMERCIAL NUTRESA SAS"/>
    <d v="2021-12-14T00:00:00"/>
    <s v="COMPLETADO"/>
    <s v="RECEPCIO"/>
    <n v="1"/>
    <s v="OTROS"/>
    <s v="JAGIRALDO"/>
    <s v="2021-12-15 10:33:09.693161"/>
    <n v="0"/>
    <n v="0"/>
    <s v="SE RECIBE MATERIAL DEL PROVEEDOR &quot;IMPRESOS&quot; CON REMISIÃ“N NÂ° - 23794"/>
    <s v="MP"/>
    <x v="21"/>
    <s v="CRD025010"/>
    <s v="AFICHE CAPPUCCINOS MAS BENEFICIOS"/>
    <s v="UND"/>
    <m/>
    <n v="1000000000"/>
    <n v="1000000000"/>
    <s v="0.000000"/>
    <n v="0"/>
    <n v="0"/>
    <x v="1"/>
    <s v="NUTRESA"/>
    <s v="BUEN"/>
    <m/>
    <m/>
    <m/>
    <m/>
    <s v="CMOSQUERA"/>
    <s v="2021-12-14 16:53:24.948328"/>
  </r>
  <r>
    <x v="165"/>
    <s v="CALI"/>
    <n v="52615"/>
    <s v="NUTRESA"/>
    <s v="NUTRESA - COMERCIAL NUTRESA SAS"/>
    <d v="2021-12-14T00:00:00"/>
    <s v="COMPLETADO"/>
    <s v="RECEPCIO"/>
    <n v="1"/>
    <s v="OTROS"/>
    <s v="JAGIRALDO"/>
    <s v="2021-12-15 10:33:09.693161"/>
    <n v="0"/>
    <n v="0"/>
    <s v="SE RECIBE MATERIAL DEL PROVEEDOR &quot;IMPRESOS&quot; CON REMISIÃ“N NÂ° - 23794"/>
    <s v="MP"/>
    <x v="20"/>
    <s v="CRD025009"/>
    <s v="CHISPA CAPPUCCINOS MAS BENEFICIOS"/>
    <s v="UND"/>
    <m/>
    <n v="1400000000"/>
    <n v="1400000000"/>
    <s v="0.000000"/>
    <n v="0"/>
    <n v="0"/>
    <x v="1"/>
    <s v="NUTRESA"/>
    <s v="BUEN"/>
    <m/>
    <m/>
    <m/>
    <m/>
    <s v="CMOSQUERA"/>
    <s v="2021-12-14 16:53:37.355994"/>
  </r>
  <r>
    <x v="166"/>
    <s v="CALI"/>
    <n v="52625"/>
    <s v="NUTRESA"/>
    <s v="NUTRESA - COMERCIAL NUTRESA SAS"/>
    <d v="2021-12-14T00:00:00"/>
    <s v="COMPLETADO"/>
    <s v="RECEPCIO"/>
    <n v="1"/>
    <s v="OTROS"/>
    <s v="JAGIRALDO"/>
    <s v="2021-12-15 10:33:48.140742"/>
    <n v="0"/>
    <n v="0"/>
    <s v="DEV. DEL PDV &quot;GARCIA GIRALDO&quot; CON RECOGIDA NÂ°5421 -"/>
    <s v="ME"/>
    <x v="72"/>
    <s v="CRD018324"/>
    <s v="PUESTO DE PAGO MINIMERCADO PARTE 1"/>
    <s v="UND"/>
    <m/>
    <n v="1000000"/>
    <n v="1000000"/>
    <s v="0.000000"/>
    <n v="0"/>
    <n v="0"/>
    <x v="2"/>
    <s v="NUTRESA"/>
    <s v="BAJA"/>
    <m/>
    <m/>
    <m/>
    <m/>
    <s v="CMOSQUERA"/>
    <s v="2021-12-14 16:49:04.159761"/>
  </r>
  <r>
    <x v="167"/>
    <s v="CALI"/>
    <n v="52625"/>
    <s v="NUTRESA"/>
    <s v="NUTRESA - COMERCIAL NUTRESA SAS"/>
    <d v="2021-12-14T00:00:00"/>
    <s v="COMPLETADO"/>
    <s v="RECEPCIO"/>
    <n v="1"/>
    <s v="OTROS"/>
    <s v="JAGIRALDO"/>
    <s v="2021-12-15 10:33:48.140742"/>
    <n v="0"/>
    <n v="0"/>
    <s v="DEV. DEL PDV &quot;GARCIA GIRALDO&quot; CON RECOGIDA NÂ°5421 -"/>
    <s v="ME"/>
    <x v="73"/>
    <s v="CRD018325"/>
    <s v="PUESTO DE PAGO MINIMERCADO PARTE 2"/>
    <s v="UND"/>
    <m/>
    <n v="1000000"/>
    <n v="1000000"/>
    <s v="0.000000"/>
    <n v="0"/>
    <n v="0"/>
    <x v="2"/>
    <s v="NUTRESA"/>
    <s v="BAJA"/>
    <m/>
    <m/>
    <m/>
    <m/>
    <s v="CMOSQUERA"/>
    <s v="2021-12-14 16:48:42.739716"/>
  </r>
  <r>
    <x v="168"/>
    <s v="CALI"/>
    <n v="52634"/>
    <s v="NUTRESA"/>
    <s v="NUTRESA - COMERCIAL NUTRESA SAS"/>
    <d v="2021-12-15T00:00:00"/>
    <s v="COMPLETADO"/>
    <s v="RECEPCIO"/>
    <n v="1"/>
    <s v="OTROS"/>
    <s v="JAGIRALDO"/>
    <s v="2021-12-15 10:31:05.605781"/>
    <n v="0"/>
    <n v="0"/>
    <s v="SE RECIBE MATERIAL DEL PROVEEDOR &quot;MARQUILLAS&quot; CON REMISIÃ“N NÂ° - 4502232635"/>
    <s v="MP"/>
    <x v="26"/>
    <s v="CRD025006"/>
    <s v="AYUDAVENTAS BUBRUJAS CC"/>
    <s v="UND"/>
    <m/>
    <n v="79000000"/>
    <n v="79000000"/>
    <s v="0.000000"/>
    <n v="0"/>
    <n v="0"/>
    <x v="1"/>
    <s v="NUTRESA"/>
    <s v="BUEN"/>
    <m/>
    <m/>
    <m/>
    <m/>
    <s v="CMOSQUERA"/>
    <s v="2021-12-15 07:54:14.995414"/>
  </r>
  <r>
    <x v="169"/>
    <s v="CALI"/>
    <n v="52635"/>
    <s v="NUTRESA"/>
    <s v="NUTRESA - COMERCIAL NUTRESA SAS"/>
    <d v="2021-12-15T00:00:00"/>
    <s v="COMPLETADO"/>
    <s v="RECEPCIO"/>
    <n v="1"/>
    <s v="OTROS"/>
    <s v="JAGIRALDO"/>
    <s v="2021-12-15 10:29:37.529185"/>
    <n v="0"/>
    <n v="0"/>
    <s v="SE RECIBE MATERIAL DEL PROVEEDOR &quot;LANDERS&quot; CON FACTURA NÂ° 1205247-"/>
    <s v="M"/>
    <x v="60"/>
    <s v="CRD018765"/>
    <s v="SET SARTEN 18 Y 20 CMS UNIVERSAL"/>
    <s v="UND"/>
    <s v="CRD018765"/>
    <n v="50000000"/>
    <n v="50000000"/>
    <s v="0.000000"/>
    <n v="0"/>
    <n v="0"/>
    <x v="0"/>
    <s v="BPO"/>
    <s v="BUEN"/>
    <m/>
    <m/>
    <m/>
    <m/>
    <s v="CMOSQUERA"/>
    <s v="2021-12-15 08:05:23.632131"/>
  </r>
  <r>
    <x v="170"/>
    <s v="CALI"/>
    <n v="52696"/>
    <s v="NUTRESA"/>
    <s v="NUTRESA - COMERCIAL NUTRESA SAS"/>
    <d v="2021-12-16T00:00:00"/>
    <s v="COMPLETADO"/>
    <s v="RECEPCIO"/>
    <n v="1"/>
    <s v="OTROS"/>
    <s v="JAGIRALDO"/>
    <s v="2021-12-16 15:04:50.072997"/>
    <n v="0"/>
    <n v="0"/>
    <s v="SE RECIBE MATERIAL DEL PROVEEDOR &quot;OPEN MINDS&quot; CON REMISIÃ“N NÂ° 2992"/>
    <s v="ME"/>
    <x v="33"/>
    <s v="CRD025023"/>
    <s v="BALCON COLCAFE 3 EN 1 MAS CREMOSO"/>
    <s v="UND"/>
    <m/>
    <n v="40000000"/>
    <n v="40000000"/>
    <s v="0.000000"/>
    <n v="0"/>
    <n v="0"/>
    <x v="2"/>
    <s v="NUTRESA"/>
    <s v="BUEN"/>
    <m/>
    <m/>
    <m/>
    <m/>
    <s v="CMOSQUERA"/>
    <s v="2021-12-16 14:50:15.518272"/>
  </r>
  <r>
    <x v="171"/>
    <s v="CALI"/>
    <n v="52711"/>
    <s v="NUTRESA"/>
    <s v="NUTRESA - COMERCIAL NUTRESA SAS"/>
    <d v="2021-12-17T00:00:00"/>
    <s v="COMPLETADO"/>
    <s v="RECEPCIO"/>
    <n v="1"/>
    <s v="OTROS"/>
    <s v="JAGIRALDO"/>
    <s v="2021-12-17 11:30:11.343361"/>
    <n v="0"/>
    <n v="0"/>
    <s v="DEV. DEL PDV &quot;PRICESMART CALI&quot; CON RECOGIDA NÂ°5433-"/>
    <s v="M"/>
    <x v="46"/>
    <s v="CRD016151"/>
    <s v="DISPENSADOR DE CAPSULAS EXPRESS NUTRESA"/>
    <s v="UND"/>
    <m/>
    <n v="5000000"/>
    <n v="5000000"/>
    <s v="0.000000"/>
    <n v="0"/>
    <n v="0"/>
    <x v="0"/>
    <s v="BPO"/>
    <s v="BUEN"/>
    <m/>
    <m/>
    <m/>
    <m/>
    <s v="CMOSQUERA"/>
    <s v="2021-12-17 11:21:50.814617"/>
  </r>
  <r>
    <x v="172"/>
    <s v="CALI"/>
    <n v="52711"/>
    <s v="NUTRESA"/>
    <s v="NUTRESA - COMERCIAL NUTRESA SAS"/>
    <d v="2021-12-17T00:00:00"/>
    <s v="COMPLETADO"/>
    <s v="RECEPCIO"/>
    <n v="1"/>
    <s v="OTROS"/>
    <s v="JAGIRALDO"/>
    <s v="2021-12-17 11:30:11.343361"/>
    <n v="0"/>
    <n v="0"/>
    <s v="DEV. DEL PDV &quot;PRICESMART CALI&quot; CON RECOGIDA NÂ°5433-"/>
    <s v="P"/>
    <x v="45"/>
    <s v="CRD022670"/>
    <s v="PLEGADIZA CAPSULA EXPRESS CHOCOLISTO 13.5G X 10 UDS"/>
    <s v="UND"/>
    <m/>
    <n v="1000000"/>
    <n v="1000000"/>
    <s v="0.000000"/>
    <n v="0"/>
    <s v="CAL06022022"/>
    <x v="0"/>
    <s v="BPO"/>
    <s v="BUEN"/>
    <d v="2022-06-02T00:00:00"/>
    <m/>
    <d v="2022-06-02T00:00:00"/>
    <m/>
    <s v="CMOSQUERA"/>
    <s v="2021-12-17 11:21:40.420161"/>
  </r>
  <r>
    <x v="173"/>
    <s v="CALI"/>
    <n v="52711"/>
    <s v="NUTRESA"/>
    <s v="NUTRESA - COMERCIAL NUTRESA SAS"/>
    <d v="2021-12-17T00:00:00"/>
    <s v="COMPLETADO"/>
    <s v="RECEPCIO"/>
    <n v="1"/>
    <s v="OTROS"/>
    <s v="JAGIRALDO"/>
    <s v="2021-12-17 11:30:11.343361"/>
    <n v="0"/>
    <n v="0"/>
    <s v="DEV. DEL PDV &quot;PRICESMART CALI&quot; CON RECOGIDA NÂ°5433-"/>
    <s v="P"/>
    <x v="47"/>
    <s v="CRD014117"/>
    <s v="PLEGADIZA SELLO ROJO CPE"/>
    <s v="UND"/>
    <m/>
    <n v="5000000"/>
    <n v="5000000"/>
    <s v="0.000000"/>
    <n v="0"/>
    <s v="CAL05132022"/>
    <x v="0"/>
    <s v="BPO"/>
    <s v="BUEN"/>
    <d v="2022-05-13T00:00:00"/>
    <m/>
    <d v="2022-05-13T00:00:00"/>
    <m/>
    <s v="CMOSQUERA"/>
    <s v="2021-12-17 11:22:25.509284"/>
  </r>
  <r>
    <x v="155"/>
    <s v="CALI"/>
    <n v="52711"/>
    <s v="NUTRESA"/>
    <s v="NUTRESA - COMERCIAL NUTRESA SAS"/>
    <d v="2021-12-17T00:00:00"/>
    <s v="COMPLETADO"/>
    <s v="RECEPCIO"/>
    <n v="1"/>
    <s v="OTROS"/>
    <s v="JAGIRALDO"/>
    <s v="2021-12-17 11:30:11.343361"/>
    <n v="0"/>
    <n v="0"/>
    <s v="DEV. DEL PDV &quot;PRICESMART CALI&quot; CON RECOGIDA NÂ°5433-"/>
    <s v="MP"/>
    <x v="8"/>
    <s v="CRD025003"/>
    <s v="BOLSA CEN"/>
    <s v="UND"/>
    <m/>
    <n v="5000000"/>
    <n v="5000000"/>
    <s v="0.000000"/>
    <n v="0"/>
    <n v="0"/>
    <x v="0"/>
    <s v="BPO"/>
    <s v="BUEN"/>
    <m/>
    <m/>
    <m/>
    <m/>
    <s v="CMOSQUERA"/>
    <s v="2021-12-17 11:19:37.603546"/>
  </r>
  <r>
    <x v="174"/>
    <s v="CALI"/>
    <n v="52713"/>
    <s v="NUTRESA"/>
    <s v="NUTRESA - COMERCIAL NUTRESA SAS"/>
    <d v="2021-12-17T00:00:00"/>
    <s v="COMPLETADO"/>
    <s v="RECEPCIO"/>
    <n v="1"/>
    <s v="OTROS"/>
    <s v="JAGIRALDO"/>
    <s v="2021-12-17 14:18:34.679827"/>
    <n v="0"/>
    <n v="0"/>
    <s v="DEV. DEL PDV &quot;PRICESMART CALI MENGA&quot; CON RECOGIDA NÂ° 5432- MUEBLE PELADO"/>
    <s v="ME"/>
    <x v="74"/>
    <s v="CRD024953"/>
    <s v="MUEBLE X 4 CAJAS EXPERIENCIA CAPSULAS EXPRESS"/>
    <s v="UND"/>
    <m/>
    <n v="1000000"/>
    <n v="1000000"/>
    <s v="0.000000"/>
    <n v="0"/>
    <n v="0"/>
    <x v="0"/>
    <s v="NUTRESA"/>
    <s v="AVER"/>
    <m/>
    <m/>
    <m/>
    <m/>
    <s v="CMOSQUERA"/>
    <s v="2021-12-17 13:42:58.495158"/>
  </r>
  <r>
    <x v="175"/>
    <s v="CALI"/>
    <n v="52716"/>
    <s v="NUTRESA"/>
    <s v="NUTRESA - COMERCIAL NUTRESA SAS"/>
    <d v="2021-12-17T00:00:00"/>
    <s v="COMPLETADO"/>
    <s v="RECEPCIO"/>
    <n v="1"/>
    <s v="OTROS"/>
    <s v="JAGIRALDO"/>
    <s v="2021-12-17 14:47:56.941658"/>
    <n v="0"/>
    <n v="0"/>
    <s v="SE RECIBE MATERIAL DEL PROVEEDOR &quot;PAPELCARD&quot; CON REMISIÃ“N NÂ° 2021-1660-"/>
    <s v="MP"/>
    <x v="67"/>
    <s v="CRD025020"/>
    <s v="ROMPETRAFICO COLCAFE 3 EN 1 MAS CREMOSO"/>
    <s v="UND"/>
    <m/>
    <n v="60000000"/>
    <n v="60000000"/>
    <s v="0.000000"/>
    <n v="0"/>
    <n v="0"/>
    <x v="2"/>
    <s v="NUTRESA"/>
    <s v="BUEN"/>
    <m/>
    <m/>
    <m/>
    <m/>
    <s v="CMOSQUERA"/>
    <s v="2021-12-17 14:42:51.538401"/>
  </r>
  <r>
    <x v="176"/>
    <s v="CALI"/>
    <n v="52716"/>
    <s v="NUTRESA"/>
    <s v="NUTRESA - COMERCIAL NUTRESA SAS"/>
    <d v="2021-12-17T00:00:00"/>
    <s v="COMPLETADO"/>
    <s v="RECEPCIO"/>
    <n v="1"/>
    <s v="OTROS"/>
    <s v="JAGIRALDO"/>
    <s v="2021-12-17 14:47:56.941658"/>
    <n v="0"/>
    <n v="0"/>
    <s v="SE RECIBE MATERIAL DEL PROVEEDOR &quot;PAPELCARD&quot; CON REMISIÃ“N NÂ° 2021-1660-"/>
    <s v="MP"/>
    <x v="37"/>
    <s v="CRD025021"/>
    <s v="CHISPA COLCAFE 3 EN 1 MAS CREMOSO"/>
    <s v="UND"/>
    <m/>
    <n v="70000000"/>
    <n v="70000000"/>
    <s v="0.000000"/>
    <n v="0"/>
    <n v="0"/>
    <x v="2"/>
    <s v="NUTRESA"/>
    <s v="BUEN"/>
    <m/>
    <m/>
    <m/>
    <m/>
    <s v="CMOSQUERA"/>
    <s v="2021-12-17 14:42:42.011993"/>
  </r>
  <r>
    <x v="175"/>
    <s v="CALI"/>
    <n v="52717"/>
    <s v="NUTRESA"/>
    <s v="NUTRESA - COMERCIAL NUTRESA SAS"/>
    <d v="2021-12-17T00:00:00"/>
    <s v="COMPLETADO"/>
    <s v="RECEPCIO"/>
    <n v="1"/>
    <s v="OTROS"/>
    <s v="JAGIRALDO"/>
    <s v="2021-12-17 14:48:31.409483"/>
    <n v="0"/>
    <n v="0"/>
    <s v="SE RECIBE MATERIAL DEL PROVEEDOR &quot;PAPELCARD&quot; CON REMISIÃ“N NÂ° 2021-1659-"/>
    <s v="MP"/>
    <x v="67"/>
    <s v="CRD025020"/>
    <s v="ROMPETRAFICO COLCAFE 3 EN 1 MAS CREMOSO"/>
    <s v="UND"/>
    <m/>
    <n v="60000000"/>
    <n v="60000000"/>
    <s v="0.000000"/>
    <n v="0"/>
    <n v="0"/>
    <x v="2"/>
    <s v="NUTRESA"/>
    <s v="BUEN"/>
    <m/>
    <m/>
    <m/>
    <m/>
    <s v="CMOSQUERA"/>
    <s v="2021-12-17 14:41:40.334797"/>
  </r>
  <r>
    <x v="176"/>
    <s v="CALI"/>
    <n v="52717"/>
    <s v="NUTRESA"/>
    <s v="NUTRESA - COMERCIAL NUTRESA SAS"/>
    <d v="2021-12-17T00:00:00"/>
    <s v="COMPLETADO"/>
    <s v="RECEPCIO"/>
    <n v="1"/>
    <s v="OTROS"/>
    <s v="JAGIRALDO"/>
    <s v="2021-12-17 14:48:31.409483"/>
    <n v="0"/>
    <n v="0"/>
    <s v="SE RECIBE MATERIAL DEL PROVEEDOR &quot;PAPELCARD&quot; CON REMISIÃ“N NÂ° 2021-1659-"/>
    <s v="MP"/>
    <x v="37"/>
    <s v="CRD025021"/>
    <s v="CHISPA COLCAFE 3 EN 1 MAS CREMOSO"/>
    <s v="UND"/>
    <m/>
    <n v="50000000"/>
    <n v="50000000"/>
    <s v="0.000000"/>
    <n v="0"/>
    <n v="0"/>
    <x v="2"/>
    <s v="NUTRESA"/>
    <s v="BUEN"/>
    <m/>
    <m/>
    <m/>
    <m/>
    <s v="CMOSQUERA"/>
    <s v="2021-12-17 14:41:30.390212"/>
  </r>
  <r>
    <x v="177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75"/>
    <s v="CRD023611"/>
    <s v="CAPSULAS CAFE MATIZ EXPRESO AMBAR PLEGX10UND"/>
    <s v="UND"/>
    <m/>
    <n v="1000000"/>
    <n v="1000000"/>
    <s v="0.000000"/>
    <n v="0"/>
    <s v="CAL02262023"/>
    <x v="0"/>
    <s v="BPO"/>
    <s v="BUEN"/>
    <d v="2023-02-26T00:00:00"/>
    <m/>
    <d v="2023-02-26T00:00:00"/>
    <m/>
    <s v="CMOSQUERA"/>
    <s v="2021-12-17 15:58:18.462676"/>
  </r>
  <r>
    <x v="178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MP"/>
    <x v="76"/>
    <s v="CRD023405"/>
    <s v="RECETARIO CEN CAPSULAS EXPRESS"/>
    <s v="UND"/>
    <m/>
    <n v="100000000"/>
    <n v="100000000"/>
    <s v="0.000000"/>
    <n v="0"/>
    <n v="0"/>
    <x v="0"/>
    <s v="BPO"/>
    <s v="BUEN"/>
    <m/>
    <m/>
    <m/>
    <m/>
    <s v="CMOSQUERA"/>
    <s v="2021-12-17 15:58:35.84309"/>
  </r>
  <r>
    <x v="173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47"/>
    <s v="CRD014117"/>
    <s v="PLEGADIZA SELLO ROJO CPE"/>
    <s v="UND"/>
    <m/>
    <n v="1000000"/>
    <n v="1000000"/>
    <s v="0.000000"/>
    <n v="0"/>
    <s v="CAL05222023"/>
    <x v="0"/>
    <s v="BPO"/>
    <s v="BUEN"/>
    <d v="2023-05-22T00:00:00"/>
    <m/>
    <d v="2023-05-22T00:00:00"/>
    <m/>
    <s v="CMOSQUERA"/>
    <s v="2021-12-17 16:04:19.967245"/>
  </r>
  <r>
    <x v="179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77"/>
    <s v="CRD014118"/>
    <s v="PLEGADIZA MATIZ ESCARLATA CPE"/>
    <s v="UND"/>
    <m/>
    <n v="1000000"/>
    <n v="1000000"/>
    <s v="0.000000"/>
    <n v="0"/>
    <s v="CAL05222022"/>
    <x v="0"/>
    <s v="BPO"/>
    <s v="BUEN"/>
    <d v="2022-05-22T00:00:00"/>
    <m/>
    <d v="2022-05-22T00:00:00"/>
    <m/>
    <s v="CMOSQUERA"/>
    <s v="2021-12-17 16:03:34.089795"/>
  </r>
  <r>
    <x v="180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78"/>
    <s v="CRD014120"/>
    <s v="PLEGADIZA CORONA EXPRESS CPE"/>
    <s v="UND"/>
    <m/>
    <n v="1000000"/>
    <n v="1000000"/>
    <s v="0.000000"/>
    <n v="0"/>
    <s v="CAL03042022"/>
    <x v="0"/>
    <s v="BPO"/>
    <s v="BUEN"/>
    <d v="2022-03-04T00:00:00"/>
    <m/>
    <d v="2022-03-04T00:00:00"/>
    <m/>
    <s v="CMOSQUERA"/>
    <s v="2021-12-17 16:02:46.719203"/>
  </r>
  <r>
    <x v="171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M"/>
    <x v="46"/>
    <s v="CRD016151"/>
    <s v="DISPENSADOR DE CAPSULAS EXPRESS NUTRESA"/>
    <s v="UND"/>
    <m/>
    <n v="1000000"/>
    <n v="1000000"/>
    <s v="0.000000"/>
    <n v="0"/>
    <n v="0"/>
    <x v="0"/>
    <s v="BPO"/>
    <s v="BUEN"/>
    <m/>
    <m/>
    <m/>
    <m/>
    <s v="CMOSQUERA"/>
    <s v="2021-12-17 16:01:31.797454"/>
  </r>
  <r>
    <x v="181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IE"/>
    <x v="79"/>
    <s v="CRD019868"/>
    <s v="MAQUINA EVA CAPSULAS EXPRESS NUTRESA"/>
    <s v="UND"/>
    <m/>
    <n v="1000000"/>
    <n v="1000000"/>
    <s v="0.000000"/>
    <n v="0"/>
    <n v="0"/>
    <x v="0"/>
    <s v="BPO"/>
    <s v="BUEN"/>
    <m/>
    <m/>
    <m/>
    <m/>
    <s v="CMOSQUERA"/>
    <s v="2021-12-17 16:01:20.949851"/>
  </r>
  <r>
    <x v="182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80"/>
    <s v="CRD021350"/>
    <s v="PLEGADIZA CAPSULA EXPRESS COLCAFE CHAI LATTE 13G X 10 U"/>
    <s v="UND"/>
    <m/>
    <n v="1000000"/>
    <n v="1000000"/>
    <s v="0.000000"/>
    <n v="0"/>
    <s v="CAL05182022"/>
    <x v="0"/>
    <s v="BPO"/>
    <s v="BUEN"/>
    <d v="2022-05-18T00:00:00"/>
    <m/>
    <d v="2022-05-18T00:00:00"/>
    <m/>
    <s v="CMOSQUERA"/>
    <s v="2021-12-17 16:01:05.490518"/>
  </r>
  <r>
    <x v="183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81"/>
    <s v="CRD021973"/>
    <s v="PLEGADIZA CAPSULA EXPRESS SELLO ROJO VAINILLA X 6 GR X 10 UND"/>
    <s v="UND"/>
    <m/>
    <n v="1000000"/>
    <n v="1000000"/>
    <s v="0.000000"/>
    <n v="0"/>
    <s v="CAL05182022"/>
    <x v="0"/>
    <s v="BPO"/>
    <s v="BUEN"/>
    <d v="2022-05-18T00:00:00"/>
    <m/>
    <d v="2022-05-18T00:00:00"/>
    <m/>
    <s v="CMOSQUERA"/>
    <s v="2021-12-17 16:00:23.437745"/>
  </r>
  <r>
    <x v="155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MP"/>
    <x v="8"/>
    <s v="CRD025003"/>
    <s v="BOLSA CEN"/>
    <s v="UND"/>
    <m/>
    <n v="2000000"/>
    <n v="2000000"/>
    <s v="0.000000"/>
    <n v="0"/>
    <n v="0"/>
    <x v="0"/>
    <s v="BPO"/>
    <s v="BUEN"/>
    <m/>
    <m/>
    <m/>
    <m/>
    <s v="CMOSQUERA"/>
    <s v="2021-12-17 15:57:35.40702"/>
  </r>
  <r>
    <x v="172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45"/>
    <s v="CRD022670"/>
    <s v="PLEGADIZA CAPSULA EXPRESS CHOCOLISTO 13.5G X 10 UDS"/>
    <s v="UND"/>
    <m/>
    <n v="1000000"/>
    <n v="1000000"/>
    <s v="0.000000"/>
    <n v="0"/>
    <s v="CAL06022022"/>
    <x v="0"/>
    <s v="BPO"/>
    <s v="BUEN"/>
    <d v="2022-06-02T00:00:00"/>
    <m/>
    <d v="2022-06-02T00:00:00"/>
    <m/>
    <s v="CMOSQUERA"/>
    <s v="2021-12-17 15:59:27.819067"/>
  </r>
  <r>
    <x v="184"/>
    <s v="CALI"/>
    <n v="52745"/>
    <s v="NUTRESA"/>
    <s v="NUTRESA - COMERCIAL NUTRESA SAS"/>
    <d v="2021-12-20T00:00:00"/>
    <s v="COMPLETADO"/>
    <s v="RECEPCIO"/>
    <n v="1"/>
    <s v="OTROS"/>
    <s v="JAGIRALDO"/>
    <s v="2021-12-20 12:53:17.340992"/>
    <n v="0"/>
    <n v="0"/>
    <s v="SE RECIBE MATERIAL DEL PROVEEDOR &quot;INBIMA&quot; CON REMISIÃ“N NÂ° - 47942"/>
    <s v="MP"/>
    <x v="82"/>
    <s v="CRD025026"/>
    <s v="KIT DE IMAGENES PARA ESTIBA MULTIMARCA KIT 2021"/>
    <s v="UND"/>
    <m/>
    <n v="1000000"/>
    <n v="1000000"/>
    <s v="0.000000"/>
    <n v="0"/>
    <n v="0"/>
    <x v="0"/>
    <s v="NUTRESA"/>
    <s v="BUEN"/>
    <m/>
    <m/>
    <m/>
    <m/>
    <s v="HMCAMPO"/>
    <s v="2021-12-20 12:10:53.641084"/>
  </r>
  <r>
    <x v="185"/>
    <s v="CART"/>
    <n v="20442"/>
    <s v="NUTRESA"/>
    <s v="NUTRESA - COMERCIAL NUTRESA SAS"/>
    <d v="2021-11-30T00:00:00"/>
    <s v="COMPLETADO"/>
    <s v="RECEPCIO"/>
    <n v="1"/>
    <s v="OTROS"/>
    <s v="ECOAVASM"/>
    <s v="2021-11-30 08:44:47.968402"/>
    <s v="C/N 21438"/>
    <s v="C/N 21438"/>
    <s v="SE RECIBE MATERIAL DEL PROVEEDOR POP DISEÃ‘O Y PRODUCCION SAS CON REMISION N# 21438 CON NOVEDAD DE QUE LLEGARON 2 UNIDADES DEL CODIGO CRD024946 AVERIADAS"/>
    <s v="MP"/>
    <x v="43"/>
    <s v="CRD024946"/>
    <s v="ESTANDARTE TV NAVIDAD CARULLA EN FAMILIA"/>
    <s v="UND"/>
    <m/>
    <n v="2000000"/>
    <n v="2000000"/>
    <s v="0.000000"/>
    <n v="0"/>
    <n v="0"/>
    <x v="0"/>
    <s v="NUTRESA"/>
    <s v="AVER"/>
    <m/>
    <m/>
    <m/>
    <m/>
    <s v="ECOAVASM"/>
    <s v="2021-11-30 08:43:32.033072"/>
  </r>
  <r>
    <x v="185"/>
    <s v="CART"/>
    <n v="20442"/>
    <s v="NUTRESA"/>
    <s v="NUTRESA - COMERCIAL NUTRESA SAS"/>
    <d v="2021-11-30T00:00:00"/>
    <s v="COMPLETADO"/>
    <s v="RECEPCIO"/>
    <n v="1"/>
    <s v="OTROS"/>
    <s v="ECOAVASM"/>
    <s v="2021-11-30 08:44:47.968402"/>
    <s v="C/N 21438"/>
    <s v="C/N 21438"/>
    <s v="SE RECIBE MATERIAL DEL PROVEEDOR POP DISEÃ‘O Y PRODUCCION SAS CON REMISION N# 21438 CON NOVEDAD DE QUE LLEGARON 2 UNIDADES DEL CODIGO CRD024946 AVERIADAS"/>
    <s v="MP"/>
    <x v="43"/>
    <s v="CRD024946"/>
    <s v="ESTANDARTE TV NAVIDAD CARULLA EN FAMILIA"/>
    <s v="UND"/>
    <m/>
    <n v="2000000"/>
    <n v="2000000"/>
    <s v="0.000000"/>
    <n v="0"/>
    <n v="0"/>
    <x v="0"/>
    <s v="NUTRESA"/>
    <s v="BUEN"/>
    <m/>
    <m/>
    <m/>
    <m/>
    <s v="ECOAVASM"/>
    <s v="2021-11-30 08:43:34.054398"/>
  </r>
  <r>
    <x v="186"/>
    <s v="CART"/>
    <n v="20442"/>
    <s v="NUTRESA"/>
    <s v="NUTRESA - COMERCIAL NUTRESA SAS"/>
    <d v="2021-11-30T00:00:00"/>
    <s v="COMPLETADO"/>
    <s v="RECEPCIO"/>
    <n v="1"/>
    <s v="OTROS"/>
    <s v="ECOAVASM"/>
    <s v="2021-11-30 08:44:47.968402"/>
    <s v="C/N 21438"/>
    <s v="C/N 21438"/>
    <s v="SE RECIBE MATERIAL DEL PROVEEDOR POP DISEÃ‘O Y PRODUCCION SAS CON REMISION N# 21438 CON NOVEDAD DE QUE LLEGARON 2 UNIDADES DEL CODIGO CRD024946 AVERIADAS"/>
    <s v="MP"/>
    <x v="61"/>
    <s v="CRD024945"/>
    <s v="FRONTAL NAVIDAD CARULLA EN FAMILIA"/>
    <s v="UND"/>
    <m/>
    <n v="4000000"/>
    <n v="4000000"/>
    <s v="0.000000"/>
    <n v="0"/>
    <n v="0"/>
    <x v="0"/>
    <s v="NUTRESA"/>
    <s v="BUEN"/>
    <m/>
    <m/>
    <m/>
    <m/>
    <s v="ECOAVASM"/>
    <s v="2021-11-30 08:43:19.013899"/>
  </r>
  <r>
    <x v="187"/>
    <s v="CART"/>
    <n v="20443"/>
    <s v="NUTRESA"/>
    <s v="NUTRESA - COMERCIAL NUTRESA SAS"/>
    <d v="2021-11-30T00:00:00"/>
    <s v="COMPLETADO"/>
    <s v="RECEPCIO"/>
    <n v="1"/>
    <s v="OTROS"/>
    <s v="WHRINCON"/>
    <s v="2021-11-30 10:53:41.239736"/>
    <s v="C/N 1549"/>
    <s v="C/N 1549"/>
    <s v="DEV. DEL PDV 10518231 MEGA TIENDAS OLAYA HERRERA POR FINALIZACION O CANCELACION DEL EVENTO DEPACHO N# 36965 CON NOVEDAD"/>
    <s v="ME"/>
    <x v="83"/>
    <s v="ACT000176"/>
    <s v="NEVERA GOLOSINAS AU 1 CUERPO"/>
    <s v="UND"/>
    <s v="ACT000176"/>
    <n v="1000000"/>
    <n v="1000000"/>
    <s v="0.000000"/>
    <n v="79901"/>
    <n v="0"/>
    <x v="2"/>
    <s v="NUTRESA"/>
    <s v="BAJA"/>
    <m/>
    <m/>
    <m/>
    <m/>
    <s v="WHRINCON"/>
    <s v="2021-11-30 10:52:41.07763"/>
  </r>
  <r>
    <x v="188"/>
    <s v="CART"/>
    <n v="20451"/>
    <s v="NUTRESA"/>
    <s v="NUTRESA - COMERCIAL NUTRESA SAS"/>
    <d v="2021-11-30T00:00:00"/>
    <s v="COMPLETADO"/>
    <s v="RECEPCIO"/>
    <n v="1"/>
    <s v="OTROS"/>
    <s v="WHRINCON"/>
    <s v="2021-11-30 14:03:26.517366"/>
    <s v="C/N 1535"/>
    <n v="864100172303"/>
    <s v="DEV. DEL PDV 10198400 DISTRUBUCIONES RIO GRANDE POR FINALIZACION O CANCELACION DEL EVENTO CON RECOGIDA N# 1535 CON NOVEDAD"/>
    <s v="ME"/>
    <x v="84"/>
    <s v="ACT000063"/>
    <s v="VP NEVERA TERMOREFRIGERADA GOLOSINAS TD"/>
    <s v="UND"/>
    <s v="ACT000063"/>
    <n v="1000000"/>
    <n v="1000000"/>
    <s v="0.000000"/>
    <n v="88311"/>
    <n v="0"/>
    <x v="1"/>
    <s v="NUTRESA"/>
    <s v="BAJA"/>
    <m/>
    <m/>
    <m/>
    <m/>
    <s v="WHRINCON"/>
    <s v="2021-11-30 14:02:23.349496"/>
  </r>
  <r>
    <x v="189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85"/>
    <s v="CRD008369"/>
    <s v="JARRA SELLO ROJO"/>
    <s v="UND"/>
    <m/>
    <n v="400000000"/>
    <n v="400000000"/>
    <s v="0.000000"/>
    <n v="0"/>
    <n v="0"/>
    <x v="1"/>
    <s v="NUTRESA"/>
    <s v="BUEN"/>
    <m/>
    <m/>
    <m/>
    <m/>
    <s v="ECOAVASM"/>
    <s v="2021-12-02 13:50:25.12103"/>
  </r>
  <r>
    <x v="190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86"/>
    <s v="CRD024642"/>
    <s v="VASO COFFE 16OZ ACANALDO"/>
    <s v="UND"/>
    <m/>
    <n v="400000000"/>
    <n v="400000000"/>
    <s v="0.000000"/>
    <n v="0"/>
    <n v="0"/>
    <x v="1"/>
    <s v="NUTRESA"/>
    <s v="BUEN"/>
    <m/>
    <m/>
    <m/>
    <m/>
    <s v="ECOAVASM"/>
    <s v="2021-12-02 13:51:08.298427"/>
  </r>
  <r>
    <x v="191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87"/>
    <s v="CRD012773"/>
    <s v="CUCHARA MEDIDORA Y CIERRA BOLSA SELLO ROJO"/>
    <s v="UND"/>
    <m/>
    <n v="800000000"/>
    <n v="800000000"/>
    <s v="0.000000"/>
    <n v="0"/>
    <n v="0"/>
    <x v="1"/>
    <s v="NUTRESA"/>
    <s v="BUEN"/>
    <m/>
    <m/>
    <m/>
    <m/>
    <s v="ECOAVASM"/>
    <s v="2021-12-02 13:50:57.402396"/>
  </r>
  <r>
    <x v="192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88"/>
    <s v="CRD007133"/>
    <s v="POCILLO MUG PLAN COSTA SR TIENDA"/>
    <s v="UND"/>
    <m/>
    <n v="400000000"/>
    <n v="400000000"/>
    <s v="0.000000"/>
    <n v="0"/>
    <n v="0"/>
    <x v="1"/>
    <s v="NUTRESA"/>
    <s v="BUEN"/>
    <m/>
    <m/>
    <m/>
    <m/>
    <s v="ECOAVASM"/>
    <s v="2021-12-02 13:50:14.681876"/>
  </r>
  <r>
    <x v="193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89"/>
    <s v="CRD024657"/>
    <s v="EXPRIMIDOR DE LIMONES"/>
    <s v="UND"/>
    <m/>
    <n v="400000000"/>
    <n v="400000000"/>
    <s v="0.000000"/>
    <n v="0"/>
    <n v="0"/>
    <x v="1"/>
    <s v="NUTRESA"/>
    <s v="BUEN"/>
    <m/>
    <m/>
    <m/>
    <m/>
    <s v="ECOAVASM"/>
    <s v="2021-12-02 13:51:21.646683"/>
  </r>
  <r>
    <x v="194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22"/>
    <s v="CRD024643"/>
    <s v="UTENSILIOS NYLON"/>
    <s v="UND"/>
    <m/>
    <n v="400000000"/>
    <n v="400000000"/>
    <s v="0.000000"/>
    <n v="0"/>
    <n v="0"/>
    <x v="1"/>
    <s v="NUTRESA"/>
    <s v="BUEN"/>
    <m/>
    <m/>
    <m/>
    <m/>
    <s v="ECOAVASM"/>
    <s v="2021-12-02 13:51:16.094579"/>
  </r>
  <r>
    <x v="195"/>
    <s v="CART"/>
    <n v="20502"/>
    <s v="NUTRESA"/>
    <s v="NUTRESA - COMERCIAL NUTRESA SAS"/>
    <d v="2021-12-06T00:00:00"/>
    <s v="COMPLETADO"/>
    <s v="RECEPCIO"/>
    <n v="1"/>
    <s v="OTROS"/>
    <s v="ECOAVASM"/>
    <s v="2021-12-06 15:10:54.362214"/>
    <s v="C/N 37230"/>
    <s v="C/N 37230"/>
    <s v="DEV. DEL PDV DE MEGATIENDAS PRADO FINALIZACION Y/O CANCELACION DEL EVENTO CON DESPACHO N# 37230 CON NOVEDAD AVERIADO ACRILICO RAYADO Y MANCHADO"/>
    <s v="ME"/>
    <x v="10"/>
    <s v="ACT000436"/>
    <s v="MUEBLE AUTODEGUSTADOR GENERICO"/>
    <s v="UND"/>
    <m/>
    <n v="1000000"/>
    <n v="1000000"/>
    <s v="0.000000"/>
    <n v="122366"/>
    <n v="0"/>
    <x v="2"/>
    <s v="BPO"/>
    <s v="AVER"/>
    <m/>
    <m/>
    <m/>
    <m/>
    <s v="ECOAVASM"/>
    <s v="2021-12-06 15:09:46.212914"/>
  </r>
  <r>
    <x v="196"/>
    <s v="CART"/>
    <n v="20504"/>
    <s v="NUTRESA"/>
    <s v="NUTRESA - COMERCIAL NUTRESA SAS"/>
    <d v="2021-12-06T00:00:00"/>
    <s v="COMPLETADO"/>
    <s v="RECEPCIO"/>
    <n v="1"/>
    <s v="OTROS"/>
    <s v="ECOAVASM"/>
    <s v="2021-12-06 15:16:09.076304"/>
    <s v="S/N 83112"/>
    <s v="S/N 83112"/>
    <s v="SE RECIBE MATERIAL DEL PROVEEDOR PLASTIPACK S.A.S CON REMISION N# 83112 SIN NOVEDAD"/>
    <s v="M"/>
    <x v="7"/>
    <s v="CRD024849"/>
    <s v="BOLSA TROQUELADA PIGMENTADA IMPRESA - BOLSA NAVIDAD"/>
    <s v="UND"/>
    <m/>
    <n v="3000000000"/>
    <n v="3000000000"/>
    <s v="0.000000"/>
    <n v="0"/>
    <n v="0"/>
    <x v="2"/>
    <s v="NUTRESA"/>
    <s v="BUEN"/>
    <m/>
    <m/>
    <m/>
    <m/>
    <s v="ECOAVASM"/>
    <s v="2021-12-06 15:15:20.158619"/>
  </r>
  <r>
    <x v="197"/>
    <s v="CART"/>
    <n v="20514"/>
    <s v="NUTRESA"/>
    <s v="NUTRESA - COMERCIAL NUTRESA SAS"/>
    <d v="2021-12-07T00:00:00"/>
    <s v="COMPLETADO"/>
    <s v="RECEPCIO"/>
    <n v="1"/>
    <s v="OTROS"/>
    <s v="WHRINCON"/>
    <s v="2021-12-07 15:20:51.094266"/>
    <s v="S/N 2852"/>
    <n v="14000358831"/>
    <s v="SE RECIBE MATERIAL DEL PROVEEDOR OPEN MIND CON REMISION NÂ° 2852 SIN NOVEDAD"/>
    <s v="MP"/>
    <x v="11"/>
    <s v="CRD025017"/>
    <s v="NUEVO FRONTAL CARULLA MATIZ TENTACION"/>
    <s v="UND"/>
    <m/>
    <n v="1000000"/>
    <n v="1000000"/>
    <s v="0.000000"/>
    <n v="0"/>
    <n v="0"/>
    <x v="0"/>
    <s v="NUTRESA"/>
    <s v="BUEN"/>
    <m/>
    <m/>
    <m/>
    <m/>
    <s v="WHRINCON"/>
    <s v="2021-12-07 15:19:50.46958"/>
  </r>
  <r>
    <x v="198"/>
    <s v="CART"/>
    <n v="20557"/>
    <s v="NUTRESA"/>
    <s v="NUTRESA - COMERCIAL NUTRESA SAS"/>
    <d v="2021-12-10T00:00:00"/>
    <s v="COMPLETADO"/>
    <s v="RECEPCIO"/>
    <n v="1"/>
    <s v="OTROS"/>
    <s v="ECOAVASM"/>
    <s v="2021-12-10 08:36:08.649115"/>
    <s v="S/N 37319"/>
    <s v="S/N 37319"/>
    <s v="DEV. DEL PDV PROVISION LM SAS CON RECOGIDA N# 1567 Y DEDSPACHO N# 37319 SIN NOVEDAD"/>
    <s v="ME"/>
    <x v="35"/>
    <s v="ACT000225"/>
    <s v="NEVERA HACEB TD"/>
    <s v="UND"/>
    <s v="ACT000225"/>
    <n v="1000000"/>
    <n v="1000000"/>
    <s v="0.000000"/>
    <n v="130303"/>
    <n v="0"/>
    <x v="1"/>
    <s v="NUTRESA"/>
    <s v="AVER"/>
    <m/>
    <m/>
    <m/>
    <m/>
    <s v="ECOAVASM"/>
    <s v="2021-12-10 08:34:20.539163"/>
  </r>
  <r>
    <x v="199"/>
    <s v="CART"/>
    <n v="20561"/>
    <s v="NUTRESA"/>
    <s v="NUTRESA - COMERCIAL NUTRESA SAS"/>
    <d v="2021-12-10T00:00:00"/>
    <s v="COMPLETADO"/>
    <s v="RECEPCIO"/>
    <n v="1"/>
    <s v="OTROS"/>
    <s v="CRODRIGUEZ"/>
    <s v="2021-12-10 10:54:40.810127"/>
    <s v="S/N CRV32284"/>
    <n v="4502225582"/>
    <s v="SE RECIBE MATERIAL DEL PROVEEDOR MARQUILLA S.A SIN NOVEDAD"/>
    <s v="MP"/>
    <x v="16"/>
    <s v="CRD025004"/>
    <s v="AYUDAVENTAS TACO DIA MIEL"/>
    <s v="UND"/>
    <m/>
    <n v="43000000"/>
    <n v="43000000"/>
    <s v="0.000000"/>
    <n v="0"/>
    <n v="0"/>
    <x v="1"/>
    <s v="NUTRESA"/>
    <s v="BUEN"/>
    <m/>
    <m/>
    <m/>
    <m/>
    <s v="CRODRIGUEZ"/>
    <s v="2021-12-10 10:53:50.672887"/>
  </r>
  <r>
    <x v="200"/>
    <s v="CART"/>
    <n v="20566"/>
    <s v="NUTRESA"/>
    <s v="NUTRESA - COMERCIAL NUTRESA SAS"/>
    <d v="2021-12-10T00:00:00"/>
    <s v="COMPLETADO"/>
    <s v="RECEPCIO"/>
    <n v="1"/>
    <s v="OTROS"/>
    <s v="ECOAVASM"/>
    <s v="2021-12-10 14:21:23.51769"/>
    <s v="C/N 42657"/>
    <s v="C/N 42657"/>
    <s v="SE RECIBE MATERIAL DEL PROVEEDOR SILA GROUP S.A.S CON REMISION N# 42657 CON NOVEDAD DE QUE LAS IMAGENES FISICAS NO COINCIDEN CON LA DEL SISITEMA Y FALTANTE DE 2 UNIDADES CODIGO CRD024647"/>
    <s v="MP"/>
    <x v="13"/>
    <s v="CRD024647"/>
    <s v="RECIPIENTE REDONDO EASY 400ML CARRO PROMOTORES"/>
    <s v="UND"/>
    <m/>
    <n v="398000000"/>
    <n v="398000000"/>
    <s v="0.000000"/>
    <n v="0"/>
    <n v="0"/>
    <x v="1"/>
    <s v="NUTRESA"/>
    <s v="BUEN"/>
    <m/>
    <m/>
    <m/>
    <m/>
    <s v="ECOAVASM"/>
    <s v="2021-12-10 14:19:10.834412"/>
  </r>
  <r>
    <x v="201"/>
    <s v="CART"/>
    <n v="20566"/>
    <s v="NUTRESA"/>
    <s v="NUTRESA - COMERCIAL NUTRESA SAS"/>
    <d v="2021-12-10T00:00:00"/>
    <s v="COMPLETADO"/>
    <s v="RECEPCIO"/>
    <n v="1"/>
    <s v="OTROS"/>
    <s v="ECOAVASM"/>
    <s v="2021-12-10 14:21:23.51769"/>
    <s v="C/N 42657"/>
    <s v="C/N 42657"/>
    <s v="SE RECIBE MATERIAL DEL PROVEEDOR SILA GROUP S.A.S CON REMISION N# 42657 CON NOVEDAD DE QUE LAS IMAGENES FISICAS NO COINCIDEN CON LA DEL SISITEMA Y FALTANTE DE 2 UNIDADES CODIGO CRD024647"/>
    <s v="MP"/>
    <x v="15"/>
    <s v="CRD024646"/>
    <s v="RECIPIENTE RECTANGULAR VENECIA CARRO PROMOTORES"/>
    <s v="UND"/>
    <m/>
    <n v="400000000"/>
    <n v="400000000"/>
    <s v="0.000000"/>
    <n v="0"/>
    <n v="0"/>
    <x v="1"/>
    <s v="NUTRESA"/>
    <s v="BUEN"/>
    <m/>
    <m/>
    <m/>
    <m/>
    <s v="ECOAVASM"/>
    <s v="2021-12-10 14:19:03.278672"/>
  </r>
  <r>
    <x v="202"/>
    <s v="CART"/>
    <n v="20566"/>
    <s v="NUTRESA"/>
    <s v="NUTRESA - COMERCIAL NUTRESA SAS"/>
    <d v="2021-12-10T00:00:00"/>
    <s v="COMPLETADO"/>
    <s v="RECEPCIO"/>
    <n v="1"/>
    <s v="OTROS"/>
    <s v="ECOAVASM"/>
    <s v="2021-12-10 14:21:23.51769"/>
    <s v="C/N 42657"/>
    <s v="C/N 42657"/>
    <s v="SE RECIBE MATERIAL DEL PROVEEDOR SILA GROUP S.A.S CON REMISION N# 42657 CON NOVEDAD DE QUE LAS IMAGENES FISICAS NO COINCIDEN CON LA DEL SISITEMA Y FALTANTE DE 2 UNIDADES CODIGO CRD024647"/>
    <s v="MP"/>
    <x v="12"/>
    <s v="CRD024645"/>
    <s v="RECIPIENTE ARUBA CARRO PROMOTORES"/>
    <s v="UND"/>
    <m/>
    <n v="400000000"/>
    <n v="400000000"/>
    <s v="0.000000"/>
    <n v="0"/>
    <n v="0"/>
    <x v="1"/>
    <s v="NUTRESA"/>
    <s v="BUEN"/>
    <m/>
    <m/>
    <m/>
    <m/>
    <s v="ECOAVASM"/>
    <s v="2021-12-10 14:18:48.915169"/>
  </r>
  <r>
    <x v="203"/>
    <s v="CART"/>
    <n v="20566"/>
    <s v="NUTRESA"/>
    <s v="NUTRESA - COMERCIAL NUTRESA SAS"/>
    <d v="2021-12-10T00:00:00"/>
    <s v="COMPLETADO"/>
    <s v="RECEPCIO"/>
    <n v="1"/>
    <s v="OTROS"/>
    <s v="ECOAVASM"/>
    <s v="2021-12-10 14:21:23.51769"/>
    <s v="C/N 42657"/>
    <s v="C/N 42657"/>
    <s v="SE RECIBE MATERIAL DEL PROVEEDOR SILA GROUP S.A.S CON REMISION N# 42657 CON NOVEDAD DE QUE LAS IMAGENES FISICAS NO COINCIDEN CON LA DEL SISITEMA Y FALTANTE DE 2 UNIDADES CODIGO CRD024647"/>
    <s v="MP"/>
    <x v="14"/>
    <s v="CRD024644"/>
    <s v="RECIPIENTE DESPENSA TAYRONA 1 LT CARRO PROMOTORES"/>
    <s v="UND"/>
    <m/>
    <n v="400000000"/>
    <n v="400000000"/>
    <s v="0.000000"/>
    <n v="0"/>
    <n v="0"/>
    <x v="1"/>
    <s v="NUTRESA"/>
    <s v="BUEN"/>
    <m/>
    <m/>
    <m/>
    <m/>
    <s v="ECOAVASM"/>
    <s v="2021-12-10 14:18:44.336219"/>
  </r>
  <r>
    <x v="204"/>
    <s v="CART"/>
    <n v="20582"/>
    <s v="NUTRESA"/>
    <s v="NUTRESA - COMERCIAL NUTRESA SAS"/>
    <d v="2021-12-14T00:00:00"/>
    <s v="COMPLETADO"/>
    <s v="RECEPCIO"/>
    <n v="1"/>
    <s v="OTROS"/>
    <s v="WHRINCON"/>
    <s v="2021-12-14 14:26:25.19867"/>
    <s v="S/N 23786"/>
    <n v="52800017821"/>
    <s v="SE RECIBE MATERIAL DEL PROVEEDOR IMPRESOS CON REMISION NÂ° 23786 SIN NOVEDAD"/>
    <s v="MP"/>
    <x v="18"/>
    <s v="CRD025002"/>
    <s v="CHISPA DOYPACK 3 EN1"/>
    <s v="UND"/>
    <m/>
    <n v="30000000"/>
    <n v="30000000"/>
    <s v="0.000000"/>
    <n v="0"/>
    <n v="0"/>
    <x v="2"/>
    <s v="NUTRESA"/>
    <s v="BUEN"/>
    <m/>
    <m/>
    <m/>
    <m/>
    <s v="WHRINCON"/>
    <s v="2021-12-14 14:24:54.914306"/>
  </r>
  <r>
    <x v="205"/>
    <s v="CART"/>
    <n v="20582"/>
    <s v="NUTRESA"/>
    <s v="NUTRESA - COMERCIAL NUTRESA SAS"/>
    <d v="2021-12-14T00:00:00"/>
    <s v="COMPLETADO"/>
    <s v="RECEPCIO"/>
    <n v="1"/>
    <s v="OTROS"/>
    <s v="WHRINCON"/>
    <s v="2021-12-14 14:26:25.19867"/>
    <s v="S/N 23786"/>
    <n v="52800017821"/>
    <s v="SE RECIBE MATERIAL DEL PROVEEDOR IMPRESOS CON REMISION NÂ° 23786 SIN NOVEDAD"/>
    <s v="MP"/>
    <x v="17"/>
    <s v="CRD025001"/>
    <s v="CHISPA DOYPACK CAPPUCCINO"/>
    <s v="UND"/>
    <m/>
    <n v="30000000"/>
    <n v="30000000"/>
    <s v="0.000000"/>
    <n v="0"/>
    <n v="0"/>
    <x v="2"/>
    <s v="NUTRESA"/>
    <s v="BUEN"/>
    <m/>
    <m/>
    <m/>
    <m/>
    <s v="WHRINCON"/>
    <s v="2021-12-14 14:24:29.841842"/>
  </r>
  <r>
    <x v="206"/>
    <s v="CART"/>
    <n v="20585"/>
    <s v="NUTRESA"/>
    <s v="NUTRESA - COMERCIAL NUTRESA SAS"/>
    <d v="2021-12-14T00:00:00"/>
    <s v="COMPLETADO"/>
    <s v="RECEPCIO"/>
    <n v="1"/>
    <s v="OTROS"/>
    <s v="WHRINCON"/>
    <s v="2021-12-14 15:04:56.173093"/>
    <s v="S/N 23799"/>
    <n v="52800017821"/>
    <s v="SE RECIBE MATERIAL DEL PROVEEDOR IMPRESOS CON REMISION NÂ° 23799 SIN NOVEDAD"/>
    <s v="MP"/>
    <x v="21"/>
    <s v="CRD025010"/>
    <s v="AFICHE CAPPUCCINOS MAS BENEFICIOS"/>
    <s v="UND"/>
    <m/>
    <n v="1300000000"/>
    <n v="1300000000"/>
    <s v="0.000000"/>
    <n v="0"/>
    <n v="0"/>
    <x v="1"/>
    <s v="NUTRESA"/>
    <s v="BUEN"/>
    <m/>
    <m/>
    <m/>
    <m/>
    <s v="WHRINCON"/>
    <s v="2021-12-14 15:02:48.933325"/>
  </r>
  <r>
    <x v="207"/>
    <s v="CART"/>
    <n v="20585"/>
    <s v="NUTRESA"/>
    <s v="NUTRESA - COMERCIAL NUTRESA SAS"/>
    <d v="2021-12-14T00:00:00"/>
    <s v="COMPLETADO"/>
    <s v="RECEPCIO"/>
    <n v="1"/>
    <s v="OTROS"/>
    <s v="WHRINCON"/>
    <s v="2021-12-14 15:04:56.173093"/>
    <s v="S/N 23799"/>
    <n v="52800017821"/>
    <s v="SE RECIBE MATERIAL DEL PROVEEDOR IMPRESOS CON REMISION NÂ° 23799 SIN NOVEDAD"/>
    <s v="MP"/>
    <x v="20"/>
    <s v="CRD025009"/>
    <s v="CHISPA CAPPUCCINOS MAS BENEFICIOS"/>
    <s v="UND"/>
    <m/>
    <n v="1400000000"/>
    <n v="1400000000"/>
    <s v="0.000000"/>
    <n v="0"/>
    <n v="0"/>
    <x v="1"/>
    <s v="NUTRESA"/>
    <s v="BUEN"/>
    <m/>
    <m/>
    <m/>
    <m/>
    <s v="WHRINCON"/>
    <s v="2021-12-14 15:02:25.363"/>
  </r>
  <r>
    <x v="208"/>
    <s v="CART"/>
    <n v="20585"/>
    <s v="NUTRESA"/>
    <s v="NUTRESA - COMERCIAL NUTRESA SAS"/>
    <d v="2021-12-14T00:00:00"/>
    <s v="COMPLETADO"/>
    <s v="RECEPCIO"/>
    <n v="1"/>
    <s v="OTROS"/>
    <s v="WHRINCON"/>
    <s v="2021-12-14 15:04:56.173093"/>
    <s v="S/N 23799"/>
    <n v="52800017821"/>
    <s v="SE RECIBE MATERIAL DEL PROVEEDOR IMPRESOS CON REMISION NÂ° 23799 SIN NOVEDAD"/>
    <s v="MP"/>
    <x v="19"/>
    <s v="CRD025008"/>
    <s v="MOVIL CAPPUCCINOS MAS BENEFICIOS"/>
    <s v="UND"/>
    <m/>
    <n v="2000000000"/>
    <n v="2000000000"/>
    <s v="0.000000"/>
    <n v="0"/>
    <n v="0"/>
    <x v="1"/>
    <s v="NUTRESA"/>
    <s v="BUEN"/>
    <m/>
    <m/>
    <m/>
    <m/>
    <s v="WHRINCON"/>
    <s v="2021-12-14 15:02:04.608105"/>
  </r>
  <r>
    <x v="209"/>
    <s v="CART"/>
    <n v="20588"/>
    <s v="NUTRESA"/>
    <s v="NUTRESA - COMERCIAL NUTRESA SAS"/>
    <d v="2021-12-15T00:00:00"/>
    <s v="COMPLETADO"/>
    <s v="RECEPCIO"/>
    <n v="1"/>
    <s v="OTROS"/>
    <s v="WHRINCON"/>
    <s v="2021-12-15 07:41:15.135567"/>
    <s v="S/N 2949"/>
    <n v="300002736909"/>
    <s v="SE RECIBE MATERIAL DEL PROVEEDOR OPEN MIND CON REMISION NÂ° 2949 DEMORA EN INGRESO POR NOVEDAD CON AVISO DE LLEGADA"/>
    <s v="ME"/>
    <x v="25"/>
    <s v="CRD024971"/>
    <s v="EXHIBIDOR ENLATADOS TIENDAS"/>
    <s v="UND"/>
    <m/>
    <n v="348000000"/>
    <n v="348000000"/>
    <s v="0.000000"/>
    <n v="0"/>
    <n v="0"/>
    <x v="1"/>
    <s v="NUTRESA"/>
    <s v="BUEN"/>
    <m/>
    <m/>
    <m/>
    <m/>
    <s v="WHRINCON"/>
    <s v="2021-12-15 07:39:28.211937"/>
  </r>
  <r>
    <x v="210"/>
    <s v="CART"/>
    <n v="20603"/>
    <s v="NUTRESA"/>
    <s v="NUTRESA - COMERCIAL NUTRESA SAS"/>
    <d v="2021-12-17T00:00:00"/>
    <s v="COMPLETADO"/>
    <s v="RECEPCIO"/>
    <n v="1"/>
    <s v="OTROS"/>
    <s v="WHRINCON"/>
    <s v="2021-12-17 09:48:33.285977"/>
    <s v="S/N CRV32502"/>
    <s v="S/N CRV32502"/>
    <s v="SE RECIBE MATERIAL DEL PROVEEDOR MARQUILLAS CON REMISION NÂ° CRV-32502 SIN NOVEDAD"/>
    <s v="MP"/>
    <x v="26"/>
    <s v="CRD025006"/>
    <s v="AYUDAVENTAS BUBRUJAS CC"/>
    <s v="UND"/>
    <m/>
    <n v="43000000"/>
    <n v="43000000"/>
    <s v="0.000000"/>
    <n v="0"/>
    <n v="0"/>
    <x v="1"/>
    <s v="NUTRESA"/>
    <s v="BUEN"/>
    <m/>
    <m/>
    <m/>
    <m/>
    <s v="WHRINCON"/>
    <s v="2021-12-17 09:46:52.382995"/>
  </r>
  <r>
    <x v="211"/>
    <s v="CART"/>
    <n v="20611"/>
    <s v="NUTRESA"/>
    <s v="NUTRESA - COMERCIAL NUTRESA SAS"/>
    <d v="2021-12-20T00:00:00"/>
    <s v="COMPLETADO"/>
    <s v="RECEPCIO"/>
    <n v="1"/>
    <s v="OTROS"/>
    <s v="ECOAVASM"/>
    <s v="2021-12-20 11:43:13.614183"/>
    <s v="S/N 2992"/>
    <s v="S/N 2992"/>
    <s v="SE RECIBE MATERIAL DEL PROVEEDOR OPEN MIND CON REMISION N# 2992 SIN NOVEDAD"/>
    <s v="ME"/>
    <x v="33"/>
    <s v="CRD025023"/>
    <s v="BALCON COLCAFE 3 EN 1 MAS CREMOSO"/>
    <s v="UND"/>
    <m/>
    <n v="7000000"/>
    <n v="7000000"/>
    <s v="0.000000"/>
    <n v="0"/>
    <n v="0"/>
    <x v="2"/>
    <s v="NUTRESA"/>
    <s v="BUEN"/>
    <m/>
    <m/>
    <m/>
    <m/>
    <s v="ECOAVASM"/>
    <s v="2021-12-20 11:42:41.141433"/>
  </r>
  <r>
    <x v="212"/>
    <s v="CART"/>
    <n v="20612"/>
    <s v="NUTRESA"/>
    <s v="NUTRESA - COMERCIAL NUTRESA SAS"/>
    <d v="2021-12-20T00:00:00"/>
    <s v="COMPLETADO"/>
    <s v="RECEPCIO"/>
    <n v="1"/>
    <s v="OTROS"/>
    <s v="ECOAVASM"/>
    <s v="2021-12-20 11:46:52.687066"/>
    <s v="S/N 2021-1661"/>
    <s v="S/N 2021-1661"/>
    <s v="SE RECIBE MATERIAL DEL PROVEEDOR PAPELCARD SAS CON REMISION N# 2021-1661 SIN NOVEDAD"/>
    <s v="MP"/>
    <x v="37"/>
    <s v="CRD025021"/>
    <s v="CHISPA COLCAFE 3 EN 1 MAS CREMOSO"/>
    <s v="UND"/>
    <m/>
    <n v="30000000"/>
    <n v="30000000"/>
    <s v="0.000000"/>
    <n v="0"/>
    <n v="0"/>
    <x v="2"/>
    <s v="NUTRESA"/>
    <s v="BUEN"/>
    <m/>
    <m/>
    <m/>
    <m/>
    <s v="ECOAVASM"/>
    <s v="2021-12-20 11:46:20.379797"/>
  </r>
  <r>
    <x v="213"/>
    <s v="CART"/>
    <n v="20617"/>
    <s v="NUTRESA"/>
    <s v="NUTRESA - COMERCIAL NUTRESA SAS"/>
    <d v="2021-12-20T00:00:00"/>
    <s v="COMPLETADO"/>
    <s v="RECEPCIO"/>
    <n v="1"/>
    <s v="OTROS"/>
    <s v="WHRINCON"/>
    <s v="2021-12-20 14:09:13.952488"/>
    <s v="C/N 1573"/>
    <s v="C/N 1573"/>
    <s v="DEV. DEL PDV JUMBO CARTAGENA CARIBE POR FINALIZACION O CANCELACION DEL EVENTO DEPACHO N# 37499 CON NOVEDAD IMAGEN RAYADA"/>
    <s v="MD"/>
    <x v="28"/>
    <s v="CRD008430"/>
    <s v="MUEBLE DEGUSTACION SINERGIA CHOCOLATES"/>
    <s v="UND"/>
    <m/>
    <n v="1000000"/>
    <n v="1000000"/>
    <s v="0.000000"/>
    <n v="0"/>
    <n v="0"/>
    <x v="0"/>
    <s v="BPO"/>
    <s v="BUEN"/>
    <m/>
    <m/>
    <m/>
    <m/>
    <s v="WHRINCON"/>
    <s v="2021-12-20 14:07:09.11764"/>
  </r>
  <r>
    <x v="214"/>
    <s v="CART"/>
    <n v="20617"/>
    <s v="NUTRESA"/>
    <s v="NUTRESA - COMERCIAL NUTRESA SAS"/>
    <d v="2021-12-20T00:00:00"/>
    <s v="COMPLETADO"/>
    <s v="RECEPCIO"/>
    <n v="1"/>
    <s v="OTROS"/>
    <s v="WHRINCON"/>
    <s v="2021-12-20 14:09:13.952488"/>
    <s v="C/N 1573"/>
    <s v="C/N 1573"/>
    <s v="DEV. DEL PDV JUMBO CARTAGENA CARIBE POR FINALIZACION O CANCELACION DEL EVENTO DEPACHO N# 37499 CON NOVEDAD IMAGEN RAYADA"/>
    <s v="MP"/>
    <x v="27"/>
    <s v="CRD020181"/>
    <s v="KIT IMAGEN MUEBLE SINERGIA KIBO"/>
    <s v="UND"/>
    <m/>
    <n v="1000000"/>
    <n v="1000000"/>
    <s v="0.000000"/>
    <n v="0"/>
    <n v="0"/>
    <x v="0"/>
    <s v="BPO"/>
    <s v="BUEN"/>
    <m/>
    <m/>
    <m/>
    <m/>
    <s v="WHRINCON"/>
    <s v="2021-12-20 14:07:37.563483"/>
  </r>
  <r>
    <x v="215"/>
    <s v="CART"/>
    <n v="20618"/>
    <s v="NUTRESA"/>
    <s v="NUTRESA - COMERCIAL NUTRESA SAS"/>
    <d v="2021-12-20T00:00:00"/>
    <s v="COMPLETADO"/>
    <s v="RECEPCIO"/>
    <n v="1"/>
    <s v="OTROS"/>
    <s v="WHRINCON"/>
    <s v="2021-12-20 14:15:31.45414"/>
    <s v="C/N 1574"/>
    <s v="C/N 1574"/>
    <s v="DEV. DEL PDV DE MEGATIENDAS BOCAGRANDE POR FINALIZACION O CANCELACION DEL EVENTO DEPACHO N# 37500 CON NOVEDAD MUEBLE SUCIO, GOPEADO, OXIDO"/>
    <s v="MD"/>
    <x v="34"/>
    <s v="CRD019238"/>
    <s v="MUEBLE DEGUSTACION BENET"/>
    <s v="UND"/>
    <m/>
    <n v="1000000"/>
    <n v="1000000"/>
    <s v="0.000000"/>
    <n v="0"/>
    <n v="0"/>
    <x v="2"/>
    <s v="BPO"/>
    <s v="AVER"/>
    <m/>
    <m/>
    <m/>
    <m/>
    <s v="WHRINCON"/>
    <s v="2021-12-20 14:14:24.927673"/>
  </r>
  <r>
    <x v="216"/>
    <s v="CART"/>
    <n v="20619"/>
    <s v="NUTRESA"/>
    <s v="NUTRESA - COMERCIAL NUTRESA SAS"/>
    <d v="2021-12-20T00:00:00"/>
    <s v="COMPLETADO"/>
    <s v="RECEPCIO"/>
    <n v="1"/>
    <s v="OTROS"/>
    <s v="WHRINCON"/>
    <s v="2021-12-20 14:27:40.23624"/>
    <s v="S/N 1570"/>
    <s v="S/N 1570"/>
    <s v="DEV. DEL PDV DE CARULLA CASTILLOGRANDE POR FINALIZACION O CANCELACION DEL EVENTO DEPACHO N# 37497 SIN NOVEDAD"/>
    <s v="I"/>
    <x v="90"/>
    <s v="CRD024397"/>
    <s v="RALLADOR IMPULSO MONTICELLO"/>
    <s v="UND"/>
    <m/>
    <n v="40000000"/>
    <n v="40000000"/>
    <s v="0.000000"/>
    <n v="0"/>
    <n v="0"/>
    <x v="0"/>
    <s v="BPO"/>
    <s v="BUEN"/>
    <m/>
    <m/>
    <m/>
    <m/>
    <s v="WHRINCON"/>
    <s v="2021-12-20 14:26:36.315611"/>
  </r>
  <r>
    <x v="217"/>
    <s v="CART"/>
    <n v="20624"/>
    <s v="NUTRESA"/>
    <s v="NUTRESA - COMERCIAL NUTRESA SAS"/>
    <d v="2021-12-20T00:00:00"/>
    <s v="COMPLETADO"/>
    <s v="RECEPCIO"/>
    <n v="1"/>
    <s v="OTROS"/>
    <s v="ECOAVASM"/>
    <s v="2021-12-20 16:38:20.919998"/>
    <s v="S/N 1547"/>
    <s v="S/N 1547"/>
    <s v="DEV. DEL PDV 10734652 GRANOS Y LEGUMBRES EL BARATON POR FINALIZACION Y/O CANCELACION DEL EVENTO CON RECOGIDA N# 1547 SE INGRESA MATERIAL EN ESTADO DE USADO"/>
    <s v="ME"/>
    <x v="91"/>
    <s v="ACT000435"/>
    <s v="NEVERA GOLOSINAS TRADICIONAL COMPRESOR"/>
    <s v="UND"/>
    <m/>
    <n v="1000000"/>
    <n v="1000000"/>
    <s v="0.000000"/>
    <n v="158220"/>
    <n v="0"/>
    <x v="1"/>
    <s v="NUTRESA"/>
    <s v="USAD"/>
    <m/>
    <m/>
    <m/>
    <m/>
    <s v="ECOAVASM"/>
    <s v="2021-12-20 16:37:31.938301"/>
  </r>
  <r>
    <x v="218"/>
    <s v="CART"/>
    <n v="20626"/>
    <s v="NUTRESA"/>
    <s v="NUTRESA - COMERCIAL NUTRESA SAS"/>
    <d v="2021-12-21T00:00:00"/>
    <s v="COMPLETADO"/>
    <s v="RECEPCIO"/>
    <n v="1"/>
    <s v="OTROS"/>
    <s v="ECOAVASM"/>
    <s v="2021-12-21 11:34:51.036754"/>
    <s v="S/N 48868"/>
    <s v="S/N 48868"/>
    <s v="SE RECIBE MATERIAL DEL PROVEEDOR CREATINFG IDEAS CON REMISIÃ“N N# 48868-1 SIN NOVEDAD"/>
    <s v="ME"/>
    <x v="39"/>
    <s v="CRD019355"/>
    <s v="MODULAR LEGO JET CAD"/>
    <s v="UND"/>
    <m/>
    <n v="5000000"/>
    <n v="5000000"/>
    <s v="0.000000"/>
    <n v="0"/>
    <n v="0"/>
    <x v="0"/>
    <s v="NUTRESA"/>
    <s v="BUEN"/>
    <m/>
    <m/>
    <m/>
    <m/>
    <s v="ECOAVASM"/>
    <s v="2021-12-21 11:33:21.915999"/>
  </r>
  <r>
    <x v="219"/>
    <s v="CART"/>
    <n v="20626"/>
    <s v="NUTRESA"/>
    <s v="NUTRESA - COMERCIAL NUTRESA SAS"/>
    <d v="2021-12-21T00:00:00"/>
    <s v="COMPLETADO"/>
    <s v="RECEPCIO"/>
    <n v="1"/>
    <s v="OTROS"/>
    <s v="ECOAVASM"/>
    <s v="2021-12-21 11:34:51.036754"/>
    <s v="S/N 48868"/>
    <s v="S/N 48868"/>
    <s v="SE RECIBE MATERIAL DEL PROVEEDOR CREATINFG IDEAS CON REMISIÃ“N N# 48868-1 SIN NOVEDAD"/>
    <s v="ME"/>
    <x v="40"/>
    <s v="CRD019354"/>
    <s v="MODULAR LEGO LA ESPECIAL CAD"/>
    <s v="UND"/>
    <m/>
    <n v="5000000"/>
    <n v="5000000"/>
    <s v="0.000000"/>
    <n v="0"/>
    <n v="0"/>
    <x v="0"/>
    <s v="NUTRESA"/>
    <s v="BUEN"/>
    <m/>
    <m/>
    <m/>
    <m/>
    <s v="ECOAVASM"/>
    <s v="2021-12-21 11:33:16.866281"/>
  </r>
  <r>
    <x v="220"/>
    <s v="CART"/>
    <n v="20626"/>
    <s v="NUTRESA"/>
    <s v="NUTRESA - COMERCIAL NUTRESA SAS"/>
    <d v="2021-12-21T00:00:00"/>
    <s v="COMPLETADO"/>
    <s v="RECEPCIO"/>
    <n v="1"/>
    <s v="OTROS"/>
    <s v="ECOAVASM"/>
    <s v="2021-12-21 11:34:51.036754"/>
    <s v="S/N 48868"/>
    <s v="S/N 48868"/>
    <s v="SE RECIBE MATERIAL DEL PROVEEDOR CREATINFG IDEAS CON REMISIÃ“N N# 48868-1 SIN NOVEDAD"/>
    <s v="ME"/>
    <x v="38"/>
    <s v="CRD019356"/>
    <s v="MODULAR LEGO JUMBO CAD"/>
    <s v="UND"/>
    <m/>
    <n v="5000000"/>
    <n v="5000000"/>
    <s v="0.000000"/>
    <n v="0"/>
    <n v="0"/>
    <x v="0"/>
    <s v="NUTRESA"/>
    <s v="BUEN"/>
    <m/>
    <m/>
    <m/>
    <m/>
    <s v="ECOAVASM"/>
    <s v="2021-12-21 11:33:31.96723"/>
  </r>
  <r>
    <x v="221"/>
    <s v="CART"/>
    <n v="20630"/>
    <s v="NUTRESA"/>
    <s v="NUTRESA - COMERCIAL NUTRESA SAS"/>
    <d v="2021-12-22T00:00:00"/>
    <s v="COMPLETADO"/>
    <s v="RECEPCIO"/>
    <n v="1"/>
    <s v="OTROS"/>
    <s v="WHRINCON"/>
    <s v="2021-12-22 11:26:10.876049"/>
    <s v="S/N 0C2"/>
    <s v="S/N 0C2"/>
    <s v="SE RECIBE MATERIAL DEL PROVEEDOR INNERCIA CON REMISION N# 38951 SIN NOVEDAD"/>
    <s v="ME"/>
    <x v="42"/>
    <s v="CRD025041"/>
    <s v="EXHIBIDOR DE MOSTRADOR INFUSIONES TOSH"/>
    <s v="UND"/>
    <m/>
    <n v="23000000"/>
    <n v="23000000"/>
    <s v="0.000000"/>
    <n v="0"/>
    <n v="0"/>
    <x v="1"/>
    <s v="NUTRESA"/>
    <s v="BUEN"/>
    <m/>
    <m/>
    <m/>
    <m/>
    <s v="WHRINCON"/>
    <s v="2021-12-22 11:23:59.617188"/>
  </r>
  <r>
    <x v="222"/>
    <s v="IBA1"/>
    <n v="9183"/>
    <s v="NUTRESA"/>
    <s v="NUTRESA - COMERCIAL NUTRESA SAS"/>
    <d v="2021-11-27T00:00:00"/>
    <s v="COMPLETADO"/>
    <s v="RECEPCIO"/>
    <n v="1"/>
    <s v="OTROS"/>
    <s v="JHESCOBAR"/>
    <s v="2021-11-27 08:31:48.234781"/>
    <n v="0"/>
    <n v="0"/>
    <s v="SE RECIBE DE ARCINIEGAS ROMERO IBAGUE CON RECO 892 SN"/>
    <s v="ME"/>
    <x v="10"/>
    <s v="ACT000436"/>
    <s v="MUEBLE AUTODEGUSTADOR GENERICO"/>
    <s v="UND"/>
    <m/>
    <n v="1000000"/>
    <n v="1000000"/>
    <s v="0.000000"/>
    <n v="122370"/>
    <n v="0"/>
    <x v="2"/>
    <s v="BPO"/>
    <s v="AVER"/>
    <m/>
    <m/>
    <m/>
    <m/>
    <s v="JHESCOBAR"/>
    <s v="2021-11-27 08:30:59.229067"/>
  </r>
  <r>
    <x v="223"/>
    <s v="IBA1"/>
    <n v="9185"/>
    <s v="NUTRESA"/>
    <s v="NUTRESA - COMERCIAL NUTRESA SAS"/>
    <d v="2021-11-27T00:00:00"/>
    <s v="COMPLETADO"/>
    <s v="RECEPCIO"/>
    <n v="1"/>
    <s v="ENVIA"/>
    <s v="JHESCOBAR"/>
    <s v="2021-11-27 11:11:47.833294"/>
    <n v="0"/>
    <n v="124010483555"/>
    <s v="SE RECIBE DE SERVITIENDAS NEIVA CON RECO 886 SN"/>
    <s v="ME"/>
    <x v="84"/>
    <s v="ACT000063"/>
    <s v="VP NEVERA TERMOREFRIGERADA GOLOSINAS TD"/>
    <s v="UND"/>
    <s v="ACT000063"/>
    <n v="1000000"/>
    <n v="1000000"/>
    <s v="0.000000"/>
    <n v="88394"/>
    <n v="0"/>
    <x v="1"/>
    <s v="NUTRESA"/>
    <s v="BAJA"/>
    <m/>
    <m/>
    <m/>
    <m/>
    <s v="JHESCOBAR"/>
    <s v="2021-11-27 11:07:22.818133"/>
  </r>
  <r>
    <x v="222"/>
    <s v="IBA1"/>
    <n v="9203"/>
    <s v="NUTRESA"/>
    <s v="NUTRESA - COMERCIAL NUTRESA SAS"/>
    <d v="2021-11-29T00:00:00"/>
    <s v="COMPLETADO"/>
    <s v="RECEPCIO"/>
    <n v="1"/>
    <s v="ENVIA"/>
    <s v="JHESCOBAR"/>
    <s v="2021-11-29 16:56:54.177413"/>
    <n v="0"/>
    <n v="124010484002"/>
    <s v="SE RECIBE DE SUPERMERCADO RUBIO PITALITO CON RECO 889 SN"/>
    <s v="ME"/>
    <x v="10"/>
    <s v="ACT000436"/>
    <s v="MUEBLE AUTODEGUSTADOR GENERICO"/>
    <s v="UND"/>
    <m/>
    <n v="1000000"/>
    <n v="1000000"/>
    <s v="0.000000"/>
    <n v="122367"/>
    <n v="0"/>
    <x v="2"/>
    <s v="BPO"/>
    <s v="AVER"/>
    <m/>
    <m/>
    <m/>
    <m/>
    <s v="JHESCOBAR"/>
    <s v="2021-11-29 16:55:21.673081"/>
  </r>
  <r>
    <x v="222"/>
    <s v="IBA1"/>
    <n v="9204"/>
    <s v="NUTRESA"/>
    <s v="NUTRESA - COMERCIAL NUTRESA SAS"/>
    <d v="2021-11-29T00:00:00"/>
    <s v="COMPLETADO"/>
    <s v="RECEPCIO"/>
    <n v="1"/>
    <s v="ENVIA"/>
    <s v="JHESCOBAR"/>
    <s v="2021-11-29 17:03:22.140181"/>
    <n v="0"/>
    <n v="124010484039"/>
    <s v="SE RECIBE DE SUPERMERCADO POPULAR CANAIMA CON RECO 890 SN"/>
    <s v="ME"/>
    <x v="10"/>
    <s v="ACT000436"/>
    <s v="MUEBLE AUTODEGUSTADOR GENERICO"/>
    <s v="UND"/>
    <m/>
    <n v="1000000"/>
    <n v="1000000"/>
    <s v="0.000000"/>
    <n v="122369"/>
    <n v="0"/>
    <x v="2"/>
    <s v="BPO"/>
    <s v="AVER"/>
    <m/>
    <m/>
    <m/>
    <m/>
    <s v="JHESCOBAR"/>
    <s v="2021-11-29 17:02:41.639014"/>
  </r>
  <r>
    <x v="224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4"/>
    <s v="CRD024844"/>
    <s v="POSTAL COLCAFE VAINILLA"/>
    <s v="UND"/>
    <m/>
    <n v="500000000"/>
    <n v="500000000"/>
    <s v="0.000000"/>
    <n v="0"/>
    <n v="0"/>
    <x v="2"/>
    <s v="BPO"/>
    <s v="BUEN"/>
    <m/>
    <m/>
    <m/>
    <m/>
    <s v="JHESCOBAR"/>
    <s v="2021-11-30 15:55:22.013951"/>
  </r>
  <r>
    <x v="225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2"/>
    <s v="CRD024843"/>
    <s v="POSTAL COLCAFE CLASICO"/>
    <s v="UND"/>
    <m/>
    <n v="500000000"/>
    <n v="500000000"/>
    <s v="0.000000"/>
    <n v="0"/>
    <n v="0"/>
    <x v="0"/>
    <s v="BPO"/>
    <s v="BUEN"/>
    <m/>
    <m/>
    <m/>
    <m/>
    <s v="JHESCOBAR"/>
    <s v="2021-11-30 15:55:11.680209"/>
  </r>
  <r>
    <x v="226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2"/>
    <s v="CRD024843"/>
    <s v="POSTAL COLCAFE CLASICO"/>
    <s v="UND"/>
    <m/>
    <n v="500000000"/>
    <n v="500000000"/>
    <s v="0.000000"/>
    <n v="0"/>
    <n v="0"/>
    <x v="2"/>
    <s v="BPO"/>
    <s v="BUEN"/>
    <m/>
    <m/>
    <m/>
    <m/>
    <s v="JHESCOBAR"/>
    <s v="2021-11-30 15:55:13.189912"/>
  </r>
  <r>
    <x v="227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3"/>
    <s v="CRD024845"/>
    <s v="POSTAL COLCAFE GRANULADO"/>
    <s v="UND"/>
    <m/>
    <n v="500000000"/>
    <n v="500000000"/>
    <s v="0.000000"/>
    <n v="0"/>
    <n v="0"/>
    <x v="0"/>
    <s v="BPO"/>
    <s v="BUEN"/>
    <m/>
    <m/>
    <m/>
    <m/>
    <s v="JHESCOBAR"/>
    <s v="2021-11-30 15:55:30.303221"/>
  </r>
  <r>
    <x v="228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4"/>
    <s v="CRD024844"/>
    <s v="POSTAL COLCAFE VAINILLA"/>
    <s v="UND"/>
    <m/>
    <n v="500000000"/>
    <n v="500000000"/>
    <s v="0.000000"/>
    <n v="0"/>
    <n v="0"/>
    <x v="0"/>
    <s v="BPO"/>
    <s v="BUEN"/>
    <m/>
    <m/>
    <m/>
    <m/>
    <s v="JHESCOBAR"/>
    <s v="2021-11-30 15:55:20.691302"/>
  </r>
  <r>
    <x v="229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5"/>
    <s v="CRD024842"/>
    <s v="POSTAL COLCAFE DESCAFEINADO"/>
    <s v="UND"/>
    <m/>
    <n v="500000000"/>
    <n v="500000000"/>
    <s v="0.000000"/>
    <n v="0"/>
    <n v="0"/>
    <x v="2"/>
    <s v="BPO"/>
    <s v="BUEN"/>
    <m/>
    <m/>
    <m/>
    <m/>
    <s v="JHESCOBAR"/>
    <s v="2021-11-30 15:55:04.157024"/>
  </r>
  <r>
    <x v="230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3"/>
    <s v="CRD024845"/>
    <s v="POSTAL COLCAFE GRANULADO"/>
    <s v="UND"/>
    <m/>
    <n v="500000000"/>
    <n v="500000000"/>
    <s v="0.000000"/>
    <n v="0"/>
    <n v="0"/>
    <x v="2"/>
    <s v="BPO"/>
    <s v="BUEN"/>
    <m/>
    <m/>
    <m/>
    <m/>
    <s v="JHESCOBAR"/>
    <s v="2021-11-30 15:55:29.017538"/>
  </r>
  <r>
    <x v="231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5"/>
    <s v="CRD024842"/>
    <s v="POSTAL COLCAFE DESCAFEINADO"/>
    <s v="UND"/>
    <m/>
    <n v="500000000"/>
    <n v="500000000"/>
    <s v="0.000000"/>
    <n v="0"/>
    <n v="0"/>
    <x v="0"/>
    <s v="BPO"/>
    <s v="BUEN"/>
    <m/>
    <m/>
    <m/>
    <m/>
    <s v="JHESCOBAR"/>
    <s v="2021-11-30 15:55:02.689491"/>
  </r>
  <r>
    <x v="232"/>
    <s v="IBA1"/>
    <n v="9219"/>
    <s v="NUTRESA"/>
    <s v="NUTRESA - COMERCIAL NUTRESA SAS"/>
    <d v="2021-12-01T00:00:00"/>
    <s v="COMPLETADO"/>
    <s v="RECEPCIO"/>
    <n v="1"/>
    <s v="OTROS"/>
    <s v="JHESCOBAR"/>
    <s v="2021-12-01 14:16:04.348913"/>
    <n v="0"/>
    <n v="0"/>
    <s v="SE RECIBE DE TALLER A PUNTO IBAGUE CON RECO 897 SN"/>
    <s v="ME"/>
    <x v="92"/>
    <s v="ACT000075"/>
    <s v="MINI NEVERA CON BASE GOLOSINAS"/>
    <s v="UND"/>
    <m/>
    <n v="1000000"/>
    <n v="1000000"/>
    <s v="0.000000"/>
    <n v="88859"/>
    <n v="0"/>
    <x v="1"/>
    <s v="NUTRESA"/>
    <s v="USAD"/>
    <m/>
    <m/>
    <m/>
    <m/>
    <s v="JHESCOBAR"/>
    <s v="2021-12-01 14:14:08.50771"/>
  </r>
  <r>
    <x v="233"/>
    <s v="IBA1"/>
    <n v="9219"/>
    <s v="NUTRESA"/>
    <s v="NUTRESA - COMERCIAL NUTRESA SAS"/>
    <d v="2021-12-01T00:00:00"/>
    <s v="COMPLETADO"/>
    <s v="RECEPCIO"/>
    <n v="1"/>
    <s v="OTROS"/>
    <s v="JHESCOBAR"/>
    <s v="2021-12-01 14:16:04.348913"/>
    <n v="0"/>
    <n v="0"/>
    <s v="SE RECIBE DE TALLER A PUNTO IBAGUE CON RECO 897 SN"/>
    <s v="ME"/>
    <x v="35"/>
    <s v="ACT000225"/>
    <s v="NEVERA HACEB TD"/>
    <s v="UND"/>
    <s v="ACT000225"/>
    <n v="1000000"/>
    <n v="1000000"/>
    <s v="0.000000"/>
    <n v="130526"/>
    <n v="0"/>
    <x v="2"/>
    <s v="NUTRESA"/>
    <s v="USAD"/>
    <m/>
    <m/>
    <m/>
    <m/>
    <s v="JHESCOBAR"/>
    <s v="2021-12-01 14:14:27.280254"/>
  </r>
  <r>
    <x v="234"/>
    <s v="IBA1"/>
    <n v="9219"/>
    <s v="NUTRESA"/>
    <s v="NUTRESA - COMERCIAL NUTRESA SAS"/>
    <d v="2021-12-01T00:00:00"/>
    <s v="COMPLETADO"/>
    <s v="RECEPCIO"/>
    <n v="1"/>
    <s v="OTROS"/>
    <s v="JHESCOBAR"/>
    <s v="2021-12-01 14:16:04.348913"/>
    <n v="0"/>
    <n v="0"/>
    <s v="SE RECIBE DE TALLER A PUNTO IBAGUE CON RECO 897 SN"/>
    <s v="ME"/>
    <x v="84"/>
    <s v="ACT000063"/>
    <s v="VP NEVERA TERMOREFRIGERADA GOLOSINAS TD"/>
    <s v="UND"/>
    <s v="ACT000063"/>
    <n v="1000000"/>
    <n v="1000000"/>
    <s v="0.000000"/>
    <n v="89005"/>
    <n v="0"/>
    <x v="2"/>
    <s v="NUTRESA"/>
    <s v="USAD"/>
    <m/>
    <m/>
    <m/>
    <m/>
    <s v="JHESCOBAR"/>
    <s v="2021-12-01 14:13:44.898114"/>
  </r>
  <r>
    <x v="234"/>
    <s v="IBA1"/>
    <n v="9219"/>
    <s v="NUTRESA"/>
    <s v="NUTRESA - COMERCIAL NUTRESA SAS"/>
    <d v="2021-12-01T00:00:00"/>
    <s v="COMPLETADO"/>
    <s v="RECEPCIO"/>
    <n v="1"/>
    <s v="OTROS"/>
    <s v="JHESCOBAR"/>
    <s v="2021-12-01 14:16:04.348913"/>
    <n v="0"/>
    <n v="0"/>
    <s v="SE RECIBE DE TALLER A PUNTO IBAGUE CON RECO 897 SN"/>
    <s v="ME"/>
    <x v="84"/>
    <s v="ACT000063"/>
    <s v="VP NEVERA TERMOREFRIGERADA GOLOSINAS TD"/>
    <s v="UND"/>
    <s v="ACT000063"/>
    <n v="1000000"/>
    <n v="1000000"/>
    <s v="0.000000"/>
    <n v="158802"/>
    <n v="0"/>
    <x v="2"/>
    <s v="NUTRESA"/>
    <s v="USAD"/>
    <m/>
    <m/>
    <m/>
    <m/>
    <s v="JHESCOBAR"/>
    <s v="2021-12-01 14:13:23.073449"/>
  </r>
  <r>
    <x v="235"/>
    <s v="IBA1"/>
    <n v="9220"/>
    <s v="NUTRESA"/>
    <s v="NUTRESA - COMERCIAL NUTRESA SAS"/>
    <d v="2021-12-01T00:00:00"/>
    <s v="COMPLETADO"/>
    <s v="RECEPCIO"/>
    <n v="1"/>
    <s v="ENVIA"/>
    <s v="JHESCOBAR"/>
    <s v="2021-12-01 14:24:10.13513"/>
    <n v="0"/>
    <n v="124010483311"/>
    <s v="SE RECIBE DE COMERCIAL NUTRESA FLORENCIA CON RECO 885 SN"/>
    <s v="ME"/>
    <x v="44"/>
    <s v="ACT000120"/>
    <s v="PUESTO DE PAGO FRONTAL SUPERETES"/>
    <s v="UND"/>
    <m/>
    <n v="1000000"/>
    <n v="1000000"/>
    <s v="0.000000"/>
    <n v="90987"/>
    <n v="0"/>
    <x v="2"/>
    <s v="NUTRESA"/>
    <s v="AVER"/>
    <m/>
    <m/>
    <m/>
    <m/>
    <s v="JHESCOBAR"/>
    <s v="2021-12-01 14:23:32.186095"/>
  </r>
  <r>
    <x v="233"/>
    <s v="IBA1"/>
    <n v="9221"/>
    <s v="NUTRESA"/>
    <s v="NUTRESA - COMERCIAL NUTRESA SAS"/>
    <d v="2021-12-01T00:00:00"/>
    <s v="COMPLETADO"/>
    <s v="RECEPCIO"/>
    <n v="1"/>
    <s v="OTROS"/>
    <s v="JHESCOBAR"/>
    <s v="2021-12-01 14:31:09.158164"/>
    <n v="0"/>
    <n v="0"/>
    <s v="SE RECIBE DE COMERCIAL NUTRESA IBAGUE CON RECO 898 SN"/>
    <s v="ME"/>
    <x v="35"/>
    <s v="ACT000225"/>
    <s v="NEVERA HACEB TD"/>
    <s v="UND"/>
    <s v="ACT000225"/>
    <n v="1000000"/>
    <n v="1000000"/>
    <s v="0.000000"/>
    <n v="130905"/>
    <n v="0"/>
    <x v="2"/>
    <s v="NUTRESA"/>
    <s v="AVER"/>
    <m/>
    <m/>
    <m/>
    <m/>
    <s v="JHESCOBAR"/>
    <s v="2021-12-01 14:29:59.773475"/>
  </r>
  <r>
    <x v="236"/>
    <s v="IBA1"/>
    <n v="9221"/>
    <s v="NUTRESA"/>
    <s v="NUTRESA - COMERCIAL NUTRESA SAS"/>
    <d v="2021-12-01T00:00:00"/>
    <s v="COMPLETADO"/>
    <s v="RECEPCIO"/>
    <n v="1"/>
    <s v="OTROS"/>
    <s v="JHESCOBAR"/>
    <s v="2021-12-01 14:31:09.158164"/>
    <n v="0"/>
    <n v="0"/>
    <s v="SE RECIBE DE COMERCIAL NUTRESA IBAGUE CON RECO 898 SN"/>
    <s v="ME"/>
    <x v="92"/>
    <s v="ACT000075"/>
    <s v="MINI NEVERA CON BASE GOLOSINAS"/>
    <s v="UND"/>
    <m/>
    <n v="1000000"/>
    <n v="1000000"/>
    <s v="0.000000"/>
    <n v="67032"/>
    <n v="0"/>
    <x v="2"/>
    <s v="NUTRESA"/>
    <s v="AVER"/>
    <m/>
    <m/>
    <m/>
    <m/>
    <s v="JHESCOBAR"/>
    <s v="2021-12-01 14:29:33.414584"/>
  </r>
  <r>
    <x v="237"/>
    <s v="IBA1"/>
    <n v="9229"/>
    <s v="NUTRESA"/>
    <s v="NUTRESA - COMERCIAL NUTRESA SAS"/>
    <d v="2021-12-02T00:00:00"/>
    <s v="COMPLETADO"/>
    <s v="RECEPCIO"/>
    <n v="1"/>
    <s v="OTROS"/>
    <s v="JHESCOBAR"/>
    <s v="2021-12-02 14:58:41.668546"/>
    <n v="0"/>
    <n v="700065748154"/>
    <s v="SE RECIBE DE VIALAMBRE CON REMI 048392 SN"/>
    <s v="ME"/>
    <x v="93"/>
    <s v="CRD023531"/>
    <s v="BALCON CROSS DOBLE LA BASTILLA KIT AU 2021"/>
    <s v="UND"/>
    <m/>
    <n v="2000000"/>
    <n v="2000000"/>
    <s v="0.000000"/>
    <n v="0"/>
    <n v="0"/>
    <x v="2"/>
    <s v="NUTRESA"/>
    <s v="BUEN"/>
    <m/>
    <m/>
    <m/>
    <m/>
    <s v="JHESCOBAR"/>
    <s v="2021-12-02 14:57:54.884043"/>
  </r>
  <r>
    <x v="238"/>
    <s v="IBA1"/>
    <n v="9230"/>
    <s v="NUTRESA"/>
    <s v="NUTRESA - COMERCIAL NUTRESA SAS"/>
    <d v="2021-12-02T00:00:00"/>
    <s v="COMPLETADO"/>
    <s v="RECEPCIO"/>
    <n v="1"/>
    <s v="OTROS"/>
    <s v="JHESCOBAR"/>
    <s v="2021-12-02 15:08:03.972142"/>
    <n v="0"/>
    <n v="700065748209"/>
    <s v="SE RECIBE DE VIALAMBRE CON REMI 048393 SN"/>
    <s v="ME"/>
    <x v="70"/>
    <s v="CRD023535"/>
    <s v="BALCON CROSS DOBLE SELLO ROJO KIT AU 2021"/>
    <s v="UND"/>
    <m/>
    <n v="1000000"/>
    <n v="1000000"/>
    <s v="0.000000"/>
    <n v="0"/>
    <n v="0"/>
    <x v="2"/>
    <s v="NUTRESA"/>
    <s v="BUEN"/>
    <m/>
    <m/>
    <m/>
    <m/>
    <s v="JHESCOBAR"/>
    <s v="2021-12-02 15:05:17.26648"/>
  </r>
  <r>
    <x v="238"/>
    <s v="IBA1"/>
    <n v="9230"/>
    <s v="NUTRESA"/>
    <s v="NUTRESA - COMERCIAL NUTRESA SAS"/>
    <d v="2021-12-02T00:00:00"/>
    <s v="COMPLETADO"/>
    <s v="RECEPCIO"/>
    <n v="1"/>
    <s v="OTROS"/>
    <s v="JHESCOBAR"/>
    <s v="2021-12-02 15:08:03.972142"/>
    <n v="0"/>
    <n v="700065748209"/>
    <s v="SE RECIBE DE VIALAMBRE CON REMI 048393 SN"/>
    <s v="ME"/>
    <x v="70"/>
    <s v="CRD023535"/>
    <s v="BALCON CROSS DOBLE SELLO ROJO KIT AU 2021"/>
    <s v="UND"/>
    <m/>
    <n v="1000000"/>
    <n v="1000000"/>
    <s v="0.000000"/>
    <n v="0"/>
    <n v="0"/>
    <x v="2"/>
    <s v="NUTRESA"/>
    <s v="AVER"/>
    <m/>
    <m/>
    <m/>
    <m/>
    <s v="JHESCOBAR"/>
    <s v="2021-12-02 15:05:24.574767"/>
  </r>
  <r>
    <x v="239"/>
    <s v="IBA1"/>
    <n v="9231"/>
    <s v="NUTRESA"/>
    <s v="NUTRESA - COMERCIAL NUTRESA SAS"/>
    <d v="2021-12-02T00:00:00"/>
    <s v="COMPLETADO"/>
    <s v="RECEPCIO"/>
    <n v="1"/>
    <s v="OTROS"/>
    <s v="JHESCOBAR"/>
    <s v="2021-12-02 15:17:13.077762"/>
    <n v="0"/>
    <n v="0"/>
    <s v="SE RECIBE DE EXITO UNICENTRO NEIVA CON RECO 899 SN"/>
    <s v="ME"/>
    <x v="94"/>
    <s v="CRD024889"/>
    <s v="KIT VESTIDO MUEBLE AUTODEGUSTADOR CD - JET COCO"/>
    <s v="UND"/>
    <m/>
    <n v="1000000"/>
    <n v="1000000"/>
    <s v="0.000000"/>
    <n v="0"/>
    <n v="0"/>
    <x v="0"/>
    <s v="NUTRESA"/>
    <s v="BUEN"/>
    <m/>
    <m/>
    <m/>
    <m/>
    <s v="JHESCOBAR"/>
    <s v="2021-12-02 15:16:32.09419"/>
  </r>
  <r>
    <x v="240"/>
    <s v="IBA1"/>
    <n v="9231"/>
    <s v="NUTRESA"/>
    <s v="NUTRESA - COMERCIAL NUTRESA SAS"/>
    <d v="2021-12-02T00:00:00"/>
    <s v="COMPLETADO"/>
    <s v="RECEPCIO"/>
    <n v="1"/>
    <s v="OTROS"/>
    <s v="JHESCOBAR"/>
    <s v="2021-12-02 15:17:13.077762"/>
    <n v="0"/>
    <n v="0"/>
    <s v="SE RECIBE DE EXITO UNICENTRO NEIVA CON RECO 899 SN"/>
    <s v="P"/>
    <x v="95"/>
    <s v="CRD024162"/>
    <s v="BURBUJA JET AREQUIPE COCO PI XQ 13.2 GR"/>
    <s v="UND"/>
    <m/>
    <n v="1375000000"/>
    <n v="1375000000"/>
    <s v="0.000000"/>
    <n v="0"/>
    <s v="IBA05182022"/>
    <x v="0"/>
    <s v="NUTRESA"/>
    <s v="BUEN"/>
    <d v="2022-05-18T00:00:00"/>
    <m/>
    <d v="2022-05-18T00:00:00"/>
    <m/>
    <s v="JHESCOBAR"/>
    <s v="2021-12-02 15:15:05.547914"/>
  </r>
  <r>
    <x v="241"/>
    <s v="IBA1"/>
    <n v="9232"/>
    <s v="NUTRESA"/>
    <s v="NUTRESA - COMERCIAL NUTRESA SAS"/>
    <d v="2021-12-02T00:00:00"/>
    <s v="COMPLETADO"/>
    <s v="RECEPCIO"/>
    <n v="1"/>
    <s v="OTROS"/>
    <s v="JHESCOBAR"/>
    <s v="2021-12-02 15:21:47.505113"/>
    <n v="0"/>
    <n v="0"/>
    <s v="SE RECIBE DE METRO SANTA LUCIA NEIVA CON RECO 896 SN"/>
    <s v="P"/>
    <x v="96"/>
    <s v="CRD023141"/>
    <s v="PAS. PITA CHIPS TOSH CHAMPINON PIX26G"/>
    <s v="UND"/>
    <m/>
    <n v="300000000"/>
    <n v="300000000"/>
    <s v="0.000000"/>
    <n v="0"/>
    <s v="IBA070322"/>
    <x v="0"/>
    <s v="BPO"/>
    <s v="BUEN"/>
    <d v="2022-07-03T00:00:00"/>
    <m/>
    <d v="2022-07-03T00:00:00"/>
    <m/>
    <s v="JHESCOBAR"/>
    <s v="2021-12-02 15:20:39.868795"/>
  </r>
  <r>
    <x v="242"/>
    <s v="IBA1"/>
    <n v="9240"/>
    <s v="NUTRESA"/>
    <s v="NUTRESA - COMERCIAL NUTRESA SAS"/>
    <d v="2021-12-03T00:00:00"/>
    <s v="COMPLETADO"/>
    <s v="RECEPCIO"/>
    <n v="1"/>
    <s v="OTROS"/>
    <s v="JHESCOBAR"/>
    <s v="2021-12-03 12:52:02.974561"/>
    <n v="0"/>
    <n v="0"/>
    <s v="SE RECIBE DE PLASTIPACK CON REMI 83114 SN"/>
    <s v="M"/>
    <x v="7"/>
    <s v="CRD024849"/>
    <s v="BOLSA TROQUELADA PIGMENTADA IMPRESA - BOLSA NAVIDAD"/>
    <s v="UND"/>
    <m/>
    <n v="2000000000"/>
    <n v="2000000000"/>
    <s v="0.000000"/>
    <n v="0"/>
    <n v="0"/>
    <x v="2"/>
    <s v="NUTRESA"/>
    <s v="BUEN"/>
    <m/>
    <m/>
    <m/>
    <m/>
    <s v="JHESCOBAR"/>
    <s v="2021-12-03 12:51:16.915401"/>
  </r>
  <r>
    <x v="243"/>
    <s v="IBA1"/>
    <n v="9241"/>
    <s v="NUTRESA"/>
    <s v="NUTRESA - COMERCIAL NUTRESA SAS"/>
    <d v="2021-12-03T00:00:00"/>
    <s v="COMPLETADO"/>
    <s v="RECEPCIO"/>
    <n v="1"/>
    <s v="OTROS"/>
    <s v="JCUBIDES"/>
    <s v="2021-12-04 12:24:08.682618"/>
    <n v="0"/>
    <n v="0"/>
    <s v="SE RECIBE DE MERCACENTRO 4 IBAGUE CON RECO 900 SE INGRESA EN AVERIA MUEBLE CON PINTURA DETERIORADA"/>
    <s v="MD"/>
    <x v="34"/>
    <s v="CRD019238"/>
    <s v="MUEBLE DEGUSTACION BENET"/>
    <s v="UND"/>
    <m/>
    <n v="1000000"/>
    <n v="1000000"/>
    <s v="0.000000"/>
    <n v="0"/>
    <n v="0"/>
    <x v="2"/>
    <s v="BPO"/>
    <s v="AVER"/>
    <m/>
    <m/>
    <m/>
    <m/>
    <s v="JHESCOBAR"/>
    <s v="2021-12-03 12:55:16.875173"/>
  </r>
  <r>
    <x v="243"/>
    <s v="IBA1"/>
    <n v="9242"/>
    <s v="NUTRESA"/>
    <s v="NUTRESA - COMERCIAL NUTRESA SAS"/>
    <d v="2021-12-03T00:00:00"/>
    <s v="COMPLETADO"/>
    <s v="RECEPCIO"/>
    <n v="1"/>
    <s v="OTROS"/>
    <s v="JHESCOBAR"/>
    <s v="2021-12-03 13:00:03.857174"/>
    <n v="0"/>
    <n v="0"/>
    <s v="SE RECIBE DE MERCACENTRO 10 IBAGUE CON RECO 901 SE INGRESA MUEBLE EN AVERIA PINTURA DETERIORADA"/>
    <s v="MD"/>
    <x v="34"/>
    <s v="CRD019238"/>
    <s v="MUEBLE DEGUSTACION BENET"/>
    <s v="UND"/>
    <m/>
    <n v="1000000"/>
    <n v="1000000"/>
    <s v="0.000000"/>
    <n v="0"/>
    <n v="0"/>
    <x v="2"/>
    <s v="BPO"/>
    <s v="AVER"/>
    <m/>
    <m/>
    <m/>
    <m/>
    <s v="JHESCOBAR"/>
    <s v="2021-12-03 12:59:28.807632"/>
  </r>
  <r>
    <x v="244"/>
    <s v="IBA1"/>
    <n v="9280"/>
    <s v="NUTRESA"/>
    <s v="NUTRESA - COMERCIAL NUTRESA SAS"/>
    <d v="2021-12-10T00:00:00"/>
    <s v="COMPLETADO"/>
    <s v="RECEPCIO"/>
    <n v="1"/>
    <s v="TCC"/>
    <s v="JHESCOBAR"/>
    <s v="2021-12-10 13:49:50.077501"/>
    <n v="0"/>
    <n v="348650675"/>
    <s v="SE RECIBE DE MARQUILLAS SAS CON REMI 32283 SN"/>
    <s v="MP"/>
    <x v="16"/>
    <s v="CRD025004"/>
    <s v="AYUDAVENTAS TACO DIA MIEL"/>
    <s v="UND"/>
    <m/>
    <n v="47000000"/>
    <n v="47000000"/>
    <s v="0.000000"/>
    <n v="0"/>
    <n v="0"/>
    <x v="1"/>
    <s v="NUTRESA"/>
    <s v="BUEN"/>
    <m/>
    <m/>
    <m/>
    <m/>
    <s v="JHESCOBAR"/>
    <s v="2021-12-10 13:48:18.909476"/>
  </r>
  <r>
    <x v="245"/>
    <s v="IBA1"/>
    <n v="9283"/>
    <s v="NUTRESA"/>
    <s v="NUTRESA - COMERCIAL NUTRESA SAS"/>
    <d v="2021-12-10T00:00:00"/>
    <s v="COMPLETADO"/>
    <s v="RECEPCIO"/>
    <n v="1"/>
    <s v="OTROS"/>
    <s v="JHESCOBAR"/>
    <s v="2021-12-10 14:26:38.725179"/>
    <n v="0"/>
    <n v="0"/>
    <s v="SE RECIBE DE CARTONERIA INDUSTRIAL CON REMI 74772 SN"/>
    <s v="MP"/>
    <x v="69"/>
    <s v="CRD022322"/>
    <s v="PLEGADIZA Y CARTON FABRICA DE ANCHETAS NAVIDAD PAQ X 40 UND"/>
    <s v="PAQ"/>
    <m/>
    <n v="16000000"/>
    <n v="16000000"/>
    <s v="0.000000"/>
    <n v="0"/>
    <n v="0"/>
    <x v="1"/>
    <s v="BPO"/>
    <s v="BUEN"/>
    <m/>
    <m/>
    <m/>
    <m/>
    <s v="JHESCOBAR"/>
    <s v="2021-12-10 14:25:02.397714"/>
  </r>
  <r>
    <x v="246"/>
    <s v="IBA1"/>
    <n v="9286"/>
    <s v="NUTRESA"/>
    <s v="NUTRESA - COMERCIAL NUTRESA SAS"/>
    <d v="2021-12-10T00:00:00"/>
    <s v="COMPLETADO"/>
    <s v="RECEPCIO"/>
    <n v="1"/>
    <s v="OTROS"/>
    <s v="JHESCOBAR"/>
    <s v="2021-12-10 16:10:08.282837"/>
    <n v="0"/>
    <n v="999070481026"/>
    <s v="SE RECIBE DE OPEN MIND CON REMI 2949 LLEGAN 453 UNI"/>
    <s v="ME"/>
    <x v="25"/>
    <s v="CRD024971"/>
    <s v="EXHIBIDOR ENLATADOS TIENDAS"/>
    <s v="UND"/>
    <m/>
    <n v="453000000"/>
    <n v="453000000"/>
    <s v="0.000000"/>
    <n v="0"/>
    <n v="0"/>
    <x v="1"/>
    <s v="NUTRESA"/>
    <s v="BUEN"/>
    <m/>
    <m/>
    <m/>
    <m/>
    <s v="JHESCOBAR"/>
    <s v="2021-12-10 16:09:26.775317"/>
  </r>
  <r>
    <x v="247"/>
    <s v="IBA1"/>
    <n v="9306"/>
    <s v="NUTRESA"/>
    <s v="NUTRESA - COMERCIAL NUTRESA SAS"/>
    <d v="2021-12-15T00:00:00"/>
    <s v="COMPLETADO"/>
    <s v="RECEPCIO"/>
    <n v="1"/>
    <s v="OTROS"/>
    <s v="JHESCOBAR"/>
    <s v="2021-12-15 10:20:32.850091"/>
    <n v="0"/>
    <n v="0"/>
    <s v="SE RECIBE DESURTIPLAZA IBAGUE CON RECO 906 DEMORA EN EL INGRESO POR INVENTARIO FINAL DE AÃ‘O"/>
    <s v="ME"/>
    <x v="97"/>
    <s v="ACT000434"/>
    <s v="AMBIENTACION LINEAL COMPRA EN GRANDE"/>
    <s v="UND"/>
    <m/>
    <n v="1000000"/>
    <n v="1000000"/>
    <s v="0.000000"/>
    <n v="147643"/>
    <n v="0"/>
    <x v="2"/>
    <s v="NUTRESA"/>
    <s v="AVER"/>
    <m/>
    <m/>
    <m/>
    <m/>
    <s v="JHESCOBAR"/>
    <s v="2021-12-15 10:17:46.053942"/>
  </r>
  <r>
    <x v="247"/>
    <s v="IBA1"/>
    <n v="9306"/>
    <s v="NUTRESA"/>
    <s v="NUTRESA - COMERCIAL NUTRESA SAS"/>
    <d v="2021-12-15T00:00:00"/>
    <s v="COMPLETADO"/>
    <s v="RECEPCIO"/>
    <n v="1"/>
    <s v="OTROS"/>
    <s v="JHESCOBAR"/>
    <s v="2021-12-15 10:20:32.850091"/>
    <n v="0"/>
    <n v="0"/>
    <s v="SE RECIBE DESURTIPLAZA IBAGUE CON RECO 906 DEMORA EN EL INGRESO POR INVENTARIO FINAL DE AÃ‘O"/>
    <s v="ME"/>
    <x v="97"/>
    <s v="ACT000434"/>
    <s v="AMBIENTACION LINEAL COMPRA EN GRANDE"/>
    <s v="UND"/>
    <m/>
    <n v="1000000"/>
    <n v="1000000"/>
    <s v="0.000000"/>
    <n v="147644"/>
    <n v="0"/>
    <x v="2"/>
    <s v="NUTRESA"/>
    <s v="AVER"/>
    <m/>
    <m/>
    <m/>
    <m/>
    <s v="JHESCOBAR"/>
    <s v="2021-12-15 10:18:03.114343"/>
  </r>
  <r>
    <x v="247"/>
    <s v="IBA1"/>
    <n v="9306"/>
    <s v="NUTRESA"/>
    <s v="NUTRESA - COMERCIAL NUTRESA SAS"/>
    <d v="2021-12-15T00:00:00"/>
    <s v="COMPLETADO"/>
    <s v="RECEPCIO"/>
    <n v="1"/>
    <s v="OTROS"/>
    <s v="JHESCOBAR"/>
    <s v="2021-12-15 10:20:32.850091"/>
    <n v="0"/>
    <n v="0"/>
    <s v="SE RECIBE DESURTIPLAZA IBAGUE CON RECO 906 DEMORA EN EL INGRESO POR INVENTARIO FINAL DE AÃ‘O"/>
    <s v="ME"/>
    <x v="97"/>
    <s v="ACT000434"/>
    <s v="AMBIENTACION LINEAL COMPRA EN GRANDE"/>
    <s v="UND"/>
    <m/>
    <n v="1000000"/>
    <n v="1000000"/>
    <s v="0.000000"/>
    <n v="147636"/>
    <n v="0"/>
    <x v="2"/>
    <s v="NUTRESA"/>
    <s v="AVER"/>
    <m/>
    <m/>
    <m/>
    <m/>
    <s v="JHESCOBAR"/>
    <s v="2021-12-15 10:18:30.781709"/>
  </r>
  <r>
    <x v="248"/>
    <s v="IBA1"/>
    <n v="9307"/>
    <s v="NUTRESA"/>
    <s v="NUTRESA - COMERCIAL NUTRESA SAS"/>
    <d v="2021-12-15T00:00:00"/>
    <s v="COMPLETADO"/>
    <s v="RECEPCIO"/>
    <n v="1"/>
    <s v="COORDINADO"/>
    <s v="JHESCOBAR"/>
    <s v="2021-12-15 10:33:46.431479"/>
    <n v="0"/>
    <n v="52800017824"/>
    <s v="SE RECIBE DE IMPRESOS CON REMI 23792 DEMORA EN EL INGRESO POR INVENTARIO FINAL DE AÃ‘O"/>
    <s v="MP"/>
    <x v="19"/>
    <s v="CRD025008"/>
    <s v="MOVIL CAPPUCCINOS MAS BENEFICIOS"/>
    <s v="UND"/>
    <m/>
    <n v="1300000000"/>
    <n v="1300000000"/>
    <s v="0.000000"/>
    <n v="0"/>
    <n v="0"/>
    <x v="1"/>
    <s v="NUTRESA"/>
    <s v="BUEN"/>
    <m/>
    <m/>
    <m/>
    <m/>
    <s v="JHESCOBAR"/>
    <s v="2021-12-15 10:32:03.25049"/>
  </r>
  <r>
    <x v="249"/>
    <s v="IBA1"/>
    <n v="9307"/>
    <s v="NUTRESA"/>
    <s v="NUTRESA - COMERCIAL NUTRESA SAS"/>
    <d v="2021-12-15T00:00:00"/>
    <s v="COMPLETADO"/>
    <s v="RECEPCIO"/>
    <n v="1"/>
    <s v="COORDINADO"/>
    <s v="JHESCOBAR"/>
    <s v="2021-12-15 10:33:46.431479"/>
    <n v="0"/>
    <n v="52800017824"/>
    <s v="SE RECIBE DE IMPRESOS CON REMI 23792 DEMORA EN EL INGRESO POR INVENTARIO FINAL DE AÃ‘O"/>
    <s v="MP"/>
    <x v="20"/>
    <s v="CRD025009"/>
    <s v="CHISPA CAPPUCCINOS MAS BENEFICIOS"/>
    <s v="UND"/>
    <m/>
    <n v="800000000"/>
    <n v="800000000"/>
    <s v="0.000000"/>
    <n v="0"/>
    <n v="0"/>
    <x v="1"/>
    <s v="NUTRESA"/>
    <s v="BUEN"/>
    <m/>
    <m/>
    <m/>
    <m/>
    <s v="JHESCOBAR"/>
    <s v="2021-12-15 10:32:12.9902"/>
  </r>
  <r>
    <x v="250"/>
    <s v="IBA1"/>
    <n v="9307"/>
    <s v="NUTRESA"/>
    <s v="NUTRESA - COMERCIAL NUTRESA SAS"/>
    <d v="2021-12-15T00:00:00"/>
    <s v="COMPLETADO"/>
    <s v="RECEPCIO"/>
    <n v="1"/>
    <s v="COORDINADO"/>
    <s v="JHESCOBAR"/>
    <s v="2021-12-15 10:33:46.431479"/>
    <n v="0"/>
    <n v="52800017824"/>
    <s v="SE RECIBE DE IMPRESOS CON REMI 23792 DEMORA EN EL INGRESO POR INVENTARIO FINAL DE AÃ‘O"/>
    <s v="MP"/>
    <x v="21"/>
    <s v="CRD025010"/>
    <s v="AFICHE CAPPUCCINOS MAS BENEFICIOS"/>
    <s v="UND"/>
    <m/>
    <n v="900000000"/>
    <n v="900000000"/>
    <s v="0.000000"/>
    <n v="0"/>
    <n v="0"/>
    <x v="1"/>
    <s v="NUTRESA"/>
    <s v="BUEN"/>
    <m/>
    <m/>
    <m/>
    <m/>
    <s v="JHESCOBAR"/>
    <s v="2021-12-15 10:32:21.383983"/>
  </r>
  <r>
    <x v="251"/>
    <s v="IBA1"/>
    <n v="9308"/>
    <s v="NUTRESA"/>
    <s v="NUTRESA - COMERCIAL NUTRESA SAS"/>
    <d v="2021-12-15T00:00:00"/>
    <s v="COMPLETADO"/>
    <s v="RECEPCIO"/>
    <n v="1"/>
    <s v="COORDINADO"/>
    <s v="JHESCOBAR"/>
    <s v="2021-12-15 10:49:56.341042"/>
    <n v="0"/>
    <n v="52800017824"/>
    <s v="SE RECIBE DE IMPRESOS CON REMI 23787 DEMORA EN EL INGRESO POR INVENTARIO DE FIN DE AÃ‘O"/>
    <s v="MP"/>
    <x v="17"/>
    <s v="CRD025001"/>
    <s v="CHISPA DOYPACK CAPPUCCINO"/>
    <s v="UND"/>
    <m/>
    <n v="100000000"/>
    <n v="100000000"/>
    <s v="0.000000"/>
    <n v="0"/>
    <n v="0"/>
    <x v="2"/>
    <s v="NUTRESA"/>
    <s v="BUEN"/>
    <m/>
    <m/>
    <m/>
    <m/>
    <s v="JHESCOBAR"/>
    <s v="2021-12-15 10:48:14.240403"/>
  </r>
  <r>
    <x v="252"/>
    <s v="IBA1"/>
    <n v="9308"/>
    <s v="NUTRESA"/>
    <s v="NUTRESA - COMERCIAL NUTRESA SAS"/>
    <d v="2021-12-15T00:00:00"/>
    <s v="COMPLETADO"/>
    <s v="RECEPCIO"/>
    <n v="1"/>
    <s v="COORDINADO"/>
    <s v="JHESCOBAR"/>
    <s v="2021-12-15 10:49:56.341042"/>
    <n v="0"/>
    <n v="52800017824"/>
    <s v="SE RECIBE DE IMPRESOS CON REMI 23787 DEMORA EN EL INGRESO POR INVENTARIO DE FIN DE AÃ‘O"/>
    <s v="MP"/>
    <x v="18"/>
    <s v="CRD025002"/>
    <s v="CHISPA DOYPACK 3 EN1"/>
    <s v="UND"/>
    <m/>
    <n v="200000000"/>
    <n v="200000000"/>
    <s v="0.000000"/>
    <n v="0"/>
    <n v="0"/>
    <x v="2"/>
    <s v="NUTRESA"/>
    <s v="BUEN"/>
    <m/>
    <m/>
    <m/>
    <m/>
    <s v="JHESCOBAR"/>
    <s v="2021-12-15 10:48:32.256597"/>
  </r>
  <r>
    <x v="223"/>
    <s v="IBA1"/>
    <n v="9309"/>
    <s v="NUTRESA"/>
    <s v="NUTRESA - COMERCIAL NUTRESA SAS"/>
    <d v="2021-12-15T00:00:00"/>
    <s v="COMPLETADO"/>
    <s v="RECEPCIO"/>
    <n v="1"/>
    <s v="ENVIA"/>
    <s v="JHESCOBAR"/>
    <s v="2021-12-15 10:59:27.412906"/>
    <n v="0"/>
    <n v="124010489523"/>
    <s v="SE RECIBE DE COMERCIAL NUTRESA NEIVA CON RECO 908 DEMORA EN EL INGRESO POR INVENTARIO FINAL DE AÃ‘O"/>
    <s v="ME"/>
    <x v="84"/>
    <s v="ACT000063"/>
    <s v="VP NEVERA TERMOREFRIGERADA GOLOSINAS TD"/>
    <s v="UND"/>
    <s v="ACT000063"/>
    <n v="1000000"/>
    <n v="1000000"/>
    <s v="0.000000"/>
    <n v="78903"/>
    <n v="0"/>
    <x v="1"/>
    <s v="NUTRESA"/>
    <s v="BAJA"/>
    <m/>
    <m/>
    <m/>
    <m/>
    <s v="JHESCOBAR"/>
    <s v="2021-12-15 10:58:09.338555"/>
  </r>
  <r>
    <x v="253"/>
    <s v="IBA1"/>
    <n v="9309"/>
    <s v="NUTRESA"/>
    <s v="NUTRESA - COMERCIAL NUTRESA SAS"/>
    <d v="2021-12-15T00:00:00"/>
    <s v="COMPLETADO"/>
    <s v="RECEPCIO"/>
    <n v="1"/>
    <s v="ENVIA"/>
    <s v="JHESCOBAR"/>
    <s v="2021-12-15 10:59:27.412906"/>
    <n v="0"/>
    <n v="124010489523"/>
    <s v="SE RECIBE DE COMERCIAL NUTRESA NEIVA CON RECO 908 DEMORA EN EL INGRESO POR INVENTARIO FINAL DE AÃ‘O"/>
    <s v="ME"/>
    <x v="98"/>
    <s v="ACT000433"/>
    <s v="SNACKERO ABARROTERO MOSTRADOR"/>
    <s v="UND"/>
    <m/>
    <n v="1000000"/>
    <n v="1000000"/>
    <s v="0.000000"/>
    <n v="102164"/>
    <n v="0"/>
    <x v="1"/>
    <s v="NUTRESA"/>
    <s v="BAJA"/>
    <m/>
    <m/>
    <m/>
    <m/>
    <s v="JHESCOBAR"/>
    <s v="2021-12-15 10:58:28.804316"/>
  </r>
  <r>
    <x v="222"/>
    <s v="IBA1"/>
    <n v="9310"/>
    <s v="NUTRESA"/>
    <s v="NUTRESA - COMERCIAL NUTRESA SAS"/>
    <d v="2021-12-15T00:00:00"/>
    <s v="COMPLETADO"/>
    <s v="RECEPCIO"/>
    <n v="1"/>
    <s v="ENVIA"/>
    <s v="JHESCOBAR"/>
    <s v="2021-12-15 11:05:57.54715"/>
    <n v="0"/>
    <n v="124010485695"/>
    <s v="SE RECIBE DE MERCAEXITO LA 20 PTO ASIS PUTUMAYO CON RECO 895 DEMORA EN EL INGRESO INVENTARIO FINAL DE AÃ‘O"/>
    <s v="ME"/>
    <x v="10"/>
    <s v="ACT000436"/>
    <s v="MUEBLE AUTODEGUSTADOR GENERICO"/>
    <s v="UND"/>
    <m/>
    <n v="1000000"/>
    <n v="1000000"/>
    <s v="0.000000"/>
    <n v="122365"/>
    <n v="0"/>
    <x v="2"/>
    <s v="BPO"/>
    <s v="AVER"/>
    <m/>
    <m/>
    <m/>
    <m/>
    <s v="JHESCOBAR"/>
    <s v="2021-12-15 11:05:15.063799"/>
  </r>
  <r>
    <x v="254"/>
    <s v="IBA1"/>
    <n v="9311"/>
    <s v="NUTRESA"/>
    <s v="NUTRESA - COMERCIAL NUTRESA SAS"/>
    <d v="2021-12-15T00:00:00"/>
    <s v="COMPLETADO"/>
    <s v="RECEPCIO"/>
    <n v="1"/>
    <s v="TCC"/>
    <s v="JHESCOBAR"/>
    <s v="2021-12-15 11:21:38.525272"/>
    <n v="0"/>
    <n v="348650871"/>
    <s v="SE RECIBE DE MARQUILLAS CON REMI 32503 SN"/>
    <s v="MP"/>
    <x v="26"/>
    <s v="CRD025006"/>
    <s v="AYUDAVENTAS BUBRUJAS CC"/>
    <s v="UND"/>
    <m/>
    <n v="47000000"/>
    <n v="47000000"/>
    <s v="0.000000"/>
    <n v="0"/>
    <n v="0"/>
    <x v="1"/>
    <s v="NUTRESA"/>
    <s v="BUEN"/>
    <m/>
    <m/>
    <m/>
    <m/>
    <s v="JHESCOBAR"/>
    <s v="2021-12-15 11:20:54.262102"/>
  </r>
  <r>
    <x v="255"/>
    <s v="IBA1"/>
    <n v="9312"/>
    <s v="NUTRESA"/>
    <s v="NUTRESA - COMERCIAL NUTRESA SAS"/>
    <d v="2021-12-15T00:00:00"/>
    <s v="COMPLETADO"/>
    <s v="RECEPCIO"/>
    <n v="1"/>
    <s v="OTROS"/>
    <s v="JHESCOBAR"/>
    <s v="2021-12-15 11:30:12.314598"/>
    <n v="0"/>
    <n v="0"/>
    <s v="SE RECIBE DE LANDERS Y CIA CON REMI 21089514 DEMORA EN EL INGRESO POR INVENTARIO DE FIN DE AÃ‘O"/>
    <s v="M"/>
    <x v="60"/>
    <s v="CRD018765"/>
    <s v="SET SARTEN 18 Y 20 CMS UNIVERSAL"/>
    <s v="UND"/>
    <s v="CRD018765"/>
    <n v="100000000"/>
    <n v="100000000"/>
    <s v="0.000000"/>
    <n v="0"/>
    <n v="0"/>
    <x v="0"/>
    <s v="BPO"/>
    <s v="BUEN"/>
    <m/>
    <m/>
    <m/>
    <m/>
    <s v="JHESCOBAR"/>
    <s v="2021-12-15 11:29:33.076268"/>
  </r>
  <r>
    <x v="233"/>
    <s v="IBA1"/>
    <n v="9319"/>
    <s v="NUTRESA"/>
    <s v="NUTRESA - COMERCIAL NUTRESA SAS"/>
    <d v="2021-12-16T00:00:00"/>
    <s v="COMPLETADO"/>
    <s v="RECEPCIO"/>
    <n v="1"/>
    <s v="OTROS"/>
    <s v="JHESCOBAR"/>
    <s v="2021-12-16 11:32:55.877252"/>
    <n v="0"/>
    <n v="0"/>
    <s v="SE RECIBE DE LOGISTICA NUTRESA CON SALIDA VARIA 907 SN"/>
    <s v="ME"/>
    <x v="35"/>
    <s v="ACT000225"/>
    <s v="NEVERA HACEB TD"/>
    <s v="UND"/>
    <s v="ACT000225"/>
    <n v="1000000"/>
    <n v="1000000"/>
    <s v="0.000000"/>
    <n v="129622"/>
    <n v="0"/>
    <x v="2"/>
    <s v="NUTRESA"/>
    <s v="AVER"/>
    <m/>
    <m/>
    <m/>
    <m/>
    <s v="JHESCOBAR"/>
    <s v="2021-12-16 11:32:19.129023"/>
  </r>
  <r>
    <x v="256"/>
    <s v="IBA1"/>
    <n v="9320"/>
    <s v="NUTRESA"/>
    <s v="NUTRESA - COMERCIAL NUTRESA SAS"/>
    <d v="2021-12-16T00:00:00"/>
    <s v="COMPLETADO"/>
    <s v="RECEPCIO"/>
    <n v="1"/>
    <s v="OTROS"/>
    <s v="JHESCOBAR"/>
    <s v="2021-12-16 11:45:13.956727"/>
    <n v="0"/>
    <n v="0"/>
    <s v="SE RECIBE DE VIALAMBRE CON REMI 048518 SN"/>
    <s v="ME"/>
    <x v="99"/>
    <s v="ACT000454"/>
    <s v="ESTIBA MAKRO"/>
    <s v="UND"/>
    <m/>
    <n v="1000000"/>
    <n v="1000000"/>
    <s v="0.000000"/>
    <n v="139336"/>
    <n v="0"/>
    <x v="0"/>
    <s v="NUTRESA"/>
    <s v="BUEN"/>
    <m/>
    <m/>
    <m/>
    <m/>
    <s v="JHESCOBAR"/>
    <s v="2021-12-16 11:43:49.935607"/>
  </r>
  <r>
    <x v="256"/>
    <s v="IBA1"/>
    <n v="9320"/>
    <s v="NUTRESA"/>
    <s v="NUTRESA - COMERCIAL NUTRESA SAS"/>
    <d v="2021-12-16T00:00:00"/>
    <s v="COMPLETADO"/>
    <s v="RECEPCIO"/>
    <n v="1"/>
    <s v="OTROS"/>
    <s v="JHESCOBAR"/>
    <s v="2021-12-16 11:45:13.956727"/>
    <n v="0"/>
    <n v="0"/>
    <s v="SE RECIBE DE VIALAMBRE CON REMI 048518 SN"/>
    <s v="ME"/>
    <x v="99"/>
    <s v="ACT000454"/>
    <s v="ESTIBA MAKRO"/>
    <s v="UND"/>
    <m/>
    <n v="1000000"/>
    <n v="1000000"/>
    <s v="0.000000"/>
    <n v="139337"/>
    <n v="0"/>
    <x v="0"/>
    <s v="NUTRESA"/>
    <s v="BUEN"/>
    <m/>
    <m/>
    <m/>
    <m/>
    <s v="JHESCOBAR"/>
    <s v="2021-12-16 11:44:08.03105"/>
  </r>
  <r>
    <x v="257"/>
    <s v="IBA1"/>
    <n v="9321"/>
    <s v="NUTRESA"/>
    <s v="NUTRESA - COMERCIAL NUTRESA SAS"/>
    <d v="2021-12-16T00:00:00"/>
    <s v="COMPLETADO"/>
    <s v="RECEPCIO"/>
    <n v="1"/>
    <s v="OTROS"/>
    <s v="JHESCOBAR"/>
    <s v="2021-12-16 14:36:37.560211"/>
    <n v="0"/>
    <n v="0"/>
    <s v="SE RECIBE DE COMERCIAL NUTRESA IBAGUE CON RECO 913 LLEGA SERIAL DIFERENTE FRENTE A DOCUMENTO"/>
    <s v="ME"/>
    <x v="100"/>
    <s v="ACT000441"/>
    <s v="VP MUEBLE SNACKERO PISO PEQUENO KIT 2021 TD TRADE"/>
    <s v="UND"/>
    <m/>
    <n v="1000000"/>
    <n v="1000000"/>
    <s v="0.000000"/>
    <n v="119158"/>
    <n v="0"/>
    <x v="2"/>
    <s v="NUTRESA"/>
    <s v="USAD"/>
    <m/>
    <m/>
    <m/>
    <m/>
    <s v="JHESCOBAR"/>
    <s v="2021-12-16 14:34:51.853025"/>
  </r>
  <r>
    <x v="258"/>
    <s v="IBA1"/>
    <n v="9327"/>
    <s v="NUTRESA"/>
    <s v="NUTRESA - COMERCIAL NUTRESA SAS"/>
    <d v="2021-12-17T00:00:00"/>
    <s v="COMPLETADO"/>
    <s v="RECEPCIO"/>
    <n v="1"/>
    <s v="ENVIA"/>
    <s v="JHESCOBAR"/>
    <s v="2021-12-17 14:37:57.579175"/>
    <n v="0"/>
    <n v="14114214977"/>
    <s v="SE RECIBE DE VISION COMERCIAL GIRARDOT CON RECO 911 SN"/>
    <s v="ME"/>
    <x v="101"/>
    <s v="ACT000444"/>
    <s v="VP MUEBLE SNACKERO DE PISO MEDIANO KIT 2021 TD MDEO"/>
    <s v="UND"/>
    <m/>
    <n v="1000000"/>
    <n v="1000000"/>
    <s v="0.000000"/>
    <n v="142507"/>
    <n v="0"/>
    <x v="1"/>
    <s v="NUTRESA"/>
    <s v="USAD"/>
    <m/>
    <m/>
    <m/>
    <m/>
    <s v="JHESCOBAR"/>
    <s v="2021-12-17 14:36:59.337642"/>
  </r>
  <r>
    <x v="258"/>
    <s v="IBA1"/>
    <n v="9327"/>
    <s v="NUTRESA"/>
    <s v="NUTRESA - COMERCIAL NUTRESA SAS"/>
    <d v="2021-12-17T00:00:00"/>
    <s v="COMPLETADO"/>
    <s v="RECEPCIO"/>
    <n v="1"/>
    <s v="ENVIA"/>
    <s v="JHESCOBAR"/>
    <s v="2021-12-17 14:37:57.579175"/>
    <n v="0"/>
    <n v="14114214977"/>
    <s v="SE RECIBE DE VISION COMERCIAL GIRARDOT CON RECO 911 SN"/>
    <s v="ME"/>
    <x v="101"/>
    <s v="ACT000444"/>
    <s v="VP MUEBLE SNACKERO DE PISO MEDIANO KIT 2021 TD MDEO"/>
    <s v="UND"/>
    <m/>
    <n v="1000000"/>
    <n v="1000000"/>
    <s v="0.000000"/>
    <n v="142505"/>
    <n v="0"/>
    <x v="1"/>
    <s v="NUTRESA"/>
    <s v="USAD"/>
    <m/>
    <m/>
    <m/>
    <m/>
    <s v="JHESCOBAR"/>
    <s v="2021-12-17 14:36:45.796775"/>
  </r>
  <r>
    <x v="259"/>
    <s v="IBA1"/>
    <n v="9328"/>
    <s v="NUTRESA"/>
    <s v="NUTRESA - COMERCIAL NUTRESA SAS"/>
    <d v="2021-12-17T00:00:00"/>
    <s v="COMPLETADO"/>
    <s v="RECEPCIO"/>
    <n v="1"/>
    <s v="TCC"/>
    <s v="JHESCOBAR"/>
    <s v="2021-12-17 14:45:06.678986"/>
    <n v="0"/>
    <n v="134624526"/>
    <s v="SE RECIBE DE PAPELCARD CON REMI 1662 SN"/>
    <s v="MP"/>
    <x v="37"/>
    <s v="CRD025021"/>
    <s v="CHISPA COLCAFE 3 EN 1 MAS CREMOSO"/>
    <s v="UND"/>
    <m/>
    <n v="100000000"/>
    <n v="100000000"/>
    <s v="0.000000"/>
    <n v="0"/>
    <n v="0"/>
    <x v="2"/>
    <s v="NUTRESA"/>
    <s v="BUEN"/>
    <m/>
    <m/>
    <m/>
    <m/>
    <s v="JHESCOBAR"/>
    <s v="2021-12-17 14:44:31.600814"/>
  </r>
  <r>
    <x v="260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2"/>
    <s v="CRD021225"/>
    <s v="GLINA. JET BURBUJAS CYC X12UNDX14G"/>
    <s v="UND"/>
    <m/>
    <n v="25000000"/>
    <n v="25000000"/>
    <s v="0.000000"/>
    <n v="0"/>
    <s v="IBA08272022"/>
    <x v="1"/>
    <s v="NUTRESA"/>
    <s v="BUEN"/>
    <d v="2022-08-27T00:00:00"/>
    <m/>
    <d v="2022-08-27T00:00:00"/>
    <m/>
    <s v="JHESCOBAR"/>
    <s v="2021-12-18 10:12:25.905976"/>
  </r>
  <r>
    <x v="261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3"/>
    <s v="CRD020036"/>
    <s v="MEZCLA MANI CON PASAS DOYPACK X 200 GR"/>
    <s v="UND"/>
    <m/>
    <n v="25000000"/>
    <n v="25000000"/>
    <s v="0.000000"/>
    <n v="0"/>
    <s v="IBA11242022"/>
    <x v="1"/>
    <s v="NUTRESA"/>
    <s v="BUEN"/>
    <d v="2022-11-24T00:00:00"/>
    <m/>
    <d v="2022-11-24T00:00:00"/>
    <m/>
    <s v="JHESCOBAR"/>
    <s v="2021-12-18 10:11:38.197733"/>
  </r>
  <r>
    <x v="262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4"/>
    <s v="CRD017903"/>
    <s v="CAFE MATIZ ESCARLATA MOLIDO 340G"/>
    <s v="UND"/>
    <m/>
    <n v="5000000"/>
    <n v="5000000"/>
    <s v="0.000000"/>
    <n v="0"/>
    <s v="IBA06072023"/>
    <x v="1"/>
    <s v="NUTRESA"/>
    <s v="BUEN"/>
    <d v="2023-07-06T00:00:00"/>
    <m/>
    <d v="2023-07-06T00:00:00"/>
    <m/>
    <s v="JHESCOBAR"/>
    <s v="2021-12-18 10:11:02.244098"/>
  </r>
  <r>
    <x v="263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5"/>
    <s v="CRD015545"/>
    <s v="CHOCOLATE CORONA CLAVOS Y CANELA X 500 GR"/>
    <s v="UND"/>
    <m/>
    <n v="25000000"/>
    <n v="25000000"/>
    <s v="0.000000"/>
    <n v="0"/>
    <s v="IBA12112023"/>
    <x v="1"/>
    <s v="NUTRESA"/>
    <s v="BUEN"/>
    <d v="2023-12-11T00:00:00"/>
    <m/>
    <d v="2023-12-11T00:00:00"/>
    <m/>
    <s v="JHESCOBAR"/>
    <s v="2021-12-18 10:10:19.808319"/>
  </r>
  <r>
    <x v="264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51"/>
    <s v="CRD012719"/>
    <s v="TRADE GTA. DUCALES TC. X2"/>
    <s v="UND"/>
    <m/>
    <n v="25000000"/>
    <n v="25000000"/>
    <s v="0.000000"/>
    <n v="0"/>
    <s v="IBA09112022"/>
    <x v="1"/>
    <s v="NUTRESA"/>
    <s v="BUEN"/>
    <d v="2022-09-11T00:00:00"/>
    <m/>
    <d v="2022-09-11T00:00:00"/>
    <m/>
    <s v="JHESCOBAR"/>
    <s v="2021-12-18 10:09:40.033169"/>
  </r>
  <r>
    <x v="265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6"/>
    <s v="CRD022526"/>
    <s v="FIDEO DORIA CLASICA X 250G"/>
    <s v="UND"/>
    <m/>
    <n v="25000000"/>
    <n v="25000000"/>
    <s v="0.000000"/>
    <n v="0"/>
    <s v="IBA05252023"/>
    <x v="1"/>
    <s v="NUTRESA"/>
    <s v="BUEN"/>
    <d v="2023-05-25T00:00:00"/>
    <m/>
    <d v="2023-05-25T00:00:00"/>
    <m/>
    <s v="JHESCOBAR"/>
    <s v="2021-12-18 10:13:21.913485"/>
  </r>
  <r>
    <x v="266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7"/>
    <s v="CRD012718"/>
    <s v="TRADE GTA. FESTIVAL CHOCOLATE BS. 12X6"/>
    <s v="PAQ"/>
    <m/>
    <n v="240000000"/>
    <n v="240000000"/>
    <s v="0.000000"/>
    <n v="0"/>
    <s v="IBA11032022"/>
    <x v="1"/>
    <s v="NUTRESA"/>
    <s v="BUEN"/>
    <d v="2022-03-11T00:00:00"/>
    <m/>
    <d v="2022-03-11T00:00:00"/>
    <m/>
    <s v="JHESCOBAR"/>
    <s v="2021-12-18 10:08:54.545588"/>
  </r>
  <r>
    <x v="267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8"/>
    <s v="CRD012660"/>
    <s v="GTA SALTIN NOEL QUESO Y MANTEQUILLA TACOX3"/>
    <s v="UND"/>
    <m/>
    <n v="25000000"/>
    <n v="25000000"/>
    <s v="0.000000"/>
    <n v="0"/>
    <s v="IBA09112022"/>
    <x v="1"/>
    <s v="NUTRESA"/>
    <s v="BUEN"/>
    <d v="2022-09-11T00:00:00"/>
    <m/>
    <d v="2022-09-11T00:00:00"/>
    <m/>
    <s v="JHESCOBAR"/>
    <s v="2021-12-18 10:08:10.293431"/>
  </r>
  <r>
    <x v="268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55"/>
    <s v="CRD012466"/>
    <s v="COLCAFE CLASICO X 50 GR"/>
    <s v="UND"/>
    <m/>
    <n v="25000000"/>
    <n v="25000000"/>
    <s v="0.000000"/>
    <n v="0"/>
    <s v="IBA12052023"/>
    <x v="1"/>
    <s v="NUTRESA"/>
    <s v="BUEN"/>
    <d v="2023-12-05T00:00:00"/>
    <m/>
    <d v="2023-12-05T00:00:00"/>
    <m/>
    <s v="JHESCOBAR"/>
    <s v="2021-12-18 10:07:24.20582"/>
  </r>
  <r>
    <x v="269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9"/>
    <s v="CRD010924"/>
    <s v="ARVEJAS CON ZANAHORIAS ZENU X 300 GR"/>
    <s v="UND"/>
    <m/>
    <n v="25000000"/>
    <n v="25000000"/>
    <s v="0.000000"/>
    <n v="0"/>
    <s v="IBA05182023"/>
    <x v="1"/>
    <s v="NUTRESA"/>
    <s v="BUEN"/>
    <d v="2023-05-18T00:00:00"/>
    <m/>
    <d v="2023-05-18T00:00:00"/>
    <m/>
    <s v="JHESCOBAR"/>
    <s v="2021-12-18 10:05:33.231573"/>
  </r>
  <r>
    <x v="270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0"/>
    <s v="CRD010050"/>
    <s v="CHOCOLISTO CHOCOLATE TARRO X 300G"/>
    <s v="UND"/>
    <m/>
    <n v="25000000"/>
    <n v="25000000"/>
    <s v="0.000000"/>
    <n v="0"/>
    <s v="IBA11172023"/>
    <x v="1"/>
    <s v="NUTRESA"/>
    <s v="BUEN"/>
    <d v="2023-11-17T00:00:00"/>
    <m/>
    <d v="2023-11-17T00:00:00"/>
    <m/>
    <s v="JHESCOBAR"/>
    <s v="2021-12-18 10:04:12.938942"/>
  </r>
  <r>
    <x v="271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1"/>
    <s v="CRD009297"/>
    <s v="GLINA GOL 48 BJA X 3UND X 31GR"/>
    <s v="UND"/>
    <m/>
    <n v="25000000"/>
    <n v="25000000"/>
    <s v="0.000000"/>
    <n v="0"/>
    <s v="IBA08102022"/>
    <x v="1"/>
    <s v="NUTRESA"/>
    <s v="BUEN"/>
    <d v="2022-08-10T00:00:00"/>
    <m/>
    <d v="2022-08-10T00:00:00"/>
    <m/>
    <s v="JHESCOBAR"/>
    <s v="2021-12-18 10:03:11.718799"/>
  </r>
  <r>
    <x v="272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2"/>
    <s v="CRD003938"/>
    <s v="ZENU POLLO CON CHAMPINONES AL VINO X 160 GR"/>
    <s v="UND"/>
    <m/>
    <n v="5000000"/>
    <n v="5000000"/>
    <s v="0.000000"/>
    <n v="0"/>
    <s v="IBA09212023"/>
    <x v="1"/>
    <s v="NUTRESA"/>
    <s v="BUEN"/>
    <d v="2023-09-21T00:00:00"/>
    <m/>
    <d v="2023-09-21T00:00:00"/>
    <m/>
    <s v="JHESCOBAR"/>
    <s v="2021-12-18 10:01:29.20007"/>
  </r>
  <r>
    <x v="273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3"/>
    <s v="CRD003573"/>
    <s v="1001614 GTA FESTIVAL VAINILLA BS 12X4"/>
    <s v="UND"/>
    <m/>
    <n v="25000000"/>
    <n v="25000000"/>
    <s v="0.000000"/>
    <n v="0"/>
    <s v="IBA09222022"/>
    <x v="1"/>
    <s v="NUTRESA"/>
    <s v="BUEN"/>
    <d v="2022-09-22T00:00:00"/>
    <m/>
    <d v="2022-09-22T00:00:00"/>
    <m/>
    <s v="JHESCOBAR"/>
    <s v="2021-12-18 09:58:26.309504"/>
  </r>
  <r>
    <x v="274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4"/>
    <s v="CRD000698"/>
    <s v="SALCHICHA ZENU VIENA X 150 GR"/>
    <s v="UND"/>
    <m/>
    <n v="25000000"/>
    <n v="25000000"/>
    <s v="0.000000"/>
    <n v="0"/>
    <s v="IBA11022023"/>
    <x v="1"/>
    <s v="NUTRESA"/>
    <s v="BUEN"/>
    <d v="2023-11-02T00:00:00"/>
    <m/>
    <d v="2023-11-02T00:00:00"/>
    <m/>
    <s v="JHESCOBAR"/>
    <s v="2021-12-18 09:54:29.548785"/>
  </r>
  <r>
    <x v="275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5"/>
    <s v="CRD023690"/>
    <s v="LOMO ATUN ZENU EN ACEITE GIRASOL X160G"/>
    <s v="UND"/>
    <m/>
    <n v="25000000"/>
    <n v="25000000"/>
    <s v="0.000000"/>
    <n v="0"/>
    <s v="IBA08112025"/>
    <x v="1"/>
    <s v="NUTRESA"/>
    <s v="BUEN"/>
    <d v="2025-08-11T00:00:00"/>
    <m/>
    <d v="2025-08-11T00:00:00"/>
    <m/>
    <s v="JHESCOBAR"/>
    <s v="2021-12-18 10:16:04.481407"/>
  </r>
  <r>
    <x v="276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52"/>
    <s v="CRD002384"/>
    <s v="1001568 GTA SALTIN NOEL TC X 3"/>
    <s v="UND"/>
    <m/>
    <n v="25000000"/>
    <n v="25000000"/>
    <s v="0.000000"/>
    <n v="0"/>
    <s v="IBA09112022"/>
    <x v="1"/>
    <s v="NUTRESA"/>
    <s v="BUEN"/>
    <d v="2022-09-11T00:00:00"/>
    <m/>
    <d v="2022-09-11T00:00:00"/>
    <m/>
    <s v="JHESCOBAR"/>
    <s v="2021-12-18 09:57:33.521846"/>
  </r>
  <r>
    <x v="277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6"/>
    <s v="CRD001544"/>
    <s v="PASTA MONTICELLO FUSILLI BOLSA X 500 GR"/>
    <s v="UND"/>
    <m/>
    <n v="5000000"/>
    <n v="5000000"/>
    <s v="0.000000"/>
    <n v="0"/>
    <s v="IBA06042023"/>
    <x v="1"/>
    <s v="NUTRESA"/>
    <s v="BUEN"/>
    <d v="2023-06-04T00:00:00"/>
    <m/>
    <d v="2023-06-04T00:00:00"/>
    <m/>
    <s v="JHESCOBAR"/>
    <s v="2021-12-18 09:56:20.814747"/>
  </r>
  <r>
    <x v="278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7"/>
    <s v="CRD024366"/>
    <s v="PREMEZ. JET TORTA X440G"/>
    <s v="UND"/>
    <m/>
    <n v="5000000"/>
    <n v="5000000"/>
    <s v="0.000000"/>
    <n v="0"/>
    <s v="IBA11132022"/>
    <x v="1"/>
    <s v="NUTRESA"/>
    <s v="BUEN"/>
    <d v="2022-11-13T00:00:00"/>
    <m/>
    <d v="2022-11-13T00:00:00"/>
    <m/>
    <s v="JHESCOBAR"/>
    <s v="2021-12-18 10:33:04.050162"/>
  </r>
  <r>
    <x v="279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8"/>
    <s v="CRD023781"/>
    <s v="TOSH CREMA DE MANI TARRO X 300G"/>
    <s v="UND"/>
    <m/>
    <n v="5000000"/>
    <n v="5000000"/>
    <s v="0.000000"/>
    <n v="0"/>
    <s v="IBA11152022"/>
    <x v="1"/>
    <s v="NUTRESA"/>
    <s v="BUEN"/>
    <d v="2022-11-15T00:00:00"/>
    <m/>
    <d v="2022-11-15T00:00:00"/>
    <m/>
    <s v="JHESCOBAR"/>
    <s v="2021-12-18 10:31:22.849169"/>
  </r>
  <r>
    <x v="280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9"/>
    <s v="CRD001182"/>
    <s v="SPAGHETTI DORIA NUTRIVIT 250 GR"/>
    <s v="UND"/>
    <m/>
    <n v="25000000"/>
    <n v="25000000"/>
    <s v="0.000000"/>
    <n v="0"/>
    <s v="IBA05222023"/>
    <x v="1"/>
    <s v="NUTRESA"/>
    <s v="BUEN"/>
    <d v="2023-05-22T00:00:00"/>
    <m/>
    <d v="2023-05-22T00:00:00"/>
    <m/>
    <s v="JHESCOBAR"/>
    <s v="2021-12-18 09:55:27.742152"/>
  </r>
  <r>
    <x v="281"/>
    <s v="IBA1"/>
    <n v="9334"/>
    <s v="NUTRESA"/>
    <s v="NUTRESA - COMERCIAL NUTRESA SAS"/>
    <d v="2021-12-20T00:00:00"/>
    <s v="COMPLETADO"/>
    <s v="RECEPCIO"/>
    <n v="1"/>
    <s v="ENVIA"/>
    <s v="JHESCOBAR"/>
    <s v="2021-12-20 11:06:58.292398"/>
    <n v="0"/>
    <n v="124010489527"/>
    <s v="SE RECIBE DE COMERCIAL NUTRESA FLORENCIA CON RECO 909 SN"/>
    <s v="ME"/>
    <x v="120"/>
    <s v="CRD004411"/>
    <s v="VITRINA TIPO COLUMNA CORONA/SALTIN EN VIDRIO"/>
    <s v="UND"/>
    <m/>
    <n v="1000000"/>
    <n v="1000000"/>
    <s v="0.000000"/>
    <n v="0"/>
    <n v="0"/>
    <x v="1"/>
    <s v="NUTRESA"/>
    <s v="BAJA"/>
    <m/>
    <m/>
    <m/>
    <m/>
    <s v="JHESCOBAR"/>
    <s v="2021-12-20 11:05:15.551551"/>
  </r>
  <r>
    <x v="233"/>
    <s v="IBA1"/>
    <n v="9334"/>
    <s v="NUTRESA"/>
    <s v="NUTRESA - COMERCIAL NUTRESA SAS"/>
    <d v="2021-12-20T00:00:00"/>
    <s v="COMPLETADO"/>
    <s v="RECEPCIO"/>
    <n v="1"/>
    <s v="ENVIA"/>
    <s v="JHESCOBAR"/>
    <s v="2021-12-20 11:06:58.292398"/>
    <n v="0"/>
    <n v="124010489527"/>
    <s v="SE RECIBE DE COMERCIAL NUTRESA FLORENCIA CON RECO 909 SN"/>
    <s v="ME"/>
    <x v="35"/>
    <s v="ACT000225"/>
    <s v="NEVERA HACEB TD"/>
    <s v="UND"/>
    <s v="ACT000225"/>
    <n v="1000000"/>
    <n v="1000000"/>
    <s v="0.000000"/>
    <n v="129623"/>
    <n v="0"/>
    <x v="2"/>
    <s v="NUTRESA"/>
    <s v="BAJA"/>
    <m/>
    <m/>
    <m/>
    <m/>
    <s v="JHESCOBAR"/>
    <s v="2021-12-20 11:05:08.223415"/>
  </r>
  <r>
    <x v="282"/>
    <s v="IBA1"/>
    <n v="9334"/>
    <s v="NUTRESA"/>
    <s v="NUTRESA - COMERCIAL NUTRESA SAS"/>
    <d v="2021-12-20T00:00:00"/>
    <s v="COMPLETADO"/>
    <s v="RECEPCIO"/>
    <n v="1"/>
    <s v="ENVIA"/>
    <s v="JHESCOBAR"/>
    <s v="2021-12-20 11:06:58.292398"/>
    <n v="0"/>
    <n v="124010489527"/>
    <s v="SE RECIBE DE COMERCIAL NUTRESA FLORENCIA CON RECO 909 SN"/>
    <s v="ME"/>
    <x v="121"/>
    <s v="ACT000071"/>
    <s v="VP VITRINA MOSTRADOR FESTIVAL/JET"/>
    <s v="UND"/>
    <m/>
    <n v="1000000"/>
    <n v="1000000"/>
    <s v="0.000000"/>
    <n v="117637"/>
    <n v="0"/>
    <x v="1"/>
    <s v="NUTRESA"/>
    <s v="BAJA"/>
    <m/>
    <m/>
    <m/>
    <m/>
    <s v="JHESCOBAR"/>
    <s v="2021-12-20 11:02:04.31625"/>
  </r>
  <r>
    <x v="283"/>
    <s v="IBA1"/>
    <n v="9335"/>
    <s v="NUTRESA"/>
    <s v="NUTRESA - COMERCIAL NUTRESA SAS"/>
    <d v="2021-12-20T00:00:00"/>
    <s v="COMPLETADO"/>
    <s v="RECEPCIO"/>
    <n v="1"/>
    <s v="OTROS"/>
    <s v="JHESCOBAR"/>
    <s v="2021-12-20 11:24:55.694244"/>
    <n v="0"/>
    <n v="0"/>
    <s v="SE RECIBE DE MAKRO IBAGUE CON ALGUNOS RAYONES EN LA PARTE LATERAL IZQUIERDA SE INGRESA EN USADO"/>
    <s v="ME"/>
    <x v="122"/>
    <s v="CRD024979"/>
    <s v="ESTIBA VIVE TOSH MAKRO IBAGUE"/>
    <s v="UND"/>
    <m/>
    <n v="1000000"/>
    <n v="1000000"/>
    <s v="0.000000"/>
    <n v="0"/>
    <n v="0"/>
    <x v="0"/>
    <s v="NUTRESA"/>
    <s v="USAD"/>
    <m/>
    <m/>
    <m/>
    <m/>
    <s v="JHESCOBAR"/>
    <s v="2021-12-20 11:22:54.507638"/>
  </r>
  <r>
    <x v="284"/>
    <s v="IBA1"/>
    <n v="9337"/>
    <s v="NUTRESA"/>
    <s v="NUTRESA - COMERCIAL NUTRESA SAS"/>
    <d v="2021-12-20T00:00:00"/>
    <s v="COMPLETADO"/>
    <s v="RECEPCIO"/>
    <n v="1"/>
    <s v="ENVIA"/>
    <s v="JHESCOBAR"/>
    <s v="2021-12-20 15:18:35.952073"/>
    <n v="0"/>
    <n v="14114370006"/>
    <s v="SE RECIBE DE INERCIA CON REMI 38958 Y 38956 SN"/>
    <s v="ME"/>
    <x v="68"/>
    <s v="CRD025040"/>
    <s v="SHIPPER INFUSIONES TOSH"/>
    <s v="UND"/>
    <m/>
    <n v="3000000"/>
    <n v="3000000"/>
    <s v="0.000000"/>
    <n v="0"/>
    <n v="0"/>
    <x v="2"/>
    <s v="NUTRESA"/>
    <s v="BUEN"/>
    <m/>
    <m/>
    <m/>
    <m/>
    <s v="JHESCOBAR"/>
    <s v="2021-12-20 15:15:58.739802"/>
  </r>
  <r>
    <x v="285"/>
    <s v="IBA1"/>
    <n v="9337"/>
    <s v="NUTRESA"/>
    <s v="NUTRESA - COMERCIAL NUTRESA SAS"/>
    <d v="2021-12-20T00:00:00"/>
    <s v="COMPLETADO"/>
    <s v="RECEPCIO"/>
    <n v="1"/>
    <s v="ENVIA"/>
    <s v="JHESCOBAR"/>
    <s v="2021-12-20 15:18:35.952073"/>
    <n v="0"/>
    <n v="14114370006"/>
    <s v="SE RECIBE DE INERCIA CON REMI 38958 Y 38956 SN"/>
    <s v="ME"/>
    <x v="68"/>
    <s v="CRD025040"/>
    <s v="SHIPPER INFUSIONES TOSH"/>
    <s v="UND"/>
    <m/>
    <n v="5000000"/>
    <n v="5000000"/>
    <s v="0.000000"/>
    <n v="0"/>
    <n v="0"/>
    <x v="1"/>
    <s v="NUTRESA"/>
    <s v="BUEN"/>
    <m/>
    <m/>
    <m/>
    <m/>
    <s v="JHESCOBAR"/>
    <s v="2021-12-20 15:15:55.688075"/>
  </r>
  <r>
    <x v="286"/>
    <s v="IBA1"/>
    <n v="9337"/>
    <s v="NUTRESA"/>
    <s v="NUTRESA - COMERCIAL NUTRESA SAS"/>
    <d v="2021-12-20T00:00:00"/>
    <s v="COMPLETADO"/>
    <s v="RECEPCIO"/>
    <n v="1"/>
    <s v="ENVIA"/>
    <s v="JHESCOBAR"/>
    <s v="2021-12-20 15:18:35.952073"/>
    <n v="0"/>
    <n v="14114370006"/>
    <s v="SE RECIBE DE INERCIA CON REMI 38958 Y 38956 SN"/>
    <s v="ME"/>
    <x v="42"/>
    <s v="CRD025041"/>
    <s v="EXHIBIDOR DE MOSTRADOR INFUSIONES TOSH"/>
    <s v="UND"/>
    <m/>
    <n v="29000000"/>
    <n v="29000000"/>
    <s v="0.000000"/>
    <n v="0"/>
    <n v="0"/>
    <x v="1"/>
    <s v="NUTRESA"/>
    <s v="BUEN"/>
    <m/>
    <m/>
    <m/>
    <m/>
    <s v="JHESCOBAR"/>
    <s v="2021-12-20 15:16:07.155746"/>
  </r>
  <r>
    <x v="287"/>
    <s v="IBA1"/>
    <n v="9337"/>
    <s v="NUTRESA"/>
    <s v="NUTRESA - COMERCIAL NUTRESA SAS"/>
    <d v="2021-12-20T00:00:00"/>
    <s v="COMPLETADO"/>
    <s v="RECEPCIO"/>
    <n v="1"/>
    <s v="ENVIA"/>
    <s v="JHESCOBAR"/>
    <s v="2021-12-20 15:18:35.952073"/>
    <n v="0"/>
    <n v="14114370006"/>
    <s v="SE RECIBE DE INERCIA CON REMI 38958 Y 38956 SN"/>
    <s v="ME"/>
    <x v="42"/>
    <s v="CRD025041"/>
    <s v="EXHIBIDOR DE MOSTRADOR INFUSIONES TOSH"/>
    <s v="UND"/>
    <m/>
    <n v="49000000"/>
    <n v="49000000"/>
    <s v="0.000000"/>
    <n v="0"/>
    <n v="0"/>
    <x v="2"/>
    <s v="NUTRESA"/>
    <s v="BUEN"/>
    <m/>
    <m/>
    <m/>
    <m/>
    <s v="JHESCOBAR"/>
    <s v="2021-12-20 15:16:10.441983"/>
  </r>
  <r>
    <x v="288"/>
    <s v="IBA1"/>
    <n v="9342"/>
    <s v="NUTRESA"/>
    <s v="NUTRESA - COMERCIAL NUTRESA SAS"/>
    <d v="2021-12-22T00:00:00"/>
    <s v="COMPLETADO"/>
    <s v="RECEPCIO"/>
    <n v="1"/>
    <s v="ENVIA"/>
    <s v="JPENAGOS"/>
    <s v="2021-12-22 14:17:19.425354"/>
    <n v="0"/>
    <n v="36001861404"/>
    <s v="SE RECIBE DE POP DISEÃ‘OS CON REMISION 21547"/>
    <s v="MP"/>
    <x v="123"/>
    <s v="CRD023414"/>
    <s v="ESTIBA SENCILLA OLIMPICA /SALTIN Y DUCALES"/>
    <s v="UND"/>
    <m/>
    <n v="1000000"/>
    <n v="1000000"/>
    <s v="0.000000"/>
    <n v="0"/>
    <n v="0"/>
    <x v="0"/>
    <s v="NUTRESA"/>
    <s v="BUEN"/>
    <m/>
    <m/>
    <m/>
    <m/>
    <s v="JPENAGOS"/>
    <s v="2021-12-22 14:14:43.870772"/>
  </r>
  <r>
    <x v="289"/>
    <s v="IBA1"/>
    <n v="9343"/>
    <s v="NUTRESA"/>
    <s v="NUTRESA - COMERCIAL NUTRESA SAS"/>
    <d v="2021-12-22T00:00:00"/>
    <s v="COMPLETADO"/>
    <s v="RECEPCIO"/>
    <n v="1"/>
    <s v="OTROS"/>
    <s v="JPENAGOS"/>
    <s v="2021-12-22 14:28:25.365762"/>
    <n v="0"/>
    <n v="300002755097"/>
    <s v="SE RECIBE DE OPEN MIND CON REMISION 2992"/>
    <s v="ME"/>
    <x v="33"/>
    <s v="CRD025023"/>
    <s v="BALCON COLCAFE 3 EN 1 MAS CREMOSO"/>
    <s v="UND"/>
    <m/>
    <n v="15000000"/>
    <n v="15000000"/>
    <s v="0.000000"/>
    <n v="0"/>
    <n v="0"/>
    <x v="2"/>
    <s v="NUTRESA"/>
    <s v="BUEN"/>
    <m/>
    <m/>
    <m/>
    <m/>
    <s v="JPENAGOS"/>
    <s v="2021-12-22 14:27:31.910545"/>
  </r>
  <r>
    <x v="290"/>
    <s v="MEDE"/>
    <n v="50415"/>
    <s v="NUTRESA"/>
    <s v="NUTRESA - COMERCIAL NUTRESA SAS"/>
    <d v="2021-11-27T00:00:00"/>
    <s v="COMPLETADO"/>
    <s v="RECEPCIO"/>
    <n v="1"/>
    <s v="DEVOLUC"/>
    <s v="JDOSORIO"/>
    <s v="2021-12-10 11:56:07.058931"/>
    <n v="1"/>
    <n v="7418"/>
    <s v="DEV. EXITO POBLADO FINALIZACION DE EVENTO SIN NOVEDAD"/>
    <s v="MD"/>
    <x v="34"/>
    <s v="CRD019238"/>
    <s v="MUEBLE DEGUSTACION BENET"/>
    <s v="UND"/>
    <m/>
    <n v="1000000"/>
    <n v="1000000"/>
    <s v="0.000000"/>
    <n v="0"/>
    <n v="0"/>
    <x v="0"/>
    <s v="BPO"/>
    <s v="BUEN"/>
    <m/>
    <m/>
    <m/>
    <m/>
    <s v="JDOSORIO"/>
    <s v="2021-11-27 08:19:32.811679"/>
  </r>
  <r>
    <x v="291"/>
    <s v="MEDE"/>
    <n v="50416"/>
    <s v="NUTRESA"/>
    <s v="NUTRESA - COMERCIAL NUTRESA SAS"/>
    <d v="2021-11-27T00:00:00"/>
    <s v="COMPLETADO"/>
    <s v="RECEPCIO"/>
    <n v="1"/>
    <s v="OTROS"/>
    <s v="JDOSORIO"/>
    <s v="2021-12-10 11:39:16.680213"/>
    <n v="1"/>
    <n v="7420"/>
    <s v="DEV. EURO PALMA GRANDE FINALIZACION DE EVENTO SIN NOVEDAD"/>
    <s v="MD"/>
    <x v="34"/>
    <s v="CRD019238"/>
    <s v="MUEBLE DEGUSTACION BENET"/>
    <s v="UND"/>
    <m/>
    <n v="1000000"/>
    <n v="1000000"/>
    <s v="0.000000"/>
    <n v="0"/>
    <n v="0"/>
    <x v="2"/>
    <s v="BPO"/>
    <s v="BUEN"/>
    <m/>
    <m/>
    <m/>
    <m/>
    <s v="JDOSORIO"/>
    <s v="2021-11-27 08:22:05.387482"/>
  </r>
  <r>
    <x v="292"/>
    <s v="MEDE"/>
    <n v="50433"/>
    <s v="NUTRESA"/>
    <s v="NUTRESA - COMERCIAL NUTRESA SAS"/>
    <d v="2021-11-27T00:00:00"/>
    <s v="COMPLETADO"/>
    <s v="RECEPCIO"/>
    <n v="1"/>
    <s v="OTROS"/>
    <s v="JDOSORIO"/>
    <s v="2021-12-10 11:56:59.37433"/>
    <n v="1"/>
    <n v="7422"/>
    <s v="DEV. SUPERMERCADO BOOM S.A FINALIAZCION DE EVENTO CON NOVEDAD ( MUEBLE LE FALTAN IMAGENES )"/>
    <s v="ME"/>
    <x v="10"/>
    <s v="ACT000436"/>
    <s v="MUEBLE AUTODEGUSTADOR GENERICO"/>
    <s v="UND"/>
    <m/>
    <n v="1000000"/>
    <n v="1000000"/>
    <s v="0.000000"/>
    <n v="122434"/>
    <n v="0"/>
    <x v="2"/>
    <s v="BPO"/>
    <s v="AVER"/>
    <m/>
    <m/>
    <m/>
    <m/>
    <s v="JDOSORIO"/>
    <s v="2021-11-27 10:51:58.942806"/>
  </r>
  <r>
    <x v="291"/>
    <s v="MEDE"/>
    <n v="50434"/>
    <s v="NUTRESA"/>
    <s v="NUTRESA - COMERCIAL NUTRESA SAS"/>
    <d v="2021-11-27T00:00:00"/>
    <s v="COMPLETADO"/>
    <s v="RECEPCIO"/>
    <n v="1"/>
    <s v="OTROS"/>
    <s v="JDOSORIO"/>
    <s v="2021-12-10 11:38:00.866294"/>
    <n v="1"/>
    <n v="7419"/>
    <s v="DEV. DEPARTAMENTO DE PROVEEDURIA FINALIZACION DE EVENTO SIN NOVEDAD"/>
    <s v="MD"/>
    <x v="34"/>
    <s v="CRD019238"/>
    <s v="MUEBLE DEGUSTACION BENET"/>
    <s v="UND"/>
    <m/>
    <n v="1000000"/>
    <n v="1000000"/>
    <s v="0.000000"/>
    <n v="0"/>
    <n v="0"/>
    <x v="2"/>
    <s v="BPO"/>
    <s v="BUEN"/>
    <m/>
    <m/>
    <m/>
    <m/>
    <s v="JDOSORIO"/>
    <s v="2021-11-27 10:54:09.191392"/>
  </r>
  <r>
    <x v="293"/>
    <s v="MEDE"/>
    <n v="50436"/>
    <s v="NUTRESA"/>
    <s v="NUTRESA - COMERCIAL NUTRESA SAS"/>
    <d v="2021-11-29T00:00:00"/>
    <s v="COMPLETADO"/>
    <s v="RECEPCIO"/>
    <n v="1"/>
    <s v="OTROS"/>
    <s v="JDOSORIO"/>
    <s v="2021-12-10 11:39:01.300807"/>
    <n v="1"/>
    <n v="23304"/>
    <s v="SIN NOVEDAD SE RECIBE MATERIAL DEL PROVEEDOR IMPRESOS CON REMISION 23304"/>
    <s v="MP"/>
    <x v="124"/>
    <s v="CRD024388"/>
    <s v="ESCUDO. DORIA TE TRAE LO QUE TANTO QUERIAS"/>
    <s v="UND"/>
    <m/>
    <n v="60000000"/>
    <n v="60000000"/>
    <s v="0.000000"/>
    <n v="0"/>
    <n v="0"/>
    <x v="2"/>
    <s v="NUTRESA"/>
    <s v="BUEN"/>
    <m/>
    <m/>
    <m/>
    <m/>
    <s v="JDOSORIO"/>
    <s v="2021-11-29 09:07:39.638135"/>
  </r>
  <r>
    <x v="294"/>
    <s v="MEDE"/>
    <n v="50437"/>
    <s v="NUTRESA"/>
    <s v="NUTRESA - COMERCIAL NUTRESA SAS"/>
    <d v="2021-11-29T00:00:00"/>
    <s v="COMPLETADO"/>
    <s v="RECEPCIO"/>
    <n v="1"/>
    <s v="OTROS"/>
    <s v="JDOSORIO"/>
    <s v="2021-12-13 15:50:08.271312"/>
    <n v="1"/>
    <n v="23305"/>
    <s v="SIN NOVEDAD SE RECIBE MATERIAL DEL PROVEEDOR IMPRESOS CON REMISION 23305"/>
    <s v="MP"/>
    <x v="125"/>
    <s v="CRD024387"/>
    <s v="ROMPETRAFICO. DORIA TE TRAE LO QUE TANTO QUERIAS"/>
    <s v="UND"/>
    <m/>
    <n v="60000000"/>
    <n v="60000000"/>
    <s v="0.000000"/>
    <n v="0"/>
    <n v="0"/>
    <x v="2"/>
    <s v="NUTRESA"/>
    <s v="BUEN"/>
    <m/>
    <m/>
    <m/>
    <m/>
    <s v="JDOSORIO"/>
    <s v="2021-11-29 09:10:16.312558"/>
  </r>
  <r>
    <x v="295"/>
    <s v="MEDE"/>
    <n v="50485"/>
    <s v="NUTRESA"/>
    <s v="NUTRESA - COMERCIAL NUTRESA SAS"/>
    <d v="2021-11-30T00:00:00"/>
    <s v="COMPLETADO"/>
    <s v="RECEPCIO"/>
    <n v="1"/>
    <s v="OTROS"/>
    <s v="JDOSORIO"/>
    <s v="2021-12-10 12:21:33.917885"/>
    <n v="1"/>
    <n v="140967"/>
    <s v="SIN NOVEDAD SE RECIBE MATERIAL DEL PROVEEDOR PROPONEMOS SIN NOVEDAD"/>
    <s v="ME"/>
    <x v="74"/>
    <s v="CRD024953"/>
    <s v="MUEBLE X 4 CAJAS EXPERIENCIA CAPSULAS EXPRESS"/>
    <s v="UND"/>
    <m/>
    <n v="1000000"/>
    <n v="1000000"/>
    <s v="0.000000"/>
    <n v="0"/>
    <n v="0"/>
    <x v="0"/>
    <s v="NUTRESA"/>
    <s v="BUEN"/>
    <m/>
    <m/>
    <m/>
    <m/>
    <s v="JDOSORIO"/>
    <s v="2021-11-30 14:13:24.734289"/>
  </r>
  <r>
    <x v="296"/>
    <s v="MEDE"/>
    <n v="50496"/>
    <s v="NUTRESA"/>
    <s v="NUTRESA - COMERCIAL NUTRESA SAS"/>
    <d v="2021-11-30T00:00:00"/>
    <s v="COMPLETADO"/>
    <s v="RECEPCIO"/>
    <n v="1"/>
    <s v="DEVOLUC"/>
    <s v="JDOSORIO"/>
    <s v="2021-12-14 15:28:04.084534"/>
    <n v="1"/>
    <n v="7442"/>
    <s v="DEV. MY TIENDA GROUP BELEN FINALIZACION DE EVENTO SIN NOVEDAD"/>
    <s v="ME"/>
    <x v="126"/>
    <s v="ACT000377"/>
    <s v="PUESTO DE PAGO PEQUENO AU IDEAL"/>
    <s v="UND"/>
    <m/>
    <n v="1000000"/>
    <n v="1000000"/>
    <s v="0.000000"/>
    <n v="90733"/>
    <n v="0"/>
    <x v="2"/>
    <s v="NUTRESA"/>
    <s v="BAJA"/>
    <m/>
    <m/>
    <m/>
    <m/>
    <s v="JDOSORIO"/>
    <s v="2021-11-30 17:02:58.434752"/>
  </r>
  <r>
    <x v="292"/>
    <s v="MEDE"/>
    <n v="50497"/>
    <s v="NUTRESA"/>
    <s v="NUTRESA - COMERCIAL NUTRESA SAS"/>
    <d v="2021-11-30T00:00:00"/>
    <s v="COMPLETADO"/>
    <s v="RECEPCIO"/>
    <n v="1"/>
    <s v="DEVOLUC"/>
    <s v="JDOSORIO"/>
    <s v="2021-12-10 12:19:29.803116"/>
    <n v="1"/>
    <n v="7437"/>
    <s v="DEV. EURO SUPERMERCADO LA FLORIDA FINALIZACION DE EVENTO SIN NOVEDAD"/>
    <s v="ME"/>
    <x v="10"/>
    <s v="ACT000436"/>
    <s v="MUEBLE AUTODEGUSTADOR GENERICO"/>
    <s v="UND"/>
    <m/>
    <n v="1000000"/>
    <n v="1000000"/>
    <s v="0.000000"/>
    <n v="122435"/>
    <n v="0"/>
    <x v="2"/>
    <s v="BPO"/>
    <s v="BUEN"/>
    <m/>
    <m/>
    <m/>
    <m/>
    <s v="JDOSORIO"/>
    <s v="2021-11-30 17:13:26.715275"/>
  </r>
  <r>
    <x v="297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4"/>
    <s v="CRD024844"/>
    <s v="POSTAL COLCAFE VAINILLA"/>
    <s v="UND"/>
    <m/>
    <n v="1500000000"/>
    <n v="1500000000"/>
    <s v="0.000000"/>
    <n v="0"/>
    <n v="0"/>
    <x v="0"/>
    <s v="BPO"/>
    <s v="BUEN"/>
    <m/>
    <m/>
    <m/>
    <m/>
    <s v="JDOSORIO"/>
    <s v="2021-12-01 08:44:31.566705"/>
  </r>
  <r>
    <x v="298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5"/>
    <s v="CRD024842"/>
    <s v="POSTAL COLCAFE DESCAFEINADO"/>
    <s v="UND"/>
    <m/>
    <n v="1500000000"/>
    <n v="1500000000"/>
    <s v="0.000000"/>
    <n v="0"/>
    <n v="0"/>
    <x v="0"/>
    <s v="BPO"/>
    <s v="BUEN"/>
    <m/>
    <m/>
    <m/>
    <m/>
    <s v="JDOSORIO"/>
    <s v="2021-12-01 08:43:14.280767"/>
  </r>
  <r>
    <x v="299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5"/>
    <s v="CRD024842"/>
    <s v="POSTAL COLCAFE DESCAFEINADO"/>
    <s v="UND"/>
    <m/>
    <n v="1500000000"/>
    <n v="1500000000"/>
    <s v="0.000000"/>
    <n v="0"/>
    <n v="0"/>
    <x v="2"/>
    <s v="BPO"/>
    <s v="BUEN"/>
    <m/>
    <m/>
    <m/>
    <m/>
    <s v="JDOSORIO"/>
    <s v="2021-12-01 08:44:19.192882"/>
  </r>
  <r>
    <x v="300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2"/>
    <s v="CRD024843"/>
    <s v="POSTAL COLCAFE CLASICO"/>
    <s v="UND"/>
    <m/>
    <n v="1500000000"/>
    <n v="1500000000"/>
    <s v="0.000000"/>
    <n v="0"/>
    <n v="0"/>
    <x v="0"/>
    <s v="BPO"/>
    <s v="BUEN"/>
    <m/>
    <m/>
    <m/>
    <m/>
    <s v="JDOSORIO"/>
    <s v="2021-12-01 08:44:24.36377"/>
  </r>
  <r>
    <x v="301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3"/>
    <s v="CRD024845"/>
    <s v="POSTAL COLCAFE GRANULADO"/>
    <s v="UND"/>
    <m/>
    <n v="1500000000"/>
    <n v="1500000000"/>
    <s v="0.000000"/>
    <n v="0"/>
    <n v="0"/>
    <x v="2"/>
    <s v="BPO"/>
    <s v="BUEN"/>
    <m/>
    <m/>
    <m/>
    <m/>
    <s v="JDOSORIO"/>
    <s v="2021-12-01 08:44:40.646341"/>
  </r>
  <r>
    <x v="302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3"/>
    <s v="CRD024845"/>
    <s v="POSTAL COLCAFE GRANULADO"/>
    <s v="UND"/>
    <m/>
    <n v="1500000000"/>
    <n v="1500000000"/>
    <s v="0.000000"/>
    <n v="0"/>
    <n v="0"/>
    <x v="0"/>
    <s v="BPO"/>
    <s v="BUEN"/>
    <m/>
    <m/>
    <m/>
    <m/>
    <s v="JDOSORIO"/>
    <s v="2021-12-01 08:44:42.57767"/>
  </r>
  <r>
    <x v="303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4"/>
    <s v="CRD024844"/>
    <s v="POSTAL COLCAFE VAINILLA"/>
    <s v="UND"/>
    <m/>
    <n v="1500000000"/>
    <n v="1500000000"/>
    <s v="0.000000"/>
    <n v="0"/>
    <n v="0"/>
    <x v="2"/>
    <s v="BPO"/>
    <s v="BUEN"/>
    <m/>
    <m/>
    <m/>
    <m/>
    <s v="JDOSORIO"/>
    <s v="2021-12-01 08:44:33.259882"/>
  </r>
  <r>
    <x v="304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2"/>
    <s v="CRD024843"/>
    <s v="POSTAL COLCAFE CLASICO"/>
    <s v="UND"/>
    <m/>
    <n v="1500000000"/>
    <n v="1500000000"/>
    <s v="0.000000"/>
    <n v="0"/>
    <n v="0"/>
    <x v="2"/>
    <s v="BPO"/>
    <s v="BUEN"/>
    <m/>
    <m/>
    <m/>
    <m/>
    <s v="JDOSORIO"/>
    <s v="2021-12-01 08:44:25.683104"/>
  </r>
  <r>
    <x v="305"/>
    <s v="MEDE"/>
    <n v="50515"/>
    <s v="NUTRESA"/>
    <s v="NUTRESA - COMERCIAL NUTRESA SAS"/>
    <d v="2021-12-01T00:00:00"/>
    <s v="COMPLETADO"/>
    <s v="RECEPCIO"/>
    <n v="1"/>
    <s v="OTROS"/>
    <s v="JDOSORIO"/>
    <s v="2021-12-13 16:43:38.628117"/>
    <n v="1"/>
    <n v="7452"/>
    <s v="DEV. MERKEPAISA TERRACINA FINALIZACION DE EVENTO CON NOVEDAD ( EN MAL ESTADO )"/>
    <s v="ME"/>
    <x v="127"/>
    <s v="CRD022273"/>
    <s v="MUEBLE RECOLECTOR PTA GDE RETOMA NUTRESA"/>
    <s v="UND"/>
    <m/>
    <n v="1000000"/>
    <n v="1000000"/>
    <s v="0.000000"/>
    <n v="0"/>
    <n v="0"/>
    <x v="2"/>
    <s v="NUTRESA"/>
    <s v="BAJA"/>
    <m/>
    <m/>
    <m/>
    <m/>
    <s v="JDOSORIO"/>
    <s v="2021-12-01 12:00:09.229081"/>
  </r>
  <r>
    <x v="306"/>
    <s v="MEDE"/>
    <n v="50518"/>
    <s v="NUTRESA"/>
    <s v="NUTRESA - COMERCIAL NUTRESA SAS"/>
    <d v="2021-12-01T00:00:00"/>
    <s v="COMPLETADO"/>
    <s v="RECEPCIO"/>
    <n v="1"/>
    <s v="DEVOLUC"/>
    <s v="JDOSORIO"/>
    <s v="2021-12-13 16:43:27.861557"/>
    <n v="1"/>
    <n v="7432"/>
    <s v="DEV. FYJ FINALIZACION DE EVENTO CON NOVEDAD ( EN MAL ESTADO )"/>
    <s v="ME"/>
    <x v="128"/>
    <s v="ACT000007"/>
    <s v="VP EXHIBIDOR MOD GOLOSINAS"/>
    <s v="UND"/>
    <m/>
    <n v="1000000"/>
    <n v="1000000"/>
    <s v="0.000000"/>
    <n v="84433"/>
    <n v="0"/>
    <x v="2"/>
    <s v="NUTRESA"/>
    <s v="BAJA"/>
    <m/>
    <m/>
    <m/>
    <m/>
    <s v="JDOSORIO"/>
    <s v="2021-12-01 12:30:43.778565"/>
  </r>
  <r>
    <x v="306"/>
    <s v="MEDE"/>
    <n v="50518"/>
    <s v="NUTRESA"/>
    <s v="NUTRESA - COMERCIAL NUTRESA SAS"/>
    <d v="2021-12-01T00:00:00"/>
    <s v="COMPLETADO"/>
    <s v="RECEPCIO"/>
    <n v="1"/>
    <s v="DEVOLUC"/>
    <s v="JDOSORIO"/>
    <s v="2021-12-13 16:43:27.861557"/>
    <n v="1"/>
    <n v="7432"/>
    <s v="DEV. FYJ FINALIZACION DE EVENTO CON NOVEDAD ( EN MAL ESTADO )"/>
    <s v="ME"/>
    <x v="128"/>
    <s v="ACT000007"/>
    <s v="VP EXHIBIDOR MOD GOLOSINAS"/>
    <s v="UND"/>
    <m/>
    <n v="1000000"/>
    <n v="1000000"/>
    <s v="0.000000"/>
    <n v="84432"/>
    <n v="0"/>
    <x v="2"/>
    <s v="NUTRESA"/>
    <s v="BAJA"/>
    <m/>
    <m/>
    <m/>
    <m/>
    <s v="JDOSORIO"/>
    <s v="2021-12-01 12:29:33.187737"/>
  </r>
  <r>
    <x v="306"/>
    <s v="MEDE"/>
    <n v="50518"/>
    <s v="NUTRESA"/>
    <s v="NUTRESA - COMERCIAL NUTRESA SAS"/>
    <d v="2021-12-01T00:00:00"/>
    <s v="COMPLETADO"/>
    <s v="RECEPCIO"/>
    <n v="1"/>
    <s v="DEVOLUC"/>
    <s v="JDOSORIO"/>
    <s v="2021-12-13 16:43:27.861557"/>
    <n v="1"/>
    <n v="7432"/>
    <s v="DEV. FYJ FINALIZACION DE EVENTO CON NOVEDAD ( EN MAL ESTADO )"/>
    <s v="ME"/>
    <x v="128"/>
    <s v="ACT000007"/>
    <s v="VP EXHIBIDOR MOD GOLOSINAS"/>
    <s v="UND"/>
    <m/>
    <n v="1000000"/>
    <n v="1000000"/>
    <s v="0.000000"/>
    <n v="84431"/>
    <n v="0"/>
    <x v="2"/>
    <s v="NUTRESA"/>
    <s v="BAJA"/>
    <m/>
    <m/>
    <m/>
    <m/>
    <s v="JDOSORIO"/>
    <s v="2021-12-01 12:29:11.449091"/>
  </r>
  <r>
    <x v="307"/>
    <s v="MEDE"/>
    <n v="50521"/>
    <s v="NUTRESA"/>
    <s v="NUTRESA - COMERCIAL NUTRESA SAS"/>
    <d v="2021-12-01T00:00:00"/>
    <s v="COMPLETADO"/>
    <s v="RECEPCIO"/>
    <n v="1"/>
    <s v="OTROS"/>
    <s v="JDOSORIO"/>
    <s v="2021-12-14 15:26:30.905443"/>
    <n v="1"/>
    <n v="74600"/>
    <s v="CON NOVEDAD ( LLEGA UNA PLEGA POR 20 UNI Y ES POR 40 ESTA INCOMPLETA )SE RECIBE MATERIAL DEL PROVEEDOR INDUCARTO CON REMISION 74600"/>
    <s v="MP"/>
    <x v="69"/>
    <s v="CRD022322"/>
    <s v="PLEGADIZA Y CARTON FABRICA DE ANCHETAS NAVIDAD PAQ X 40 UND"/>
    <s v="PAQ"/>
    <m/>
    <n v="37000000"/>
    <n v="37000000"/>
    <s v="0.000000"/>
    <n v="0"/>
    <n v="0"/>
    <x v="2"/>
    <s v="NUTRESA"/>
    <s v="BUEN"/>
    <m/>
    <m/>
    <m/>
    <m/>
    <s v="JDOSORIO"/>
    <s v="2021-12-01 15:58:05.008056"/>
  </r>
  <r>
    <x v="307"/>
    <s v="MEDE"/>
    <n v="50521"/>
    <s v="NUTRESA"/>
    <s v="NUTRESA - COMERCIAL NUTRESA SAS"/>
    <d v="2021-12-01T00:00:00"/>
    <s v="COMPLETADO"/>
    <s v="RECEPCIO"/>
    <n v="1"/>
    <s v="OTROS"/>
    <s v="JDOSORIO"/>
    <s v="2021-12-14 15:26:30.905443"/>
    <n v="1"/>
    <n v="74600"/>
    <s v="CON NOVEDAD ( LLEGA UNA PLEGA POR 20 UNI Y ES POR 40 ESTA INCOMPLETA )SE RECIBE MATERIAL DEL PROVEEDOR INDUCARTO CON REMISION 74600"/>
    <s v="MP"/>
    <x v="69"/>
    <s v="CRD022322"/>
    <s v="PLEGADIZA Y CARTON FABRICA DE ANCHETAS NAVIDAD PAQ X 40 UND"/>
    <s v="PAQ"/>
    <m/>
    <n v="1000000"/>
    <n v="1000000"/>
    <s v="0.000000"/>
    <n v="0"/>
    <n v="0"/>
    <x v="2"/>
    <s v="NUTRESA"/>
    <s v="INCO"/>
    <m/>
    <m/>
    <m/>
    <m/>
    <s v="JDOSORIO"/>
    <s v="2021-12-01 15:57:59.838032"/>
  </r>
  <r>
    <x v="308"/>
    <s v="MEDE"/>
    <n v="50522"/>
    <s v="NUTRESA"/>
    <s v="NUTRESA - COMERCIAL NUTRESA SAS"/>
    <d v="2021-12-01T00:00:00"/>
    <s v="COMPLETADO"/>
    <s v="RECEPCIO"/>
    <n v="1"/>
    <s v="OTROS"/>
    <s v="JDOSORIO"/>
    <s v="2021-12-13 16:42:56.982906"/>
    <n v="1"/>
    <n v="30646"/>
    <s v="SIN NOVEDAD SE RECIBE MATERIAL DEL PROVEEDOR SOUVENIR CON REMISION 30646"/>
    <s v="MP"/>
    <x v="8"/>
    <s v="CRD025003"/>
    <s v="BOLSA CEN"/>
    <s v="UND"/>
    <m/>
    <n v="80000000"/>
    <n v="80000000"/>
    <s v="0.000000"/>
    <n v="0"/>
    <n v="0"/>
    <x v="0"/>
    <s v="BPO"/>
    <s v="BUEN"/>
    <m/>
    <m/>
    <m/>
    <m/>
    <s v="JDOSORIO"/>
    <s v="2021-12-01 16:02:18.357095"/>
  </r>
  <r>
    <x v="309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P"/>
    <x v="77"/>
    <s v="CRD014118"/>
    <s v="PLEGADIZA MATIZ ESCARLATA CPE"/>
    <s v="UND"/>
    <m/>
    <n v="1000000"/>
    <n v="1000000"/>
    <s v="0.000000"/>
    <n v="0"/>
    <s v="MED05232022"/>
    <x v="0"/>
    <s v="BPO"/>
    <s v="INCO"/>
    <d v="2022-05-23T00:00:00"/>
    <m/>
    <d v="2022-05-23T00:00:00"/>
    <m/>
    <s v="JDOSORIO"/>
    <s v="2021-12-01 16:24:25.635855"/>
  </r>
  <r>
    <x v="310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IE"/>
    <x v="79"/>
    <s v="CRD019868"/>
    <s v="MAQUINA EVA CAPSULAS EXPRESS NUTRESA"/>
    <s v="UND"/>
    <m/>
    <n v="1000000"/>
    <n v="1000000"/>
    <s v="0.000000"/>
    <n v="0"/>
    <n v="0"/>
    <x v="0"/>
    <s v="BPO"/>
    <s v="BUEN"/>
    <m/>
    <m/>
    <m/>
    <m/>
    <s v="JDOSORIO"/>
    <s v="2021-12-01 16:26:14.630987"/>
  </r>
  <r>
    <x v="311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P"/>
    <x v="78"/>
    <s v="CRD014120"/>
    <s v="PLEGADIZA CORONA EXPRESS CPE"/>
    <s v="UND"/>
    <m/>
    <n v="1000000"/>
    <n v="1000000"/>
    <s v="0.000000"/>
    <n v="0"/>
    <s v="MED02202022"/>
    <x v="0"/>
    <s v="BPO"/>
    <s v="INCO"/>
    <d v="2022-02-20T00:00:00"/>
    <m/>
    <d v="2022-02-20T00:00:00"/>
    <m/>
    <s v="JDOSORIO"/>
    <s v="2021-12-01 16:25:22.207937"/>
  </r>
  <r>
    <x v="312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MD"/>
    <x v="129"/>
    <s v="CRD014424"/>
    <s v="MUEBLE DEGUSTACION CAPSULAS CAF KIT 1.60"/>
    <s v="UND"/>
    <m/>
    <n v="1000000"/>
    <n v="1000000"/>
    <s v="0.000000"/>
    <n v="0"/>
    <n v="0"/>
    <x v="0"/>
    <s v="BPO"/>
    <s v="BUEN"/>
    <m/>
    <m/>
    <m/>
    <m/>
    <s v="JDOSORIO"/>
    <s v="2021-12-01 16:26:05.201951"/>
  </r>
  <r>
    <x v="313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P"/>
    <x v="130"/>
    <s v="CRD014119"/>
    <s v="PLEGADIZA MATIZ EBANO CPE"/>
    <s v="UND"/>
    <m/>
    <n v="1000000"/>
    <n v="1000000"/>
    <s v="0.000000"/>
    <n v="0"/>
    <s v="MED02202022"/>
    <x v="0"/>
    <s v="BPO"/>
    <s v="INCO"/>
    <d v="2022-02-20T00:00:00"/>
    <m/>
    <d v="2022-02-20T00:00:00"/>
    <m/>
    <s v="JDOSORIO"/>
    <s v="2021-12-01 16:23:38.899454"/>
  </r>
  <r>
    <x v="314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P"/>
    <x v="131"/>
    <s v="CRD014116"/>
    <s v="CAPP COLCAFE VAINI CAPEXP 10G 10CAP 8PQT"/>
    <s v="UND"/>
    <m/>
    <n v="1000000"/>
    <n v="1000000"/>
    <s v="0.000000"/>
    <n v="0"/>
    <s v="MED092022"/>
    <x v="0"/>
    <s v="BPO"/>
    <s v="INCO"/>
    <d v="2022-09-22T00:00:00"/>
    <m/>
    <d v="2022-09-22T00:00:00"/>
    <m/>
    <s v="JDOSORIO"/>
    <s v="2021-12-01 16:22:16.589171"/>
  </r>
  <r>
    <x v="315"/>
    <s v="MEDE"/>
    <n v="50562"/>
    <s v="NUTRESA"/>
    <s v="NUTRESA - COMERCIAL NUTRESA SAS"/>
    <d v="2021-12-03T00:00:00"/>
    <s v="COMPLETADO"/>
    <s v="RECEPCIO"/>
    <n v="1"/>
    <s v="OTROS"/>
    <s v="JDOSORIO"/>
    <s v="2021-12-13 15:49:26.831293"/>
    <n v="1"/>
    <n v="83118"/>
    <s v="SIN NOVEDAD SE RECIBE MATERIAL DEL PROVEEDOR PLASTIPACK S.A CON REMISION 83118"/>
    <s v="M"/>
    <x v="7"/>
    <s v="CRD024849"/>
    <s v="BOLSA TROQUELADA PIGMENTADA IMPRESA - BOLSA NAVIDAD"/>
    <s v="UND"/>
    <m/>
    <n v="25000000000"/>
    <n v="25000000000"/>
    <s v="0.000000"/>
    <n v="0"/>
    <n v="0"/>
    <x v="2"/>
    <s v="NUTRESA"/>
    <s v="BUEN"/>
    <m/>
    <m/>
    <m/>
    <m/>
    <s v="JDOSORIO"/>
    <s v="2021-12-03 07:57:59.202551"/>
  </r>
  <r>
    <x v="316"/>
    <s v="MEDE"/>
    <n v="50563"/>
    <s v="NUTRESA"/>
    <s v="NUTRESA - COMERCIAL NUTRESA SAS"/>
    <d v="2021-12-03T00:00:00"/>
    <s v="COMPLETADO"/>
    <s v="RECEPCIO"/>
    <n v="1"/>
    <s v="OTROS"/>
    <s v="JDOSORIO"/>
    <s v="2021-12-13 15:42:51.499434"/>
    <n v="1"/>
    <n v="123"/>
    <s v="SIN NOVEDAD SE RECIBE MATERIAL DEL PROVEEDOR PROPONEMOS CON REMISION 123"/>
    <s v="M"/>
    <x v="132"/>
    <s v="CRD024999"/>
    <s v="DESTAPADOR ECO WINE ACTIVACIONES PDV"/>
    <s v="UND"/>
    <m/>
    <n v="20000000"/>
    <n v="20000000"/>
    <s v="0.000000"/>
    <n v="0"/>
    <n v="0"/>
    <x v="0"/>
    <s v="NUTRESA"/>
    <s v="BUEN"/>
    <m/>
    <m/>
    <m/>
    <m/>
    <s v="JDOSORIO"/>
    <s v="2021-12-03 08:02:43.394804"/>
  </r>
  <r>
    <x v="317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55"/>
    <s v="CRD012466"/>
    <s v="COLCAFE CLASICO X 50 GR"/>
    <s v="UND"/>
    <m/>
    <n v="4000000"/>
    <n v="4000000"/>
    <s v="0.000000"/>
    <n v="0"/>
    <s v="MED11272023"/>
    <x v="0"/>
    <s v="NUTRESA"/>
    <s v="BUEN"/>
    <d v="2023-11-27T00:00:00"/>
    <m/>
    <d v="2023-11-27T00:00:00"/>
    <m/>
    <s v="JDOSORIO"/>
    <s v="2021-12-03 08:28:51.534261"/>
  </r>
  <r>
    <x v="318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56"/>
    <s v="CRD023444"/>
    <s v="MANI KRAKS LA ESPECIAL DOYPACK X140G"/>
    <s v="UND"/>
    <m/>
    <n v="4000000"/>
    <n v="4000000"/>
    <s v="0.000000"/>
    <n v="0"/>
    <s v="MED09282022"/>
    <x v="0"/>
    <s v="NUTRESA"/>
    <s v="BUEN"/>
    <d v="2022-09-28T00:00:00"/>
    <m/>
    <d v="2022-09-28T00:00:00"/>
    <m/>
    <s v="JDOSORIO"/>
    <s v="2021-12-03 08:33:43.984481"/>
  </r>
  <r>
    <x v="319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51"/>
    <s v="CRD012719"/>
    <s v="TRADE GTA. DUCALES TC. X2"/>
    <s v="UND"/>
    <m/>
    <n v="4000000"/>
    <n v="4000000"/>
    <s v="0.000000"/>
    <n v="0"/>
    <s v="MED09042022"/>
    <x v="0"/>
    <s v="NUTRESA"/>
    <s v="BUEN"/>
    <d v="2022-09-04T00:00:00"/>
    <m/>
    <d v="2022-09-04T00:00:00"/>
    <m/>
    <s v="JDOSORIO"/>
    <s v="2021-12-03 08:29:42.897637"/>
  </r>
  <r>
    <x v="320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49"/>
    <s v="CRD012726"/>
    <s v="TORNILLO DORIA CLASICA X 250G"/>
    <s v="UND"/>
    <m/>
    <n v="4000000"/>
    <n v="4000000"/>
    <s v="0.000000"/>
    <n v="0"/>
    <s v="MED04022023"/>
    <x v="0"/>
    <s v="NUTRESA"/>
    <s v="BUEN"/>
    <d v="2023-04-02T00:00:00"/>
    <m/>
    <d v="2023-04-02T00:00:00"/>
    <m/>
    <s v="JDOSORIO"/>
    <s v="2021-12-03 08:33:00.119805"/>
  </r>
  <r>
    <x v="321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52"/>
    <s v="CRD002384"/>
    <s v="1001568 GTA SALTIN NOEL TC X 3"/>
    <s v="UND"/>
    <m/>
    <n v="4000000"/>
    <n v="4000000"/>
    <s v="0.000000"/>
    <n v="0"/>
    <s v="MED09112022"/>
    <x v="0"/>
    <s v="NUTRESA"/>
    <s v="BUEN"/>
    <d v="2022-09-11T00:00:00"/>
    <m/>
    <d v="2022-09-11T00:00:00"/>
    <m/>
    <s v="JDOSORIO"/>
    <s v="2021-12-03 08:28:04.24751"/>
  </r>
  <r>
    <x v="322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53"/>
    <s v="CRD001185"/>
    <s v="CHOCOLATINA JET BJA X 12 UND X 144 G"/>
    <s v="PAQ"/>
    <m/>
    <n v="4000000"/>
    <n v="4000000"/>
    <s v="0.000000"/>
    <n v="0"/>
    <s v="MED11222022"/>
    <x v="0"/>
    <s v="NUTRESA"/>
    <s v="BUEN"/>
    <d v="2022-11-22T00:00:00"/>
    <m/>
    <d v="2022-11-22T00:00:00"/>
    <m/>
    <s v="JDOSORIO"/>
    <s v="2021-12-03 08:27:33.671871"/>
  </r>
  <r>
    <x v="323"/>
    <s v="MEDE"/>
    <n v="50569"/>
    <s v="NUTRESA"/>
    <s v="NUTRESA - COMERCIAL NUTRESA SAS"/>
    <d v="2021-12-03T00:00:00"/>
    <s v="COMPLETADO"/>
    <s v="RECEPCIO"/>
    <n v="1"/>
    <s v="DEVOLUC"/>
    <s v="JDOSORIO"/>
    <s v="2021-12-13 15:42:37.444416"/>
    <n v="1"/>
    <n v="7454"/>
    <s v="DEV. NUTRESA MEDELLIN RECOGIDA 7454 SIN NOVEDAD"/>
    <s v="ME"/>
    <x v="133"/>
    <s v="ACT000244"/>
    <s v="VP MUEBLE SNACKERO DE PISO 2018"/>
    <s v="UND"/>
    <m/>
    <n v="1000000"/>
    <n v="1000000"/>
    <s v="0.000000"/>
    <n v="104775"/>
    <n v="0"/>
    <x v="1"/>
    <s v="NUTRESA"/>
    <s v="AVER"/>
    <m/>
    <m/>
    <m/>
    <m/>
    <s v="JDOSORIO"/>
    <s v="2021-12-03 10:37:01.733405"/>
  </r>
  <r>
    <x v="305"/>
    <s v="MEDE"/>
    <n v="50570"/>
    <s v="NUTRESA"/>
    <s v="NUTRESA - COMERCIAL NUTRESA SAS"/>
    <d v="2021-12-03T00:00:00"/>
    <s v="COMPLETADO"/>
    <s v="RECEPCIO"/>
    <n v="1"/>
    <s v="DEVOLUC"/>
    <s v="JDOSORIO"/>
    <s v="2021-12-13 15:42:19.225188"/>
    <n v="1"/>
    <n v="7453"/>
    <s v="DEV. MERKEPAISA MANRIQUE FINALIZACION DE EVENTO"/>
    <s v="ME"/>
    <x v="127"/>
    <s v="CRD022273"/>
    <s v="MUEBLE RECOLECTOR PTA GDE RETOMA NUTRESA"/>
    <s v="UND"/>
    <m/>
    <n v="1000000"/>
    <n v="1000000"/>
    <s v="0.000000"/>
    <n v="0"/>
    <n v="0"/>
    <x v="2"/>
    <s v="NUTRESA"/>
    <s v="AVER"/>
    <m/>
    <m/>
    <m/>
    <m/>
    <s v="JDOSORIO"/>
    <s v="2021-12-03 10:47:38.394663"/>
  </r>
  <r>
    <x v="324"/>
    <s v="MEDE"/>
    <n v="50570"/>
    <s v="NUTRESA"/>
    <s v="NUTRESA - COMERCIAL NUTRESA SAS"/>
    <d v="2021-12-03T00:00:00"/>
    <s v="COMPLETADO"/>
    <s v="RECEPCIO"/>
    <n v="1"/>
    <s v="DEVOLUC"/>
    <s v="JDOSORIO"/>
    <s v="2021-12-13 15:42:19.225188"/>
    <n v="1"/>
    <n v="7453"/>
    <s v="DEV. MERKEPAISA MANRIQUE FINALIZACION DE EVENTO"/>
    <s v="ME"/>
    <x v="134"/>
    <s v="CRD019458"/>
    <s v="ARETE POCO CARGUE ZENU"/>
    <s v="UND"/>
    <m/>
    <n v="1000000"/>
    <n v="1000000"/>
    <s v="0.000000"/>
    <n v="0"/>
    <n v="0"/>
    <x v="2"/>
    <s v="NUTRESA"/>
    <s v="BAJA"/>
    <m/>
    <m/>
    <m/>
    <m/>
    <s v="JDOSORIO"/>
    <s v="2021-12-03 10:47:31.606665"/>
  </r>
  <r>
    <x v="325"/>
    <s v="MEDE"/>
    <n v="50570"/>
    <s v="NUTRESA"/>
    <s v="NUTRESA - COMERCIAL NUTRESA SAS"/>
    <d v="2021-12-03T00:00:00"/>
    <s v="COMPLETADO"/>
    <s v="RECEPCIO"/>
    <n v="1"/>
    <s v="DEVOLUC"/>
    <s v="JDOSORIO"/>
    <s v="2021-12-13 15:42:19.225188"/>
    <n v="1"/>
    <n v="7453"/>
    <s v="DEV. MERKEPAISA MANRIQUE FINALIZACION DE EVENTO"/>
    <s v="ME"/>
    <x v="135"/>
    <s v="ACT000017"/>
    <s v="VP TIBURON MULTICATEGORIA PARA SUPERETE"/>
    <s v="UND"/>
    <m/>
    <n v="1000000"/>
    <n v="1000000"/>
    <s v="0.000000"/>
    <n v="119617"/>
    <n v="0"/>
    <x v="2"/>
    <s v="NUTRESA"/>
    <s v="BAJA"/>
    <m/>
    <m/>
    <m/>
    <m/>
    <s v="JDOSORIO"/>
    <s v="2021-12-03 10:47:13.967911"/>
  </r>
  <r>
    <x v="326"/>
    <s v="MEDE"/>
    <n v="50570"/>
    <s v="NUTRESA"/>
    <s v="NUTRESA - COMERCIAL NUTRESA SAS"/>
    <d v="2021-12-03T00:00:00"/>
    <s v="COMPLETADO"/>
    <s v="RECEPCIO"/>
    <n v="1"/>
    <s v="DEVOLUC"/>
    <s v="JDOSORIO"/>
    <s v="2021-12-13 15:42:19.225188"/>
    <n v="1"/>
    <n v="7453"/>
    <s v="DEV. MERKEPAISA MANRIQUE FINALIZACION DE EVENTO"/>
    <s v="ME"/>
    <x v="136"/>
    <s v="ACT000378"/>
    <s v="JET LIGHT AU IDEAL"/>
    <s v="UND"/>
    <m/>
    <n v="1000000"/>
    <n v="1000000"/>
    <s v="0.000000"/>
    <n v="137740"/>
    <n v="0"/>
    <x v="2"/>
    <s v="NUTRESA"/>
    <s v="BAJA"/>
    <m/>
    <m/>
    <m/>
    <m/>
    <s v="JDOSORIO"/>
    <s v="2021-12-03 10:47:26.47556"/>
  </r>
  <r>
    <x v="327"/>
    <s v="MEDE"/>
    <n v="50574"/>
    <s v="NUTRESA"/>
    <s v="NUTRESA - COMERCIAL NUTRESA SAS"/>
    <d v="2021-12-03T00:00:00"/>
    <s v="COMPLETADO"/>
    <s v="RECEPCIO"/>
    <n v="1"/>
    <s v="OTROS"/>
    <s v="JDOSORIO"/>
    <s v="2021-12-14 15:59:30.652292"/>
    <n v="1"/>
    <n v="2358"/>
    <s v="SIN NOVEDAD SE RECIBE MATERIAL DEL PROVEEDOR VILLEGAS PUBLICIDAD CON REMISION 2358"/>
    <s v="M"/>
    <x v="137"/>
    <s v="CRD021334"/>
    <s v="TABLA PARA PICAR PREMIOS TOMAS FDS"/>
    <s v="UND"/>
    <m/>
    <n v="30000000"/>
    <n v="30000000"/>
    <s v="0.000000"/>
    <n v="0"/>
    <n v="0"/>
    <x v="0"/>
    <s v="NUTRESA"/>
    <s v="BUEN"/>
    <m/>
    <m/>
    <m/>
    <m/>
    <s v="JDOSORIO"/>
    <s v="2021-12-03 15:04:29.019548"/>
  </r>
  <r>
    <x v="328"/>
    <s v="MEDE"/>
    <n v="50575"/>
    <s v="NUTRESA"/>
    <s v="NUTRESA - COMERCIAL NUTRESA SAS"/>
    <d v="2021-12-03T00:00:00"/>
    <s v="COMPLETADO"/>
    <s v="RECEPCIO"/>
    <n v="1"/>
    <s v="OTROS"/>
    <s v="JDOSORIO"/>
    <s v="2021-12-14 16:01:32.240756"/>
    <n v="1"/>
    <n v="2852"/>
    <s v="SIN NOVEDAD SE RECIBE MATERIAL DEL PROVEEDOR OPEN MIND CON REMISIOM 2858"/>
    <s v="MP"/>
    <x v="11"/>
    <s v="CRD025017"/>
    <s v="NUEVO FRONTAL CARULLA MATIZ TENTACION"/>
    <s v="UND"/>
    <m/>
    <n v="1000000"/>
    <n v="1000000"/>
    <s v="0.000000"/>
    <n v="0"/>
    <n v="0"/>
    <x v="0"/>
    <s v="NUTRESA"/>
    <s v="BUEN"/>
    <m/>
    <m/>
    <m/>
    <m/>
    <s v="JDOSORIO"/>
    <s v="2021-12-03 16:18:45.428243"/>
  </r>
  <r>
    <x v="329"/>
    <s v="MEDE"/>
    <n v="50584"/>
    <s v="NUTRESA"/>
    <s v="NUTRESA - COMERCIAL NUTRESA SAS"/>
    <d v="2021-12-04T00:00:00"/>
    <s v="COMPLETADO"/>
    <s v="RECEPCIO"/>
    <n v="1"/>
    <s v="DEVOLUC"/>
    <s v="JDOSORIO"/>
    <s v="2021-12-14 16:04:17.926876"/>
    <n v="1"/>
    <n v="7446"/>
    <s v="DEV. MERCADOS LA GRAN SIMONA FINALIZACION DE EVENTO CON NOVEDAD ( EN MAL ESTADO )"/>
    <s v="ME"/>
    <x v="10"/>
    <s v="ACT000436"/>
    <s v="MUEBLE AUTODEGUSTADOR GENERICO"/>
    <s v="UND"/>
    <m/>
    <n v="1000000"/>
    <n v="1000000"/>
    <s v="0.000000"/>
    <n v="122374"/>
    <n v="0"/>
    <x v="2"/>
    <s v="NUTRESA"/>
    <s v="BAJA"/>
    <m/>
    <m/>
    <m/>
    <m/>
    <s v="JDOSORIO"/>
    <s v="2021-12-04 09:12:03.474822"/>
  </r>
  <r>
    <x v="292"/>
    <s v="MEDE"/>
    <n v="50585"/>
    <s v="NUTRESA"/>
    <s v="NUTRESA - COMERCIAL NUTRESA SAS"/>
    <d v="2021-12-04T00:00:00"/>
    <s v="COMPLETADO"/>
    <s v="RECEPCIO"/>
    <n v="1"/>
    <s v="DEVOLUC"/>
    <s v="JDOSORIO"/>
    <s v="2021-12-14 16:04:33.588458"/>
    <n v="1"/>
    <n v="7449"/>
    <s v="DEV. IDEMA S.A.S 3 FINALIZACION DE EVENTO SIN NOVEDAD"/>
    <s v="ME"/>
    <x v="10"/>
    <s v="ACT000436"/>
    <s v="MUEBLE AUTODEGUSTADOR GENERICO"/>
    <s v="UND"/>
    <m/>
    <n v="1000000"/>
    <n v="1000000"/>
    <s v="0.000000"/>
    <n v="122436"/>
    <n v="0"/>
    <x v="2"/>
    <s v="BPO"/>
    <s v="BUEN"/>
    <m/>
    <m/>
    <m/>
    <m/>
    <s v="JDOSORIO"/>
    <s v="2021-12-04 09:57:47.686791"/>
  </r>
  <r>
    <x v="330"/>
    <s v="MEDE"/>
    <n v="50599"/>
    <s v="NUTRESA"/>
    <s v="NUTRESA - COMERCIAL NUTRESA SAS"/>
    <d v="2021-12-07T00:00:00"/>
    <s v="COMPLETADO"/>
    <s v="RECEPCIO"/>
    <n v="1"/>
    <s v="OTROS"/>
    <s v="JDOSORIO"/>
    <s v="2021-12-14 16:21:43.447128"/>
    <n v="1"/>
    <n v="4502221679"/>
    <s v="SIN NOVEDAD SE RECIBE MATERIAL DEL PROVEEDOR MULTI-IDEAS CON OC 4502221679"/>
    <s v="M"/>
    <x v="138"/>
    <s v="CRD021331"/>
    <s v="SET ENSALADERA MAS PINZAS PREMIOS TOMAS FDS"/>
    <s v="UND"/>
    <m/>
    <n v="30000000"/>
    <n v="30000000"/>
    <s v="0.000000"/>
    <n v="0"/>
    <n v="0"/>
    <x v="0"/>
    <s v="NUTRESA"/>
    <s v="BUEN"/>
    <m/>
    <m/>
    <m/>
    <m/>
    <s v="JDOSORIO"/>
    <s v="2021-12-07 10:18:33.747807"/>
  </r>
  <r>
    <x v="331"/>
    <s v="MEDE"/>
    <n v="50616"/>
    <s v="NUTRESA"/>
    <s v="NUTRESA - COMERCIAL NUTRESA SAS"/>
    <d v="2021-12-07T00:00:00"/>
    <s v="COMPLETADO"/>
    <s v="RECEPCIO"/>
    <n v="1"/>
    <s v="DEVOLUC"/>
    <s v="JDOSORIO"/>
    <s v="2021-12-14 16:23:00.154985"/>
    <n v="1"/>
    <n v="7470"/>
    <s v="DEV. MINIMERCADOS DE LA ABUELA S.A.S FINALIZACION DE EVENTO CON NOVEDAD ( MUEBLES EN MAL ESTADO Y INCOMPLETOS )"/>
    <s v="ME"/>
    <x v="139"/>
    <s v="ACT000279"/>
    <s v="SNACKERO AU MINIMERCADOS"/>
    <s v="UND"/>
    <m/>
    <n v="1000000"/>
    <n v="1000000"/>
    <s v="0.000000"/>
    <n v="123124"/>
    <n v="0"/>
    <x v="2"/>
    <s v="NUTRESA"/>
    <s v="AVER"/>
    <m/>
    <m/>
    <m/>
    <m/>
    <s v="JDOSORIO"/>
    <s v="2021-12-07 15:00:44.291218"/>
  </r>
  <r>
    <x v="332"/>
    <s v="MEDE"/>
    <n v="50616"/>
    <s v="NUTRESA"/>
    <s v="NUTRESA - COMERCIAL NUTRESA SAS"/>
    <d v="2021-12-07T00:00:00"/>
    <s v="COMPLETADO"/>
    <s v="RECEPCIO"/>
    <n v="1"/>
    <s v="DEVOLUC"/>
    <s v="JDOSORIO"/>
    <s v="2021-12-14 16:23:00.154985"/>
    <n v="1"/>
    <n v="7470"/>
    <s v="DEV. MINIMERCADOS DE LA ABUELA S.A.S FINALIZACION DE EVENTO CON NOVEDAD ( MUEBLES EN MAL ESTADO Y INCOMPLETOS )"/>
    <s v="ME"/>
    <x v="140"/>
    <s v="ACT000430"/>
    <s v="EXHIBIDOR TORRE LA ESPECIAL TRADE"/>
    <s v="UND"/>
    <m/>
    <n v="1000000"/>
    <n v="1000000"/>
    <s v="0.000000"/>
    <n v="138635"/>
    <n v="0"/>
    <x v="2"/>
    <s v="NUTRESA"/>
    <s v="AVER"/>
    <m/>
    <m/>
    <m/>
    <m/>
    <s v="JDOSORIO"/>
    <s v="2021-12-07 15:01:33.15027"/>
  </r>
  <r>
    <x v="333"/>
    <s v="MEDE"/>
    <n v="50616"/>
    <s v="NUTRESA"/>
    <s v="NUTRESA - COMERCIAL NUTRESA SAS"/>
    <d v="2021-12-07T00:00:00"/>
    <s v="COMPLETADO"/>
    <s v="RECEPCIO"/>
    <n v="1"/>
    <s v="DEVOLUC"/>
    <s v="JDOSORIO"/>
    <s v="2021-12-14 16:23:00.154985"/>
    <n v="1"/>
    <n v="7470"/>
    <s v="DEV. MINIMERCADOS DE LA ABUELA S.A.S FINALIZACION DE EVENTO CON NOVEDAD ( MUEBLES EN MAL ESTADO Y INCOMPLETOS )"/>
    <s v="ME"/>
    <x v="141"/>
    <s v="ACT000423"/>
    <s v="MUEBLE SNACKERO TIPO MINI CON CARGUE DE NUECES"/>
    <s v="UND"/>
    <m/>
    <n v="1000000"/>
    <n v="1000000"/>
    <s v="0.000000"/>
    <n v="146728"/>
    <n v="0"/>
    <x v="2"/>
    <s v="NUTRESA"/>
    <s v="AVER"/>
    <m/>
    <m/>
    <m/>
    <m/>
    <s v="JDOSORIO"/>
    <s v="2021-12-07 15:01:15.204194"/>
  </r>
  <r>
    <x v="334"/>
    <s v="MEDE"/>
    <n v="50619"/>
    <s v="NUTRESA"/>
    <s v="NUTRESA - COMERCIAL NUTRESA SAS"/>
    <d v="2021-12-07T00:00:00"/>
    <s v="COMPLETADO"/>
    <s v="RECEPCIO"/>
    <n v="1"/>
    <s v="DEVOLUC"/>
    <s v="JDOSORIO"/>
    <s v="2021-12-14 16:24:05.232269"/>
    <n v="1"/>
    <n v="7469"/>
    <s v="DEV. EXITO COLOMBIA FINALIZACION DE EVENTO SIN NOVEDAD"/>
    <s v="MP"/>
    <x v="23"/>
    <s v="CRD024847"/>
    <s v="BOLSAS DE SILICONA KIBO X3"/>
    <s v="UND"/>
    <m/>
    <n v="10000000"/>
    <n v="10000000"/>
    <s v="0.000000"/>
    <n v="0"/>
    <n v="0"/>
    <x v="0"/>
    <s v="BPO"/>
    <s v="BUEN"/>
    <m/>
    <m/>
    <m/>
    <m/>
    <s v="JDOSORIO"/>
    <s v="2021-12-07 15:21:49.571613"/>
  </r>
  <r>
    <x v="335"/>
    <s v="MEDE"/>
    <n v="50623"/>
    <s v="NUTRESA"/>
    <s v="NUTRESA - COMERCIAL NUTRESA SAS"/>
    <d v="2021-12-07T00:00:00"/>
    <s v="COMPLETADO"/>
    <s v="RECEPCIO"/>
    <n v="1"/>
    <s v="DEVOLUC"/>
    <s v="JDOSORIO"/>
    <s v="2021-12-14 15:58:50.31466"/>
    <n v="1"/>
    <n v="7130"/>
    <s v="SE RECIBE MATERIAL DE NUTRESA MEDELLIN RECOGIDA 7430 SIN NOVEDAD"/>
    <s v="P"/>
    <x v="142"/>
    <s v="CRD024443"/>
    <s v="LA ESPECIAL KRAKS LIMON X 32G"/>
    <s v="UND"/>
    <m/>
    <n v="2976000000"/>
    <n v="2976000000"/>
    <s v="0.000000"/>
    <n v="0"/>
    <s v="MED10232022"/>
    <x v="2"/>
    <s v="BPO"/>
    <s v="BUEN"/>
    <d v="2022-10-23T00:00:00"/>
    <m/>
    <d v="2022-10-23T00:00:00"/>
    <m/>
    <s v="JDOSORIO"/>
    <s v="2021-12-07 16:20:03.346435"/>
  </r>
  <r>
    <x v="336"/>
    <s v="MEDE"/>
    <n v="50625"/>
    <s v="NUTRESA"/>
    <s v="NUTRESA - COMERCIAL NUTRESA SAS"/>
    <d v="2021-12-07T00:00:00"/>
    <s v="COMPLETADO"/>
    <s v="RECEPCIO"/>
    <n v="1"/>
    <s v="OTROS"/>
    <s v="JDOSORIO"/>
    <s v="2021-12-14 16:23:43.701032"/>
    <n v="1"/>
    <s v="CRV-32281"/>
    <s v="SIN NOVEDAD SE RECIBE MATERIAL DEL PROVEEDOR MARQUILLAS CON REMISION CRV-32281"/>
    <s v="MP"/>
    <x v="16"/>
    <s v="CRD025004"/>
    <s v="AYUDAVENTAS TACO DIA MIEL"/>
    <s v="UND"/>
    <m/>
    <n v="141000000"/>
    <n v="141000000"/>
    <s v="0.000000"/>
    <n v="0"/>
    <n v="0"/>
    <x v="1"/>
    <s v="NUTRESA"/>
    <s v="BUEN"/>
    <m/>
    <m/>
    <m/>
    <m/>
    <s v="JDOSORIO"/>
    <s v="2021-12-07 16:31:18.404552"/>
  </r>
  <r>
    <x v="337"/>
    <s v="MEDE"/>
    <n v="50654"/>
    <s v="NUTRESA"/>
    <s v="NUTRESA - COMERCIAL NUTRESA SAS"/>
    <d v="2021-12-10T00:00:00"/>
    <s v="COMPLETADO"/>
    <s v="RECEPCIO"/>
    <n v="1"/>
    <s v="OTROS"/>
    <s v="JDOSORIO"/>
    <s v="2021-12-14 16:22:43.326516"/>
    <n v="1"/>
    <n v="7471"/>
    <s v="DEV. NUTRESA MEDELLIN RECOGIDA 7471 SIN NOVEDAD"/>
    <s v="P"/>
    <x v="48"/>
    <s v="CRD024981"/>
    <s v="PLEGADIZA WAFER SURTIDA SIN AZUCAR"/>
    <s v="UND"/>
    <m/>
    <n v="377000000"/>
    <n v="377000000"/>
    <s v="0.000000"/>
    <n v="0"/>
    <s v="MED08062022"/>
    <x v="2"/>
    <s v="NUTRESA"/>
    <s v="BUEN"/>
    <d v="2022-08-06T00:00:00"/>
    <m/>
    <d v="2022-08-06T00:00:00"/>
    <m/>
    <s v="JDOSORIO"/>
    <s v="2021-12-10 12:51:46.742439"/>
  </r>
  <r>
    <x v="338"/>
    <s v="MEDE"/>
    <n v="50654"/>
    <s v="NUTRESA"/>
    <s v="NUTRESA - COMERCIAL NUTRESA SAS"/>
    <d v="2021-12-10T00:00:00"/>
    <s v="COMPLETADO"/>
    <s v="RECEPCIO"/>
    <n v="1"/>
    <s v="OTROS"/>
    <s v="JDOSORIO"/>
    <s v="2021-12-14 16:22:43.326516"/>
    <n v="1"/>
    <n v="7471"/>
    <s v="DEV. NUTRESA MEDELLIN RECOGIDA 7471 SIN NOVEDAD"/>
    <s v="P"/>
    <x v="143"/>
    <s v="CRD024980"/>
    <s v="SURTIDO LONCHERA TOSH"/>
    <s v="UND"/>
    <m/>
    <n v="377000000"/>
    <n v="377000000"/>
    <s v="0.000000"/>
    <n v="0"/>
    <s v="MED03282022"/>
    <x v="2"/>
    <s v="NUTRESA"/>
    <s v="BUEN"/>
    <d v="2022-03-28T00:00:00"/>
    <m/>
    <d v="2022-03-28T00:00:00"/>
    <m/>
    <s v="JDOSORIO"/>
    <s v="2021-12-10 12:49:22.519067"/>
  </r>
  <r>
    <x v="292"/>
    <s v="MEDE"/>
    <n v="50655"/>
    <s v="NUTRESA"/>
    <s v="NUTRESA - COMERCIAL NUTRESA SAS"/>
    <d v="2021-12-10T00:00:00"/>
    <s v="COMPLETADO"/>
    <s v="RECEPCIO"/>
    <n v="1"/>
    <s v="DEVOLUC"/>
    <s v="JDOSORIO"/>
    <s v="2021-12-14 16:22:08.029596"/>
    <n v="1"/>
    <n v="7451"/>
    <s v="DEV. CARIBE S.A MARINILLA FINALIZACION DE EVENTO SIN NOVEDAD"/>
    <s v="ME"/>
    <x v="10"/>
    <s v="ACT000436"/>
    <s v="MUEBLE AUTODEGUSTADOR GENERICO"/>
    <s v="UND"/>
    <m/>
    <n v="1000000"/>
    <n v="1000000"/>
    <s v="0.000000"/>
    <n v="122376"/>
    <n v="0"/>
    <x v="2"/>
    <s v="BPO"/>
    <s v="AVER"/>
    <m/>
    <m/>
    <m/>
    <m/>
    <s v="JDOSORIO"/>
    <s v="2021-12-10 12:56:39.485783"/>
  </r>
  <r>
    <x v="339"/>
    <s v="MEDE"/>
    <n v="50656"/>
    <s v="NUTRESA"/>
    <s v="NUTRESA - COMERCIAL NUTRESA SAS"/>
    <d v="2021-12-10T00:00:00"/>
    <s v="COMPLETADO"/>
    <s v="RECEPCIO"/>
    <n v="1"/>
    <s v="DEVOLUC"/>
    <s v="JDOSORIO"/>
    <s v="2021-12-14 16:22:33.918212"/>
    <n v="1"/>
    <n v="7468"/>
    <s v="DEV. SUPERMERCADO LA VAQUITA RIONEGRO FINALIZACION DE EVENTO SIN NOVEDAD"/>
    <s v="M"/>
    <x v="144"/>
    <s v="CRD020854"/>
    <s v="SHAKER COLCAFE COLD TWIST"/>
    <s v="UND"/>
    <m/>
    <n v="30000000"/>
    <n v="30000000"/>
    <s v="0.000000"/>
    <n v="0"/>
    <n v="0"/>
    <x v="2"/>
    <s v="BPO"/>
    <s v="BUEN"/>
    <m/>
    <m/>
    <m/>
    <m/>
    <s v="JDOSORIO"/>
    <s v="2021-12-10 14:32:52.445624"/>
  </r>
  <r>
    <x v="340"/>
    <s v="MEDE"/>
    <n v="50682"/>
    <s v="NUTRESA"/>
    <s v="NUTRESA - COMERCIAL NUTRESA SAS"/>
    <d v="2021-12-11T00:00:00"/>
    <s v="COMPLETADO"/>
    <s v="RECEPCIO"/>
    <n v="1"/>
    <s v="DEVOLUC"/>
    <s v="JDOSORIO"/>
    <s v="2021-12-14 15:50:41.628615"/>
    <n v="1"/>
    <n v="7482"/>
    <s v="DEV. EXITO DEL ESTE FINALIZACION DE EVENTO SIN NOVEDAD"/>
    <s v="MP"/>
    <x v="27"/>
    <s v="CRD020181"/>
    <s v="KIT IMAGEN MUEBLE SINERGIA KIBO"/>
    <s v="UND"/>
    <m/>
    <n v="1000000"/>
    <n v="1000000"/>
    <s v="0.000000"/>
    <n v="0"/>
    <n v="0"/>
    <x v="0"/>
    <s v="BPO"/>
    <s v="BUEN"/>
    <m/>
    <m/>
    <m/>
    <m/>
    <s v="JDOSORIO"/>
    <s v="2021-12-11 08:35:38.848574"/>
  </r>
  <r>
    <x v="341"/>
    <s v="MEDE"/>
    <n v="50682"/>
    <s v="NUTRESA"/>
    <s v="NUTRESA - COMERCIAL NUTRESA SAS"/>
    <d v="2021-12-11T00:00:00"/>
    <s v="COMPLETADO"/>
    <s v="RECEPCIO"/>
    <n v="1"/>
    <s v="DEVOLUC"/>
    <s v="JDOSORIO"/>
    <s v="2021-12-14 15:50:41.628615"/>
    <n v="1"/>
    <n v="7482"/>
    <s v="DEV. EXITO DEL ESTE FINALIZACION DE EVENTO SIN NOVEDAD"/>
    <s v="MD"/>
    <x v="145"/>
    <s v="CRD008623"/>
    <s v="MUEBLE DEGUSTACION SINERGIA NUTRESA"/>
    <s v="UND"/>
    <m/>
    <n v="1000000"/>
    <n v="1000000"/>
    <s v="0.000000"/>
    <n v="0"/>
    <n v="0"/>
    <x v="0"/>
    <s v="BPO"/>
    <s v="BUEN"/>
    <m/>
    <m/>
    <m/>
    <m/>
    <s v="JDOSORIO"/>
    <s v="2021-12-11 08:35:35.24939"/>
  </r>
  <r>
    <x v="342"/>
    <s v="MEDE"/>
    <n v="50689"/>
    <s v="NUTRESA"/>
    <s v="NUTRESA - COMERCIAL NUTRESA SAS"/>
    <d v="2021-12-13T00:00:00"/>
    <s v="COMPLETADO"/>
    <s v="RECEPCIO"/>
    <n v="1"/>
    <s v="OTROS"/>
    <s v="JDOSORIO"/>
    <s v="2021-12-16 16:31:14.694646"/>
    <n v="1"/>
    <n v="7484"/>
    <s v="DEV. MEDINA GELVEZ DISTRIBUCIONES S.A.S FINALIZACION DE EVENTO DIFERENCIA DE CANTIDADES CON NOVEDAD ( VITRINAS EN MAL ESTADO Y SIN UNAS RUEDAS )"/>
    <s v="ME"/>
    <x v="121"/>
    <s v="ACT000071"/>
    <s v="VP VITRINA MOSTRADOR FESTIVAL/JET"/>
    <s v="UND"/>
    <m/>
    <n v="1000000"/>
    <n v="1000000"/>
    <s v="0.000000"/>
    <n v="183733"/>
    <n v="0"/>
    <x v="2"/>
    <s v="NUTRESA"/>
    <s v="BAJA"/>
    <m/>
    <m/>
    <m/>
    <m/>
    <s v="JDOSORIO"/>
    <s v="2021-12-14 15:14:35.830836"/>
  </r>
  <r>
    <x v="342"/>
    <s v="MEDE"/>
    <n v="50689"/>
    <s v="NUTRESA"/>
    <s v="NUTRESA - COMERCIAL NUTRESA SAS"/>
    <d v="2021-12-13T00:00:00"/>
    <s v="COMPLETADO"/>
    <s v="RECEPCIO"/>
    <n v="1"/>
    <s v="OTROS"/>
    <s v="JDOSORIO"/>
    <s v="2021-12-16 16:31:14.694646"/>
    <n v="1"/>
    <n v="7484"/>
    <s v="DEV. MEDINA GELVEZ DISTRIBUCIONES S.A.S FINALIZACION DE EVENTO DIFERENCIA DE CANTIDADES CON NOVEDAD ( VITRINAS EN MAL ESTADO Y SIN UNAS RUEDAS )"/>
    <s v="ME"/>
    <x v="121"/>
    <s v="ACT000071"/>
    <s v="VP VITRINA MOSTRADOR FESTIVAL/JET"/>
    <s v="UND"/>
    <m/>
    <n v="1000000"/>
    <n v="1000000"/>
    <s v="0.000000"/>
    <n v="183732"/>
    <n v="0"/>
    <x v="2"/>
    <s v="NUTRESA"/>
    <s v="BAJA"/>
    <m/>
    <m/>
    <m/>
    <m/>
    <s v="JDOSORIO"/>
    <s v="2021-12-14 15:14:28.093805"/>
  </r>
  <r>
    <x v="343"/>
    <s v="MEDE"/>
    <n v="50690"/>
    <s v="NUTRESA"/>
    <s v="NUTRESA - COMERCIAL NUTRESA SAS"/>
    <d v="2021-12-13T00:00:00"/>
    <s v="COMPLETADO"/>
    <s v="RECEPCIO"/>
    <n v="1"/>
    <s v="DEVOLUC"/>
    <s v="JDOSORIO"/>
    <s v="2021-12-16 16:33:16.749309"/>
    <n v="1"/>
    <n v="7481"/>
    <s v="DEV. SUPERMERCADO DINASTIA LA ABUNDANCIA FINALIZACION DE EVENTO CON NOVEDAD MUEBLE EN MAL ESTADO )"/>
    <s v="ME"/>
    <x v="146"/>
    <s v="ACT000091"/>
    <s v="MUEBLE JET EXPANDIBLE SUPERETES"/>
    <s v="UND"/>
    <m/>
    <n v="1000000"/>
    <n v="1000000"/>
    <s v="0.000000"/>
    <n v="87720"/>
    <n v="0"/>
    <x v="2"/>
    <s v="NUTRESA"/>
    <s v="BAJA"/>
    <m/>
    <m/>
    <m/>
    <m/>
    <s v="JDOSORIO"/>
    <s v="2021-12-13 14:25:43.250654"/>
  </r>
  <r>
    <x v="344"/>
    <s v="MEDE"/>
    <n v="50701"/>
    <s v="NUTRESA"/>
    <s v="NUTRESA - COMERCIAL NUTRESA SAS"/>
    <d v="2021-12-14T00:00:00"/>
    <s v="COMPLETADO"/>
    <s v="RECEPCIO"/>
    <n v="1"/>
    <s v="OTROS"/>
    <s v="JDOSORIO"/>
    <s v="2021-12-16 16:28:51.335105"/>
    <n v="1"/>
    <n v="4502230221"/>
    <s v="SIN NOVEDAD SE RECIBE MATERIAL DEL PROVEEDOR LANDERS Y CIA S.A CON OC 4502230221"/>
    <s v="M"/>
    <x v="60"/>
    <s v="CRD018765"/>
    <s v="SET SARTEN 18 Y 20 CMS UNIVERSAL"/>
    <s v="UND"/>
    <s v="CRD018765"/>
    <n v="100000000"/>
    <n v="100000000"/>
    <s v="0.000000"/>
    <n v="0"/>
    <n v="0"/>
    <x v="0"/>
    <s v="BPO"/>
    <s v="BUEN"/>
    <m/>
    <m/>
    <m/>
    <m/>
    <s v="JDOSORIO"/>
    <s v="2021-12-14 07:50:07.918425"/>
  </r>
  <r>
    <x v="345"/>
    <s v="MEDE"/>
    <n v="50726"/>
    <s v="NUTRESA"/>
    <s v="NUTRESA - COMERCIAL NUTRESA SAS"/>
    <d v="2021-12-15T00:00:00"/>
    <s v="COMPLETADO"/>
    <s v="RECEPCIO"/>
    <n v="1"/>
    <s v="OTROS"/>
    <s v="JDOSORIO"/>
    <s v="2021-12-21 16:34:00.250226"/>
    <n v="1"/>
    <s v="CRV-32504"/>
    <s v="SIN NOVEDAD SE RECIBE MATERIAL DEL PROVEEDOR MARQUILLAS CON REMISION CRV-32504"/>
    <s v="MP"/>
    <x v="26"/>
    <s v="CRD025006"/>
    <s v="AYUDAVENTAS BUBRUJAS CC"/>
    <s v="UND"/>
    <m/>
    <n v="141000000"/>
    <n v="141000000"/>
    <s v="0.000000"/>
    <n v="0"/>
    <n v="0"/>
    <x v="1"/>
    <s v="NUTRESA"/>
    <s v="BUEN"/>
    <m/>
    <m/>
    <m/>
    <m/>
    <s v="JDOSORIO"/>
    <s v="2021-12-15 16:01:19.254746"/>
  </r>
  <r>
    <x v="346"/>
    <s v="MEDE"/>
    <n v="50733"/>
    <s v="NUTRESA"/>
    <s v="NUTRESA - COMERCIAL NUTRESA SAS"/>
    <d v="2021-12-16T00:00:00"/>
    <s v="COMPLETADO"/>
    <s v="RECEPCIO"/>
    <n v="1"/>
    <s v="DEVOLUC"/>
    <s v="JDOSORIO"/>
    <s v="2021-12-21 16:38:11.28479"/>
    <n v="1"/>
    <n v="7486"/>
    <s v="DEV. VAQUITA EL POBLODO FINALIZACION DE EVENTO SIN NOVEDAD"/>
    <s v="ME"/>
    <x v="147"/>
    <s v="CRD023981"/>
    <s v="MUEBLE RECOLECTOR DE BOTELLAS RETOMA NUTRESA"/>
    <s v="UND"/>
    <m/>
    <n v="1000000"/>
    <n v="1000000"/>
    <s v="0.000000"/>
    <n v="0"/>
    <n v="0"/>
    <x v="2"/>
    <s v="NUTRESA"/>
    <s v="BUEN"/>
    <m/>
    <m/>
    <m/>
    <m/>
    <s v="JDOSORIO"/>
    <s v="2021-12-16 12:16:32.84781"/>
  </r>
  <r>
    <x v="347"/>
    <s v="MEDE"/>
    <n v="50758"/>
    <s v="NUTRESA"/>
    <s v="NUTRESA - COMERCIAL NUTRESA SAS"/>
    <d v="2021-12-17T00:00:00"/>
    <s v="COMPLETADO"/>
    <s v="RECEPCIO"/>
    <n v="1"/>
    <s v="OTROS"/>
    <s v="JDOSORIO"/>
    <s v="2021-12-21 16:45:27.741605"/>
    <n v="1"/>
    <n v="1663"/>
    <s v="SIN NOVEDAD SE RECIBE MATERIAL DEL PROVEEDOR PAPEL CARD CON REMISION 1663"/>
    <s v="MP"/>
    <x v="37"/>
    <s v="CRD025021"/>
    <s v="CHISPA COLCAFE 3 EN 1 MAS CREMOSO"/>
    <s v="UND"/>
    <m/>
    <n v="80000000"/>
    <n v="80000000"/>
    <s v="0.000000"/>
    <n v="0"/>
    <n v="0"/>
    <x v="2"/>
    <s v="NUTRESA"/>
    <s v="BUEN"/>
    <m/>
    <m/>
    <m/>
    <m/>
    <s v="JDOSORIO"/>
    <s v="2021-12-17 15:59:05.652933"/>
  </r>
  <r>
    <x v="348"/>
    <s v="MEDE"/>
    <n v="50762"/>
    <s v="NUTRESA"/>
    <s v="NUTRESA - COMERCIAL NUTRESA SAS"/>
    <d v="2021-12-17T00:00:00"/>
    <s v="COMPLETADO"/>
    <s v="RECEPCIO"/>
    <n v="1"/>
    <s v="OTROS"/>
    <s v="JDOSORIO"/>
    <s v="2021-12-21 16:41:23.324276"/>
    <n v="1"/>
    <n v="23796"/>
    <s v="SIN NOVEDAD SE RECIBE MATERIAL DEL PROVEEDOR IMPRESOS CON REMISION 23796"/>
    <s v="MP"/>
    <x v="21"/>
    <s v="CRD025010"/>
    <s v="AFICHE CAPPUCCINOS MAS BENEFICIOS"/>
    <s v="UND"/>
    <m/>
    <n v="1500000000"/>
    <n v="1500000000"/>
    <s v="0.000000"/>
    <n v="0"/>
    <n v="0"/>
    <x v="1"/>
    <s v="NUTRESA"/>
    <s v="BUEN"/>
    <m/>
    <m/>
    <m/>
    <m/>
    <s v="JDOSORIO"/>
    <s v="2021-12-17 16:49:28.877215"/>
  </r>
  <r>
    <x v="349"/>
    <s v="MEDE"/>
    <n v="50762"/>
    <s v="NUTRESA"/>
    <s v="NUTRESA - COMERCIAL NUTRESA SAS"/>
    <d v="2021-12-17T00:00:00"/>
    <s v="COMPLETADO"/>
    <s v="RECEPCIO"/>
    <n v="1"/>
    <s v="OTROS"/>
    <s v="JDOSORIO"/>
    <s v="2021-12-21 16:41:23.324276"/>
    <n v="1"/>
    <n v="23796"/>
    <s v="SIN NOVEDAD SE RECIBE MATERIAL DEL PROVEEDOR IMPRESOS CON REMISION 23796"/>
    <s v="MP"/>
    <x v="19"/>
    <s v="CRD025008"/>
    <s v="MOVIL CAPPUCCINOS MAS BENEFICIOS"/>
    <s v="UND"/>
    <m/>
    <n v="2700000000"/>
    <n v="2700000000"/>
    <s v="0.000000"/>
    <n v="0"/>
    <n v="0"/>
    <x v="1"/>
    <s v="NUTRESA"/>
    <s v="BUEN"/>
    <m/>
    <m/>
    <m/>
    <m/>
    <s v="JDOSORIO"/>
    <s v="2021-12-17 16:49:18.549738"/>
  </r>
  <r>
    <x v="350"/>
    <s v="MEDE"/>
    <n v="50762"/>
    <s v="NUTRESA"/>
    <s v="NUTRESA - COMERCIAL NUTRESA SAS"/>
    <d v="2021-12-17T00:00:00"/>
    <s v="COMPLETADO"/>
    <s v="RECEPCIO"/>
    <n v="1"/>
    <s v="OTROS"/>
    <s v="JDOSORIO"/>
    <s v="2021-12-21 16:41:23.324276"/>
    <n v="1"/>
    <n v="23796"/>
    <s v="SIN NOVEDAD SE RECIBE MATERIAL DEL PROVEEDOR IMPRESOS CON REMISION 23796"/>
    <s v="MP"/>
    <x v="20"/>
    <s v="CRD025009"/>
    <s v="CHISPA CAPPUCCINOS MAS BENEFICIOS"/>
    <s v="UND"/>
    <m/>
    <n v="1500000000"/>
    <n v="1500000000"/>
    <s v="0.000000"/>
    <n v="0"/>
    <n v="0"/>
    <x v="1"/>
    <s v="NUTRESA"/>
    <s v="BUEN"/>
    <m/>
    <m/>
    <m/>
    <m/>
    <s v="JDOSORIO"/>
    <s v="2021-12-17 16:49:24.475342"/>
  </r>
  <r>
    <x v="351"/>
    <s v="MEDE"/>
    <n v="50763"/>
    <s v="NUTRESA"/>
    <s v="NUTRESA - COMERCIAL NUTRESA SAS"/>
    <d v="2021-12-17T00:00:00"/>
    <s v="COMPLETADO"/>
    <s v="RECEPCIO"/>
    <n v="1"/>
    <s v="OTROS"/>
    <s v="JDOSORIO"/>
    <s v="2021-12-21 16:41:10.050432"/>
    <n v="1"/>
    <n v="23788"/>
    <s v="SIN NOVEDAD SE RECIBE MATERIAL DEL PROVEEDOR IMPRESOS CON REMISION 23788"/>
    <s v="MP"/>
    <x v="18"/>
    <s v="CRD025002"/>
    <s v="CHISPA DOYPACK 3 EN1"/>
    <s v="UND"/>
    <m/>
    <n v="60000000"/>
    <n v="60000000"/>
    <s v="0.000000"/>
    <n v="0"/>
    <n v="0"/>
    <x v="2"/>
    <s v="NUTRESA"/>
    <s v="BUEN"/>
    <m/>
    <m/>
    <m/>
    <m/>
    <s v="JDOSORIO"/>
    <s v="2021-12-17 16:51:55.699841"/>
  </r>
  <r>
    <x v="352"/>
    <s v="MEDE"/>
    <n v="50763"/>
    <s v="NUTRESA"/>
    <s v="NUTRESA - COMERCIAL NUTRESA SAS"/>
    <d v="2021-12-17T00:00:00"/>
    <s v="COMPLETADO"/>
    <s v="RECEPCIO"/>
    <n v="1"/>
    <s v="OTROS"/>
    <s v="JDOSORIO"/>
    <s v="2021-12-21 16:41:10.050432"/>
    <n v="1"/>
    <n v="23788"/>
    <s v="SIN NOVEDAD SE RECIBE MATERIAL DEL PROVEEDOR IMPRESOS CON REMISION 23788"/>
    <s v="MP"/>
    <x v="17"/>
    <s v="CRD025001"/>
    <s v="CHISPA DOYPACK CAPPUCCINO"/>
    <s v="UND"/>
    <m/>
    <n v="80000000"/>
    <n v="80000000"/>
    <s v="0.000000"/>
    <n v="0"/>
    <n v="0"/>
    <x v="2"/>
    <s v="NUTRESA"/>
    <s v="BUEN"/>
    <m/>
    <m/>
    <m/>
    <m/>
    <s v="JDOSORIO"/>
    <s v="2021-12-17 16:51:50.476732"/>
  </r>
  <r>
    <x v="353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80"/>
    <s v="CRD021350"/>
    <s v="PLEGADIZA CAPSULA EXPRESS COLCAFE CHAI LATTE 13G X 10 U"/>
    <s v="UND"/>
    <m/>
    <n v="1000000"/>
    <n v="1000000"/>
    <s v="0.000000"/>
    <n v="0"/>
    <s v="MED08092022"/>
    <x v="0"/>
    <s v="BPO"/>
    <s v="BUEN"/>
    <d v="2022-09-08T00:00:00"/>
    <m/>
    <d v="2022-09-08T00:00:00"/>
    <m/>
    <s v="OALVARADO"/>
    <s v="2021-12-18 08:59:48.363713"/>
  </r>
  <r>
    <x v="353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80"/>
    <s v="CRD021350"/>
    <s v="PLEGADIZA CAPSULA EXPRESS COLCAFE CHAI LATTE 13G X 10 U"/>
    <s v="UND"/>
    <m/>
    <n v="37000000"/>
    <n v="37000000"/>
    <s v="0.000000"/>
    <n v="0"/>
    <s v="MED08092022"/>
    <x v="0"/>
    <s v="BPO"/>
    <s v="BUEN"/>
    <d v="2022-09-08T00:00:00"/>
    <m/>
    <d v="2022-09-08T00:00:00"/>
    <m/>
    <s v="OALVARADO"/>
    <s v="2021-12-18 08:59:48.363713"/>
  </r>
  <r>
    <x v="311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78"/>
    <s v="CRD014120"/>
    <s v="PLEGADIZA CORONA EXPRESS CPE"/>
    <s v="UND"/>
    <m/>
    <n v="30000000"/>
    <n v="30000000"/>
    <s v="0.000000"/>
    <n v="0"/>
    <s v="MED09012022"/>
    <x v="0"/>
    <s v="BPO"/>
    <s v="BUEN"/>
    <d v="2022-09-01T00:00:00"/>
    <m/>
    <d v="2022-09-01T00:00:00"/>
    <m/>
    <s v="OALVARADO"/>
    <s v="2021-12-18 08:58:25.150504"/>
  </r>
  <r>
    <x v="354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47"/>
    <s v="CRD014117"/>
    <s v="PLEGADIZA SELLO ROJO CPE"/>
    <s v="UND"/>
    <m/>
    <n v="2000000"/>
    <n v="2000000"/>
    <s v="0.000000"/>
    <n v="0"/>
    <s v="MED05222022"/>
    <x v="0"/>
    <s v="BPO"/>
    <s v="BUEN"/>
    <d v="2022-08-22T00:00:00"/>
    <m/>
    <d v="2022-08-22T00:00:00"/>
    <m/>
    <s v="OALVARADO"/>
    <s v="2021-12-18 08:56:38.858269"/>
  </r>
  <r>
    <x v="309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77"/>
    <s v="CRD014118"/>
    <s v="PLEGADIZA MATIZ ESCARLATA CPE"/>
    <s v="UND"/>
    <m/>
    <n v="32000000"/>
    <n v="32000000"/>
    <s v="0.000000"/>
    <n v="0"/>
    <s v="MED05222022"/>
    <x v="0"/>
    <s v="BPO"/>
    <s v="BUEN"/>
    <d v="2022-05-22T00:00:00"/>
    <m/>
    <d v="2022-05-22T00:00:00"/>
    <m/>
    <s v="OALVARADO"/>
    <s v="2021-12-18 08:57:11.572134"/>
  </r>
  <r>
    <x v="310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IE"/>
    <x v="79"/>
    <s v="CRD019868"/>
    <s v="MAQUINA EVA CAPSULAS EXPRESS NUTRESA"/>
    <s v="UND"/>
    <m/>
    <n v="1000000"/>
    <n v="1000000"/>
    <s v="0.000000"/>
    <n v="0"/>
    <n v="0"/>
    <x v="0"/>
    <s v="BPO"/>
    <s v="BUEN"/>
    <m/>
    <m/>
    <m/>
    <m/>
    <s v="OALVARADO"/>
    <s v="2021-12-18 08:59:19.648457"/>
  </r>
  <r>
    <x v="311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78"/>
    <s v="CRD014120"/>
    <s v="PLEGADIZA CORONA EXPRESS CPE"/>
    <s v="UND"/>
    <m/>
    <n v="1000000"/>
    <n v="1000000"/>
    <s v="0.000000"/>
    <n v="0"/>
    <s v="MED09012022"/>
    <x v="0"/>
    <s v="BPO"/>
    <s v="BUEN"/>
    <d v="2022-09-01T00:00:00"/>
    <m/>
    <d v="2022-09-01T00:00:00"/>
    <m/>
    <s v="OALVARADO"/>
    <s v="2021-12-18 08:58:25.150504"/>
  </r>
  <r>
    <x v="355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45"/>
    <s v="CRD022670"/>
    <s v="PLEGADIZA CAPSULA EXPRESS CHOCOLISTO 13.5G X 10 UDS"/>
    <s v="UND"/>
    <m/>
    <n v="29000000"/>
    <n v="29000000"/>
    <s v="0.000000"/>
    <n v="0"/>
    <s v="MED06022022"/>
    <x v="0"/>
    <s v="BPO"/>
    <s v="BUEN"/>
    <d v="2022-06-02T00:00:00"/>
    <m/>
    <d v="2022-06-02T00:00:00"/>
    <m/>
    <s v="OALVARADO"/>
    <s v="2021-12-18 09:01:12.922933"/>
  </r>
  <r>
    <x v="356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81"/>
    <s v="CRD021973"/>
    <s v="PLEGADIZA CAPSULA EXPRESS SELLO ROJO VAINILLA X 6 GR X 10 UND"/>
    <s v="UND"/>
    <m/>
    <n v="1000000"/>
    <n v="1000000"/>
    <s v="0.000000"/>
    <n v="0"/>
    <s v="MED05132022"/>
    <x v="0"/>
    <s v="BPO"/>
    <s v="BUEN"/>
    <d v="2022-05-13T00:00:00"/>
    <m/>
    <d v="2022-05-13T00:00:00"/>
    <m/>
    <s v="OALVARADO"/>
    <s v="2021-12-18 09:00:29.692912"/>
  </r>
  <r>
    <x v="354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47"/>
    <s v="CRD014117"/>
    <s v="PLEGADIZA SELLO ROJO CPE"/>
    <s v="UND"/>
    <m/>
    <n v="29000000"/>
    <n v="29000000"/>
    <s v="0.000000"/>
    <n v="0"/>
    <s v="MED05222022"/>
    <x v="0"/>
    <s v="BPO"/>
    <s v="BUEN"/>
    <d v="2022-08-22T00:00:00"/>
    <m/>
    <d v="2022-08-22T00:00:00"/>
    <m/>
    <s v="OALVARADO"/>
    <s v="2021-12-18 08:56:38.858269"/>
  </r>
  <r>
    <x v="357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ME"/>
    <x v="74"/>
    <s v="CRD024953"/>
    <s v="MUEBLE X 4 CAJAS EXPERIENCIA CAPSULAS EXPRESS"/>
    <s v="UND"/>
    <m/>
    <n v="1000000"/>
    <n v="1000000"/>
    <s v="0.000000"/>
    <n v="0"/>
    <n v="0"/>
    <x v="0"/>
    <s v="BPO"/>
    <s v="BUEN"/>
    <m/>
    <m/>
    <m/>
    <m/>
    <s v="OALVARADO"/>
    <s v="2021-12-18 09:02:03.618597"/>
  </r>
  <r>
    <x v="309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77"/>
    <s v="CRD014118"/>
    <s v="PLEGADIZA MATIZ ESCARLATA CPE"/>
    <s v="UND"/>
    <m/>
    <n v="1000000"/>
    <n v="1000000"/>
    <s v="0.000000"/>
    <n v="0"/>
    <s v="MED05222022"/>
    <x v="0"/>
    <s v="BPO"/>
    <s v="BUEN"/>
    <d v="2022-05-22T00:00:00"/>
    <m/>
    <d v="2022-05-22T00:00:00"/>
    <m/>
    <s v="OALVARADO"/>
    <s v="2021-12-18 08:57:11.572134"/>
  </r>
  <r>
    <x v="358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148"/>
    <s v="CRD016669"/>
    <s v="PLEGADIZA CAPSULA EXPRESS CHOCOLYNE X 10 U"/>
    <s v="UND"/>
    <m/>
    <n v="37000000"/>
    <n v="37000000"/>
    <s v="0.000000"/>
    <n v="0"/>
    <s v="MED06292022"/>
    <x v="0"/>
    <s v="BPO"/>
    <s v="BUEN"/>
    <d v="2022-06-29T00:00:00"/>
    <m/>
    <d v="2022-06-29T00:00:00"/>
    <m/>
    <s v="OALVARADO"/>
    <s v="2021-12-18 08:59:05.222004"/>
  </r>
  <r>
    <x v="356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81"/>
    <s v="CRD021973"/>
    <s v="PLEGADIZA CAPSULA EXPRESS SELLO ROJO VAINILLA X 6 GR X 10 UND"/>
    <s v="UND"/>
    <m/>
    <n v="38000000"/>
    <n v="38000000"/>
    <s v="0.000000"/>
    <n v="0"/>
    <s v="MED05132022"/>
    <x v="0"/>
    <s v="BPO"/>
    <s v="BUEN"/>
    <d v="2022-05-13T00:00:00"/>
    <m/>
    <d v="2022-05-13T00:00:00"/>
    <m/>
    <s v="OALVARADO"/>
    <s v="2021-12-18 09:00:29.692912"/>
  </r>
  <r>
    <x v="359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75"/>
    <s v="CRD023611"/>
    <s v="CAPSULAS CAFE MATIZ EXPRESO AMBAR PLEGX10UND"/>
    <s v="UND"/>
    <m/>
    <n v="1000000"/>
    <n v="1000000"/>
    <s v="0.000000"/>
    <n v="0"/>
    <s v="MED02052023"/>
    <x v="0"/>
    <s v="BPO"/>
    <s v="BUEN"/>
    <d v="2023-02-02T00:00:00"/>
    <m/>
    <d v="2023-02-02T00:00:00"/>
    <m/>
    <s v="OALVARADO"/>
    <s v="2021-12-18 09:01:50.4262"/>
  </r>
  <r>
    <x v="360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M"/>
    <x v="46"/>
    <s v="CRD016151"/>
    <s v="DISPENSADOR DE CAPSULAS EXPRESS NUTRESA"/>
    <s v="UND"/>
    <m/>
    <n v="2000000"/>
    <n v="2000000"/>
    <s v="0.000000"/>
    <n v="0"/>
    <n v="0"/>
    <x v="0"/>
    <s v="BPO"/>
    <s v="BUEN"/>
    <m/>
    <m/>
    <m/>
    <m/>
    <s v="OALVARADO"/>
    <s v="2021-12-18 08:58:38.843934"/>
  </r>
  <r>
    <x v="355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45"/>
    <s v="CRD022670"/>
    <s v="PLEGADIZA CAPSULA EXPRESS CHOCOLISTO 13.5G X 10 UDS"/>
    <s v="UND"/>
    <m/>
    <n v="2000000"/>
    <n v="2000000"/>
    <s v="0.000000"/>
    <n v="0"/>
    <s v="MED06022022"/>
    <x v="0"/>
    <s v="BPO"/>
    <s v="BUEN"/>
    <d v="2022-06-02T00:00:00"/>
    <m/>
    <d v="2022-06-02T00:00:00"/>
    <m/>
    <s v="OALVARADO"/>
    <s v="2021-12-18 09:01:12.922933"/>
  </r>
  <r>
    <x v="313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130"/>
    <s v="CRD014119"/>
    <s v="PLEGADIZA MATIZ EBANO CPE"/>
    <s v="UND"/>
    <m/>
    <n v="32000000"/>
    <n v="32000000"/>
    <s v="0.000000"/>
    <n v="0"/>
    <s v="MED02202022"/>
    <x v="0"/>
    <s v="BPO"/>
    <s v="BUEN"/>
    <d v="2022-02-20T00:00:00"/>
    <m/>
    <d v="2022-02-20T00:00:00"/>
    <m/>
    <s v="OALVARADO"/>
    <s v="2021-12-18 08:57:49.597938"/>
  </r>
  <r>
    <x v="359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75"/>
    <s v="CRD023611"/>
    <s v="CAPSULAS CAFE MATIZ EXPRESO AMBAR PLEGX10UND"/>
    <s v="UND"/>
    <m/>
    <n v="32000000"/>
    <n v="32000000"/>
    <s v="0.000000"/>
    <n v="0"/>
    <s v="MED02052023"/>
    <x v="0"/>
    <s v="BPO"/>
    <s v="BUEN"/>
    <d v="2023-02-02T00:00:00"/>
    <m/>
    <d v="2023-02-02T00:00:00"/>
    <m/>
    <s v="OALVARADO"/>
    <s v="2021-12-18 09:01:50.4262"/>
  </r>
  <r>
    <x v="313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130"/>
    <s v="CRD014119"/>
    <s v="PLEGADIZA MATIZ EBANO CPE"/>
    <s v="UND"/>
    <m/>
    <n v="1000000"/>
    <n v="1000000"/>
    <s v="0.000000"/>
    <n v="0"/>
    <s v="MED02202022"/>
    <x v="0"/>
    <s v="BPO"/>
    <s v="BUEN"/>
    <d v="2022-02-20T00:00:00"/>
    <m/>
    <d v="2022-02-20T00:00:00"/>
    <m/>
    <s v="OALVARADO"/>
    <s v="2021-12-18 08:57:49.597938"/>
  </r>
  <r>
    <x v="361"/>
    <s v="MEDE"/>
    <n v="50767"/>
    <s v="NUTRESA"/>
    <s v="NUTRESA - COMERCIAL NUTRESA SAS"/>
    <d v="2021-12-18T00:00:00"/>
    <s v="COMPLETADO"/>
    <s v="RECEPCIO"/>
    <n v="1"/>
    <s v="DEVOLUC"/>
    <s v="JDOSORIO"/>
    <s v="2021-12-21 16:48:28.866237"/>
    <n v="1"/>
    <n v="7501"/>
    <s v="DEV. JUMBO RIONEGRO RECO 7501 FINALIZACION EVENTO SIN NOVEDAD"/>
    <s v="MP"/>
    <x v="149"/>
    <s v="ACT000451"/>
    <s v="MUEBLE INTERCAMBIABLE TOSH MIX VEGETALES CENCOSUD"/>
    <s v="UND"/>
    <m/>
    <n v="1000000"/>
    <n v="1000000"/>
    <s v="0.000000"/>
    <n v="122401"/>
    <n v="0"/>
    <x v="0"/>
    <s v="NUTRESA"/>
    <s v="BUEN"/>
    <m/>
    <m/>
    <m/>
    <m/>
    <s v="JDOSORIO"/>
    <s v="2021-12-20 15:28:07.648325"/>
  </r>
  <r>
    <x v="362"/>
    <s v="MEDE"/>
    <n v="50768"/>
    <s v="NUTRESA"/>
    <s v="NUTRESA - COMERCIAL NUTRESA SAS"/>
    <d v="2021-12-18T00:00:00"/>
    <s v="COMPLETADO"/>
    <s v="RECEPCIO"/>
    <n v="1"/>
    <s v="DEVOLUC"/>
    <s v="JDOSORIO"/>
    <s v="2021-12-21 16:44:15.135767"/>
    <n v="1"/>
    <n v="7500"/>
    <s v="DEV. LUIS IGNACIO MEJIA RECO 7500 FINALIZACION EVENTO- NEVERA NO ENFRIA"/>
    <s v="ME"/>
    <x v="35"/>
    <s v="ACT000225"/>
    <s v="NEVERA HACEB TD"/>
    <s v="UND"/>
    <s v="ACT000225"/>
    <n v="1000000"/>
    <n v="1000000"/>
    <s v="0.000000"/>
    <n v="128177"/>
    <n v="0"/>
    <x v="1"/>
    <s v="NUTRESA"/>
    <s v="AVER"/>
    <m/>
    <m/>
    <m/>
    <m/>
    <s v="OALVARADO"/>
    <s v="2021-12-18 09:07:51.660424"/>
  </r>
  <r>
    <x v="363"/>
    <s v="MEDE"/>
    <n v="50769"/>
    <s v="NUTRESA"/>
    <s v="NUTRESA - COMERCIAL NUTRESA SAS"/>
    <d v="2021-12-18T00:00:00"/>
    <s v="COMPLETADO"/>
    <s v="RECEPCIO"/>
    <n v="1"/>
    <s v="DEVOLUC"/>
    <s v="JDOSORIO"/>
    <s v="2021-12-21 16:41:44.394894"/>
    <n v="1"/>
    <n v="7493"/>
    <s v="DEV. OFICINAS EFICACIA RECO 7493 FINALIZACION EVENTO SIN NOVEDAD"/>
    <s v="MP"/>
    <x v="150"/>
    <s v="CRD024997"/>
    <s v="PENDON MONTICELLO"/>
    <s v="PAQ"/>
    <m/>
    <n v="1000000"/>
    <n v="1000000"/>
    <s v="0.000000"/>
    <n v="0"/>
    <n v="0"/>
    <x v="0"/>
    <s v="NUTRESA"/>
    <s v="BUEN"/>
    <m/>
    <m/>
    <m/>
    <m/>
    <s v="OALVARADO"/>
    <s v="2021-12-18 09:15:34.957824"/>
  </r>
  <r>
    <x v="364"/>
    <s v="MEDE"/>
    <n v="50769"/>
    <s v="NUTRESA"/>
    <s v="NUTRESA - COMERCIAL NUTRESA SAS"/>
    <d v="2021-12-18T00:00:00"/>
    <s v="COMPLETADO"/>
    <s v="RECEPCIO"/>
    <n v="1"/>
    <s v="DEVOLUC"/>
    <s v="JDOSORIO"/>
    <s v="2021-12-21 16:41:44.394894"/>
    <n v="1"/>
    <n v="7493"/>
    <s v="DEV. OFICINAS EFICACIA RECO 7493 FINALIZACION EVENTO SIN NOVEDAD"/>
    <s v="I"/>
    <x v="151"/>
    <s v="CRD024895"/>
    <s v="PENDON NAVIDAD NOEL 2021"/>
    <s v="UND"/>
    <m/>
    <n v="1000000"/>
    <n v="1000000"/>
    <s v="0.000000"/>
    <n v="0"/>
    <n v="0"/>
    <x v="0"/>
    <s v="NUTRESA"/>
    <s v="BUEN"/>
    <m/>
    <m/>
    <m/>
    <m/>
    <s v="OALVARADO"/>
    <s v="2021-12-18 09:15:22.563251"/>
  </r>
  <r>
    <x v="365"/>
    <s v="MEDE"/>
    <n v="50789"/>
    <s v="NUTRESA"/>
    <s v="NUTRESA - COMERCIAL NUTRESA SAS"/>
    <d v="2021-12-20T00:00:00"/>
    <s v="COMPLETADO"/>
    <s v="RECEPCIO"/>
    <n v="1"/>
    <s v="OTROS"/>
    <s v="JDOSORIO"/>
    <s v="2021-12-21 16:48:50.410433"/>
    <n v="1"/>
    <n v="2992"/>
    <s v="SIN NOVEDAD SE RECIBE MATERIAL DEL PROVEEDOR OPEN MIND CON REMISIOM 2992"/>
    <s v="ME"/>
    <x v="33"/>
    <s v="CRD025023"/>
    <s v="BALCON COLCAFE 3 EN 1 MAS CREMOSO"/>
    <s v="UND"/>
    <m/>
    <n v="10000000"/>
    <n v="10000000"/>
    <s v="0.000000"/>
    <n v="0"/>
    <n v="0"/>
    <x v="2"/>
    <s v="NUTRESA"/>
    <s v="BUEN"/>
    <m/>
    <m/>
    <m/>
    <m/>
    <s v="JDOSORIO"/>
    <s v="2021-12-20 16:50:39.165559"/>
  </r>
  <r>
    <x v="366"/>
    <s v="MEDE"/>
    <n v="50798"/>
    <s v="NUTRESA"/>
    <s v="NUTRESA - COMERCIAL NUTRESA SAS"/>
    <d v="2021-12-21T00:00:00"/>
    <s v="COMPLETADO"/>
    <s v="RECEPCIO"/>
    <n v="1"/>
    <s v="OTROS"/>
    <s v="JDOSORIO"/>
    <s v="2021-12-21 16:49:25.455234"/>
    <n v="1"/>
    <s v="FE24700"/>
    <s v="SIN NOVEDAD SE RECIBE MATERIAL DEL PROVEEDOR PLASTICOS INTEGRALES"/>
    <s v="M"/>
    <x v="152"/>
    <s v="CRD025011"/>
    <s v="JARRA RECTANGULAR 2LTS"/>
    <s v="UND"/>
    <m/>
    <n v="400000000"/>
    <n v="400000000"/>
    <s v="0.000000"/>
    <n v="0"/>
    <n v="0"/>
    <x v="2"/>
    <s v="NUTRESA"/>
    <s v="BUEN"/>
    <m/>
    <m/>
    <m/>
    <m/>
    <s v="JDOSORIO"/>
    <s v="2021-12-21 11:35:24.862065"/>
  </r>
  <r>
    <x v="367"/>
    <s v="MEDE"/>
    <n v="50798"/>
    <s v="NUTRESA"/>
    <s v="NUTRESA - COMERCIAL NUTRESA SAS"/>
    <d v="2021-12-21T00:00:00"/>
    <s v="COMPLETADO"/>
    <s v="RECEPCIO"/>
    <n v="1"/>
    <s v="OTROS"/>
    <s v="JDOSORIO"/>
    <s v="2021-12-21 16:49:25.455234"/>
    <n v="1"/>
    <s v="FE24700"/>
    <s v="SIN NOVEDAD SE RECIBE MATERIAL DEL PROVEEDOR PLASTICOS INTEGRALES"/>
    <s v="M"/>
    <x v="153"/>
    <s v="CRD024994"/>
    <s v="RECIPIENTE PARA PASTAS (ESPAGUETIS)"/>
    <s v="UND"/>
    <m/>
    <n v="400000000"/>
    <n v="400000000"/>
    <s v="0.000000"/>
    <n v="0"/>
    <n v="0"/>
    <x v="2"/>
    <s v="NUTRESA"/>
    <s v="BUEN"/>
    <m/>
    <m/>
    <m/>
    <m/>
    <s v="JDOSORIO"/>
    <s v="2021-12-21 11:35:07.082762"/>
  </r>
  <r>
    <x v="368"/>
    <s v="MEDE"/>
    <n v="50798"/>
    <s v="NUTRESA"/>
    <s v="NUTRESA - COMERCIAL NUTRESA SAS"/>
    <d v="2021-12-21T00:00:00"/>
    <s v="COMPLETADO"/>
    <s v="RECEPCIO"/>
    <n v="1"/>
    <s v="OTROS"/>
    <s v="JDOSORIO"/>
    <s v="2021-12-21 16:49:25.455234"/>
    <n v="1"/>
    <s v="FE24700"/>
    <s v="SIN NOVEDAD SE RECIBE MATERIAL DEL PROVEEDOR PLASTICOS INTEGRALES"/>
    <s v="M"/>
    <x v="154"/>
    <s v="CRD024995"/>
    <s v="SET X TRES COLADORES FLOR"/>
    <s v="UND"/>
    <m/>
    <n v="400000000"/>
    <n v="400000000"/>
    <s v="0.000000"/>
    <n v="0"/>
    <n v="0"/>
    <x v="2"/>
    <s v="NUTRESA"/>
    <s v="BUEN"/>
    <m/>
    <m/>
    <m/>
    <m/>
    <s v="JDOSORIO"/>
    <s v="2021-12-21 11:35:12.686791"/>
  </r>
  <r>
    <x v="369"/>
    <s v="MEDE"/>
    <n v="50798"/>
    <s v="NUTRESA"/>
    <s v="NUTRESA - COMERCIAL NUTRESA SAS"/>
    <d v="2021-12-21T00:00:00"/>
    <s v="COMPLETADO"/>
    <s v="RECEPCIO"/>
    <n v="1"/>
    <s v="OTROS"/>
    <s v="JDOSORIO"/>
    <s v="2021-12-21 16:49:25.455234"/>
    <n v="1"/>
    <s v="FE24700"/>
    <s v="SIN NOVEDAD SE RECIBE MATERIAL DEL PROVEEDOR PLASTICOS INTEGRALES"/>
    <s v="M"/>
    <x v="155"/>
    <s v="CRD024993"/>
    <s v="SET X 4 ENSALADERAS 400 CC C7U"/>
    <s v="UND"/>
    <m/>
    <n v="400000000"/>
    <n v="400000000"/>
    <s v="0.000000"/>
    <n v="0"/>
    <n v="0"/>
    <x v="2"/>
    <s v="NUTRESA"/>
    <s v="BUEN"/>
    <m/>
    <m/>
    <m/>
    <m/>
    <s v="JDOSORIO"/>
    <s v="2021-12-21 11:35:02.209225"/>
  </r>
  <r>
    <x v="370"/>
    <s v="MEDE"/>
    <n v="50798"/>
    <s v="NUTRESA"/>
    <s v="NUTRESA - COMERCIAL NUTRESA SAS"/>
    <d v="2021-12-21T00:00:00"/>
    <s v="COMPLETADO"/>
    <s v="RECEPCIO"/>
    <n v="1"/>
    <s v="OTROS"/>
    <s v="JDOSORIO"/>
    <s v="2021-12-21 16:49:25.455234"/>
    <n v="1"/>
    <s v="FE24700"/>
    <s v="SIN NOVEDAD SE RECIBE MATERIAL DEL PROVEEDOR PLASTICOS INTEGRALES"/>
    <s v="M"/>
    <x v="156"/>
    <s v="CRD024996"/>
    <s v="ENSALADERA PRIMACERA 2300CC"/>
    <s v="UND"/>
    <m/>
    <n v="400000000"/>
    <n v="400000000"/>
    <s v="0.000000"/>
    <n v="0"/>
    <n v="0"/>
    <x v="2"/>
    <s v="NUTRESA"/>
    <s v="BUEN"/>
    <m/>
    <m/>
    <m/>
    <m/>
    <s v="JDOSORIO"/>
    <s v="2021-12-21 11:35:19.407575"/>
  </r>
  <r>
    <x v="371"/>
    <s v="MEDE"/>
    <n v="50820"/>
    <s v="NUTRESA"/>
    <s v="NUTRESA - COMERCIAL NUTRESA SAS"/>
    <d v="2021-12-22T00:00:00"/>
    <s v="COMPLETADO"/>
    <s v="RECEPCIO"/>
    <n v="1"/>
    <s v="DEVOLUC"/>
    <m/>
    <s v="2021-12-22 12:42:41.045448"/>
    <n v="1"/>
    <n v="7502"/>
    <s v="DEV. MERCALDA EL MAS BARATO S.A. FINALIZACION DE EVENTO CON NOVEDAD ( MUEBLES EN MAL ESTADO"/>
    <s v="ME"/>
    <x v="157"/>
    <s v="CRD023301"/>
    <s v="MUEBLE CHOCOTERA"/>
    <s v="UND"/>
    <m/>
    <n v="1000000"/>
    <s v="0.000000"/>
    <n v="1000000"/>
    <n v="0"/>
    <n v="0"/>
    <x v="2"/>
    <s v="NUTRESA"/>
    <s v="AVER"/>
    <m/>
    <m/>
    <m/>
    <m/>
    <s v="JDOSORIO"/>
    <s v="2021-12-22 12:43:53.89563"/>
  </r>
  <r>
    <x v="372"/>
    <s v="MEDE"/>
    <n v="50820"/>
    <s v="NUTRESA"/>
    <s v="NUTRESA - COMERCIAL NUTRESA SAS"/>
    <d v="2021-12-22T00:00:00"/>
    <s v="COMPLETADO"/>
    <s v="RECEPCIO"/>
    <n v="1"/>
    <s v="DEVOLUC"/>
    <m/>
    <s v="2021-12-22 12:42:41.045448"/>
    <n v="1"/>
    <n v="7502"/>
    <s v="DEV. MERCALDA EL MAS BARATO S.A. FINALIZACION DE EVENTO CON NOVEDAD ( MUEBLES EN MAL ESTADO"/>
    <s v="ME"/>
    <x v="158"/>
    <s v="ACT000499"/>
    <s v="REJILLA LATERAL LA BASTILLA KIT AU 2021"/>
    <s v="UND"/>
    <m/>
    <n v="1000000"/>
    <s v="0.000000"/>
    <n v="1000000"/>
    <n v="159419"/>
    <n v="0"/>
    <x v="2"/>
    <s v="NUTRESA"/>
    <s v="AVER"/>
    <m/>
    <m/>
    <m/>
    <m/>
    <s v="JDOSORIO"/>
    <s v="2021-12-22 12:43:41.9859"/>
  </r>
  <r>
    <x v="373"/>
    <s v="PERE"/>
    <n v="25716"/>
    <s v="NUTRESA"/>
    <s v="NUTRESA - COMERCIAL NUTRESA SAS"/>
    <d v="2021-11-29T00:00:00"/>
    <s v="COMPLETADO"/>
    <s v="RECEPCIO"/>
    <n v="1"/>
    <s v="OTROS"/>
    <s v="FSANCHEZ"/>
    <s v="2021-11-29 17:15:01.430212"/>
    <n v="0"/>
    <n v="0"/>
    <s v="DEV DEL PDV MUÃ‘OZ FERNAN ANDRES CON RECO NÂ° 2799 POR FINALIZACION DEL EVENTO --- SIN NOVEDAD"/>
    <s v="ME"/>
    <x v="97"/>
    <s v="ACT000434"/>
    <s v="AMBIENTACION LINEAL COMPRA EN GRANDE"/>
    <s v="UND"/>
    <m/>
    <n v="1000000"/>
    <n v="1000000"/>
    <s v="0.000000"/>
    <n v="147535"/>
    <n v="0"/>
    <x v="2"/>
    <s v="NUTRESA"/>
    <s v="BUEN"/>
    <m/>
    <m/>
    <m/>
    <m/>
    <s v="FSANCHEZ"/>
    <s v="2021-11-29 16:59:08.275939"/>
  </r>
  <r>
    <x v="374"/>
    <s v="PERE"/>
    <n v="25717"/>
    <s v="NUTRESA"/>
    <s v="NUTRESA - COMERCIAL NUTRESA SAS"/>
    <d v="2021-11-29T00:00:00"/>
    <s v="COMPLETADO"/>
    <s v="RECEPCIO"/>
    <n v="1"/>
    <s v="OTROS"/>
    <s v="FSANCHEZ"/>
    <s v="2021-11-29 17:15:07.151262"/>
    <n v="0"/>
    <n v="0"/>
    <s v="DEV DEL PDV MERCALDAS VERSALLES CON RECO NÂ° 2795 POR FINALIZACION DEL EVENTO --- MUEBLE INGRESA EN ESTADO AVERIADO SE REPORTA A JULIANA BETANCUR"/>
    <s v="ME"/>
    <x v="159"/>
    <s v="ACT000027"/>
    <s v="CUERPO DE GONDOLA EXPANDIBLE GOLOSINAS"/>
    <s v="UND"/>
    <m/>
    <n v="1000000"/>
    <n v="1000000"/>
    <s v="0.000000"/>
    <n v="21156"/>
    <n v="0"/>
    <x v="2"/>
    <s v="NUTRESA"/>
    <s v="AVER"/>
    <m/>
    <m/>
    <m/>
    <m/>
    <s v="FSANCHEZ"/>
    <s v="2021-11-29 17:02:30.139059"/>
  </r>
  <r>
    <x v="375"/>
    <s v="PERE"/>
    <n v="25718"/>
    <s v="NUTRESA"/>
    <s v="NUTRESA - COMERCIAL NUTRESA SAS"/>
    <d v="2021-11-29T00:00:00"/>
    <s v="COMPLETADO"/>
    <s v="RECEPCIO"/>
    <n v="1"/>
    <s v="OTROS"/>
    <s v="FSANCHEZ"/>
    <s v="2021-11-29 17:15:12.972161"/>
    <n v="0"/>
    <n v="0"/>
    <s v="DEV DEL PDV MERCALDAS VERSALLES CON RECO NÂ° 2781 POR FINALIZACION DEL EVENTO --- MUEBLE INGRESA EN ESTADO AVERIADO SE REPORTA NOVEDAD A JULIANA BETANCUR"/>
    <s v="ME"/>
    <x v="160"/>
    <s v="CRD022897"/>
    <s v="MUEBLE GENERICO BENET AU 2021"/>
    <s v="UND"/>
    <m/>
    <n v="1000000"/>
    <n v="1000000"/>
    <s v="0.000000"/>
    <n v="0"/>
    <n v="0"/>
    <x v="2"/>
    <s v="BPO"/>
    <s v="AVER"/>
    <m/>
    <m/>
    <m/>
    <m/>
    <s v="FSANCHEZ"/>
    <s v="2021-11-29 17:05:22.435112"/>
  </r>
  <r>
    <x v="376"/>
    <s v="PERE"/>
    <n v="25730"/>
    <s v="NUTRESA"/>
    <s v="NUTRESA - COMERCIAL NUTRESA SAS"/>
    <d v="2021-12-01T00:00:00"/>
    <s v="COMPLETADO"/>
    <s v="RECEPCIO"/>
    <n v="1"/>
    <s v="OTROS"/>
    <s v="FSANCHEZ"/>
    <s v="2021-12-01 16:32:33.439778"/>
    <n v="0"/>
    <n v="0"/>
    <s v="SE RECIBE MATERIAL DEL PROVEEDOR C.NUTRESA CON RECO NÂ° 2805 POR FINALIZACION DEL EVENTO --- SIN NOVEDAD"/>
    <s v="ME"/>
    <x v="134"/>
    <s v="CRD019458"/>
    <s v="ARETE POCO CARGUE ZENU"/>
    <s v="UND"/>
    <m/>
    <n v="1000000"/>
    <n v="1000000"/>
    <s v="0.000000"/>
    <n v="0"/>
    <n v="0"/>
    <x v="2"/>
    <s v="NUTRESA"/>
    <s v="BAJA"/>
    <m/>
    <m/>
    <m/>
    <m/>
    <s v="FSANCHEZ"/>
    <s v="2021-12-01 15:24:07.650254"/>
  </r>
  <r>
    <x v="377"/>
    <s v="PERE"/>
    <n v="25730"/>
    <s v="NUTRESA"/>
    <s v="NUTRESA - COMERCIAL NUTRESA SAS"/>
    <d v="2021-12-01T00:00:00"/>
    <s v="COMPLETADO"/>
    <s v="RECEPCIO"/>
    <n v="1"/>
    <s v="OTROS"/>
    <s v="FSANCHEZ"/>
    <s v="2021-12-01 16:32:33.439778"/>
    <n v="0"/>
    <n v="0"/>
    <s v="SE RECIBE MATERIAL DEL PROVEEDOR C.NUTRESA CON RECO NÂ° 2805 POR FINALIZACION DEL EVENTO --- SIN NOVEDAD"/>
    <s v="ME"/>
    <x v="84"/>
    <s v="ACT000063"/>
    <s v="VP NEVERA TERMOREFRIGERADA GOLOSINAS TD"/>
    <s v="UND"/>
    <s v="ACT000063"/>
    <n v="1000000"/>
    <n v="1000000"/>
    <s v="0.000000"/>
    <n v="78770"/>
    <n v="0"/>
    <x v="1"/>
    <s v="NUTRESA"/>
    <s v="AVER"/>
    <m/>
    <m/>
    <m/>
    <m/>
    <s v="FSANCHEZ"/>
    <s v="2021-12-01 15:24:02.377903"/>
  </r>
  <r>
    <x v="378"/>
    <s v="PERE"/>
    <n v="25731"/>
    <s v="NUTRESA"/>
    <s v="NUTRESA - COMERCIAL NUTRESA SAS"/>
    <d v="2021-12-01T00:00:00"/>
    <s v="COMPLETADO"/>
    <s v="RECEPCIO"/>
    <n v="1"/>
    <s v="OTROS"/>
    <s v="FSANCHEZ"/>
    <s v="2021-12-01 16:32:39.380529"/>
    <n v="0"/>
    <n v="0"/>
    <s v="DEV DEL PDV ALMACEN LA CITA CON RECO NÂ° 2789 POR FINALIZACION DEL EVENTO --- SIN NOVEDAD"/>
    <s v="ME"/>
    <x v="10"/>
    <s v="ACT000436"/>
    <s v="MUEBLE AUTODEGUSTADOR GENERICO"/>
    <s v="UND"/>
    <m/>
    <n v="1000000"/>
    <n v="1000000"/>
    <s v="0.000000"/>
    <n v="122384"/>
    <n v="0"/>
    <x v="2"/>
    <s v="BPO"/>
    <s v="BUEN"/>
    <m/>
    <m/>
    <m/>
    <m/>
    <s v="FSANCHEZ"/>
    <s v="2021-12-01 15:45:31.640586"/>
  </r>
  <r>
    <x v="378"/>
    <s v="PERE"/>
    <n v="25732"/>
    <s v="NUTRESA"/>
    <s v="NUTRESA - COMERCIAL NUTRESA SAS"/>
    <d v="2021-12-01T00:00:00"/>
    <s v="COMPLETADO"/>
    <s v="RECEPCIO"/>
    <n v="1"/>
    <s v="OTROS"/>
    <s v="FSANCHEZ"/>
    <s v="2021-12-01 16:32:47.974619"/>
    <n v="0"/>
    <n v="0"/>
    <s v="DEV DEL PDV AUTOSERVICIO SUPERPLAZA CON RECO NÂ° 2791 POR FINALIZACION DEL EVENTO --- SIN NOVEDAD"/>
    <s v="ME"/>
    <x v="10"/>
    <s v="ACT000436"/>
    <s v="MUEBLE AUTODEGUSTADOR GENERICO"/>
    <s v="UND"/>
    <m/>
    <n v="1000000"/>
    <n v="1000000"/>
    <s v="0.000000"/>
    <n v="122386"/>
    <n v="0"/>
    <x v="2"/>
    <s v="BPO"/>
    <s v="BUEN"/>
    <m/>
    <m/>
    <m/>
    <m/>
    <s v="FSANCHEZ"/>
    <s v="2021-12-01 15:55:07.423612"/>
  </r>
  <r>
    <x v="378"/>
    <s v="PERE"/>
    <n v="25736"/>
    <s v="NUTRESA"/>
    <s v="NUTRESA - COMERCIAL NUTRESA SAS"/>
    <d v="2021-12-01T00:00:00"/>
    <s v="COMPLETADO"/>
    <s v="RECEPCIO"/>
    <n v="1"/>
    <s v="OTROS"/>
    <s v="FSANCHEZ"/>
    <s v="2021-12-01 16:37:46.277538"/>
    <n v="0"/>
    <n v="0"/>
    <s v="DEV DEL PDV AUTOSERVICIO NODIER NÂ°1 CON RECO NÂ° 74990 POR FINALIZACION DEL EVENTO --- SIN NOVEDAD"/>
    <s v="ME"/>
    <x v="10"/>
    <s v="ACT000436"/>
    <s v="MUEBLE AUTODEGUSTADOR GENERICO"/>
    <s v="UND"/>
    <m/>
    <n v="1000000"/>
    <n v="1000000"/>
    <s v="0.000000"/>
    <n v="122385"/>
    <n v="0"/>
    <x v="2"/>
    <s v="BPO"/>
    <s v="BUEN"/>
    <m/>
    <m/>
    <m/>
    <m/>
    <s v="FSANCHEZ"/>
    <s v="2021-12-01 16:37:14.530343"/>
  </r>
  <r>
    <x v="379"/>
    <s v="PERE"/>
    <n v="25739"/>
    <s v="NUTRESA"/>
    <s v="NUTRESA - COMERCIAL NUTRESA SAS"/>
    <d v="2021-12-02T00:00:00"/>
    <s v="COMPLETADO"/>
    <s v="RECEPCIO"/>
    <n v="1"/>
    <s v="OTROS"/>
    <s v="FSANCHEZ"/>
    <s v="2021-12-02 14:34:52.771081"/>
    <n v="0"/>
    <n v="0"/>
    <s v="DEV DEL PDV JULIAN ANDRES GARCIA CON RECO NÂ° 2804 POR FINALIZACION DEL EVENTO --- SIN NOVEDAD"/>
    <s v="MP"/>
    <x v="161"/>
    <s v="CRD023598"/>
    <s v="PLEGADIZA MATRIMONIO NOEL 200 GR NAVIDAD 2021"/>
    <s v="UND"/>
    <m/>
    <n v="237000000"/>
    <n v="237000000"/>
    <s v="0.000000"/>
    <n v="0"/>
    <n v="0"/>
    <x v="2"/>
    <s v="NUTRESA"/>
    <s v="BUEN"/>
    <m/>
    <m/>
    <m/>
    <m/>
    <s v="FSANCHEZ"/>
    <s v="2021-12-02 14:30:48.95647"/>
  </r>
  <r>
    <x v="380"/>
    <s v="PERE"/>
    <n v="25739"/>
    <s v="NUTRESA"/>
    <s v="NUTRESA - COMERCIAL NUTRESA SAS"/>
    <d v="2021-12-02T00:00:00"/>
    <s v="COMPLETADO"/>
    <s v="RECEPCIO"/>
    <n v="1"/>
    <s v="OTROS"/>
    <s v="FSANCHEZ"/>
    <s v="2021-12-02 14:34:52.771081"/>
    <n v="0"/>
    <n v="0"/>
    <s v="DEV DEL PDV JULIAN ANDRES GARCIA CON RECO NÂ° 2804 POR FINALIZACION DEL EVENTO --- SIN NOVEDAD"/>
    <s v="MP"/>
    <x v="162"/>
    <s v="CRD023597"/>
    <s v="PLEGADIZA MATRIMONIO CARAVANA 200 GR NAVIDAD 2021"/>
    <s v="UND"/>
    <m/>
    <n v="237000000"/>
    <n v="237000000"/>
    <s v="0.000000"/>
    <n v="0"/>
    <n v="0"/>
    <x v="2"/>
    <s v="NUTRESA"/>
    <s v="BUEN"/>
    <m/>
    <m/>
    <m/>
    <m/>
    <s v="FSANCHEZ"/>
    <s v="2021-12-02 14:30:37.589079"/>
  </r>
  <r>
    <x v="381"/>
    <s v="PERE"/>
    <n v="25739"/>
    <s v="NUTRESA"/>
    <s v="NUTRESA - COMERCIAL NUTRESA SAS"/>
    <d v="2021-12-02T00:00:00"/>
    <s v="COMPLETADO"/>
    <s v="RECEPCIO"/>
    <n v="1"/>
    <s v="OTROS"/>
    <s v="FSANCHEZ"/>
    <s v="2021-12-02 14:34:52.771081"/>
    <n v="0"/>
    <n v="0"/>
    <s v="DEV DEL PDV JULIAN ANDRES GARCIA CON RECO NÂ° 2804 POR FINALIZACION DEL EVENTO --- SIN NOVEDAD"/>
    <s v="MP"/>
    <x v="163"/>
    <s v="CRD023685"/>
    <s v="BOLSA PLASTICA NAVIDAD NOEL 2021"/>
    <s v="UND"/>
    <m/>
    <n v="1900000000"/>
    <n v="1900000000"/>
    <s v="0.000000"/>
    <n v="0"/>
    <n v="0"/>
    <x v="2"/>
    <s v="NUTRESA"/>
    <s v="BUEN"/>
    <m/>
    <m/>
    <m/>
    <m/>
    <s v="FSANCHEZ"/>
    <s v="2021-12-02 14:31:01.357136"/>
  </r>
  <r>
    <x v="382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3"/>
    <s v="CRD024845"/>
    <s v="POSTAL COLCAFE GRANULADO"/>
    <s v="UND"/>
    <m/>
    <n v="1000000000"/>
    <n v="1000000000"/>
    <s v="0.000000"/>
    <n v="0"/>
    <n v="0"/>
    <x v="0"/>
    <s v="BPO"/>
    <s v="BUEN"/>
    <m/>
    <m/>
    <m/>
    <m/>
    <s v="FSANCHEZ"/>
    <s v="2021-12-02 15:02:57.06774"/>
  </r>
  <r>
    <x v="383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5"/>
    <s v="CRD024842"/>
    <s v="POSTAL COLCAFE DESCAFEINADO"/>
    <s v="UND"/>
    <m/>
    <n v="500000000"/>
    <n v="500000000"/>
    <s v="0.000000"/>
    <n v="0"/>
    <n v="0"/>
    <x v="2"/>
    <s v="BPO"/>
    <s v="BUEN"/>
    <m/>
    <m/>
    <m/>
    <m/>
    <s v="FSANCHEZ"/>
    <s v="2021-12-02 15:02:27.737282"/>
  </r>
  <r>
    <x v="384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2"/>
    <s v="CRD024843"/>
    <s v="POSTAL COLCAFE CLASICO"/>
    <s v="UND"/>
    <m/>
    <n v="500000000"/>
    <n v="500000000"/>
    <s v="0.000000"/>
    <n v="0"/>
    <n v="0"/>
    <x v="2"/>
    <s v="BPO"/>
    <s v="BUEN"/>
    <m/>
    <m/>
    <m/>
    <m/>
    <s v="FSANCHEZ"/>
    <s v="2021-12-02 15:02:36.025438"/>
  </r>
  <r>
    <x v="385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2"/>
    <s v="CRD024843"/>
    <s v="POSTAL COLCAFE CLASICO"/>
    <s v="UND"/>
    <m/>
    <n v="1000000000"/>
    <n v="1000000000"/>
    <s v="0.000000"/>
    <n v="0"/>
    <n v="0"/>
    <x v="0"/>
    <s v="BPO"/>
    <s v="BUEN"/>
    <m/>
    <m/>
    <m/>
    <m/>
    <s v="FSANCHEZ"/>
    <s v="2021-12-02 15:02:34.437325"/>
  </r>
  <r>
    <x v="386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4"/>
    <s v="CRD024844"/>
    <s v="POSTAL COLCAFE VAINILLA"/>
    <s v="UND"/>
    <m/>
    <n v="500000000"/>
    <n v="500000000"/>
    <s v="0.000000"/>
    <n v="0"/>
    <n v="0"/>
    <x v="2"/>
    <s v="BPO"/>
    <s v="BUEN"/>
    <m/>
    <m/>
    <m/>
    <m/>
    <s v="FSANCHEZ"/>
    <s v="2021-12-02 15:02:46.868583"/>
  </r>
  <r>
    <x v="387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4"/>
    <s v="CRD024844"/>
    <s v="POSTAL COLCAFE VAINILLA"/>
    <s v="UND"/>
    <m/>
    <n v="1000000000"/>
    <n v="1000000000"/>
    <s v="0.000000"/>
    <n v="0"/>
    <n v="0"/>
    <x v="0"/>
    <s v="BPO"/>
    <s v="BUEN"/>
    <m/>
    <m/>
    <m/>
    <m/>
    <s v="FSANCHEZ"/>
    <s v="2021-12-02 15:02:45.002981"/>
  </r>
  <r>
    <x v="388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5"/>
    <s v="CRD024842"/>
    <s v="POSTAL COLCAFE DESCAFEINADO"/>
    <s v="UND"/>
    <m/>
    <n v="1000000000"/>
    <n v="1000000000"/>
    <s v="0.000000"/>
    <n v="0"/>
    <n v="0"/>
    <x v="0"/>
    <s v="BPO"/>
    <s v="BUEN"/>
    <m/>
    <m/>
    <m/>
    <m/>
    <s v="FSANCHEZ"/>
    <s v="2021-12-02 15:02:25.930577"/>
  </r>
  <r>
    <x v="389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3"/>
    <s v="CRD024845"/>
    <s v="POSTAL COLCAFE GRANULADO"/>
    <s v="UND"/>
    <m/>
    <n v="500000000"/>
    <n v="500000000"/>
    <s v="0.000000"/>
    <n v="0"/>
    <n v="0"/>
    <x v="2"/>
    <s v="BPO"/>
    <s v="BUEN"/>
    <m/>
    <m/>
    <m/>
    <m/>
    <s v="FSANCHEZ"/>
    <s v="2021-12-02 15:02:55.575716"/>
  </r>
  <r>
    <x v="390"/>
    <s v="PERE"/>
    <n v="25743"/>
    <s v="NUTRESA"/>
    <s v="NUTRESA - COMERCIAL NUTRESA SAS"/>
    <d v="2021-12-02T00:00:00"/>
    <s v="COMPLETADO"/>
    <s v="RECEPCIO"/>
    <n v="1"/>
    <s v="OTROS"/>
    <s v="FSANCHEZ"/>
    <s v="2021-12-02 17:07:43.060109"/>
    <n v="0"/>
    <n v="0"/>
    <s v="DEV DEL PDV SUPERMERCADO LOS OLIVOS CON RECO NÂ° 2807 POR FINALIZACION DEL EVENTO --- SE INGRESA EN ESTADO AVERIADO SE REPORTA A JULIANA BETANCUR"/>
    <s v="ME"/>
    <x v="1"/>
    <s v="ACT000300"/>
    <s v="MUEBLE SNACKERO DE PISO"/>
    <s v="UND"/>
    <m/>
    <n v="1000000"/>
    <n v="1000000"/>
    <s v="0.000000"/>
    <n v="118967"/>
    <n v="0"/>
    <x v="2"/>
    <s v="NUTRESA"/>
    <s v="AVER"/>
    <m/>
    <m/>
    <m/>
    <m/>
    <s v="FSANCHEZ"/>
    <s v="2021-12-02 17:06:25.847514"/>
  </r>
  <r>
    <x v="391"/>
    <s v="PERE"/>
    <n v="25744"/>
    <s v="NUTRESA"/>
    <s v="NUTRESA - COMERCIAL NUTRESA SAS"/>
    <d v="2021-12-03T00:00:00"/>
    <s v="COMPLETADO"/>
    <s v="RECEPCIO"/>
    <n v="1"/>
    <s v="OTROS"/>
    <s v="FSANCHEZ"/>
    <s v="2021-12-03 08:32:27.050637"/>
    <n v="0"/>
    <n v="805455493"/>
    <s v="SE RECIBE MATERIAL DEL PROVEEDOR PLASTIPACK CON REMISION NÂ° 83117 --- SIN NOVEDAD"/>
    <s v="M"/>
    <x v="7"/>
    <s v="CRD024849"/>
    <s v="BOLSA TROQUELADA PIGMENTADA IMPRESA - BOLSA NAVIDAD"/>
    <s v="UND"/>
    <m/>
    <n v="15000000000"/>
    <n v="15000000000"/>
    <s v="0.000000"/>
    <n v="0"/>
    <n v="0"/>
    <x v="2"/>
    <s v="NUTRESA"/>
    <s v="BUEN"/>
    <m/>
    <m/>
    <m/>
    <m/>
    <s v="FSANCHEZ"/>
    <s v="2021-12-03 08:03:04.340431"/>
  </r>
  <r>
    <x v="378"/>
    <s v="PERE"/>
    <n v="25752"/>
    <s v="NUTRESA"/>
    <s v="NUTRESA - COMERCIAL NUTRESA SAS"/>
    <d v="2021-12-03T00:00:00"/>
    <s v="COMPLETADO"/>
    <s v="RECEPCIO"/>
    <n v="1"/>
    <s v="OTROS"/>
    <s v="FSANCHEZ"/>
    <s v="2021-12-03 11:39:15.026078"/>
    <n v="0"/>
    <n v="0"/>
    <s v="DEV DEL PDV BUSTOS Y CIA CON RECO NÂ° 2801 POR FINALIZACION DEL EVENTO --- SIN NOVEDAD"/>
    <s v="ME"/>
    <x v="10"/>
    <s v="ACT000436"/>
    <s v="MUEBLE AUTODEGUSTADOR GENERICO"/>
    <s v="UND"/>
    <m/>
    <n v="1000000"/>
    <n v="1000000"/>
    <s v="0.000000"/>
    <n v="122381"/>
    <n v="0"/>
    <x v="2"/>
    <s v="BPO"/>
    <s v="BUEN"/>
    <m/>
    <m/>
    <m/>
    <m/>
    <s v="FSANCHEZ"/>
    <s v="2021-12-03 11:14:49.331612"/>
  </r>
  <r>
    <x v="378"/>
    <s v="PERE"/>
    <n v="25753"/>
    <s v="NUTRESA"/>
    <s v="NUTRESA - COMERCIAL NUTRESA SAS"/>
    <d v="2021-12-03T00:00:00"/>
    <s v="COMPLETADO"/>
    <s v="RECEPCIO"/>
    <n v="1"/>
    <s v="OTROS"/>
    <s v="FSANCHEZ"/>
    <s v="2021-12-03 11:39:30.528542"/>
    <n v="0"/>
    <n v="0"/>
    <s v="DEV DEL PDV SUPERMERCADO CUCUTEÃ‘O PLAZA CON RECO NÂ° 75265 --- SIN NOVEDAD"/>
    <s v="ME"/>
    <x v="10"/>
    <s v="ACT000436"/>
    <s v="MUEBLE AUTODEGUSTADOR GENERICO"/>
    <s v="UND"/>
    <m/>
    <n v="1000000"/>
    <n v="1000000"/>
    <s v="0.000000"/>
    <n v="182951"/>
    <n v="0"/>
    <x v="2"/>
    <s v="BPO"/>
    <s v="BUEN"/>
    <m/>
    <m/>
    <m/>
    <m/>
    <s v="FSANCHEZ"/>
    <s v="2021-12-03 11:37:33.854293"/>
  </r>
  <r>
    <x v="378"/>
    <s v="PERE"/>
    <n v="25756"/>
    <s v="NUTRESA"/>
    <s v="NUTRESA - COMERCIAL NUTRESA SAS"/>
    <d v="2021-12-03T00:00:00"/>
    <s v="COMPLETADO"/>
    <s v="RECEPCIO"/>
    <n v="1"/>
    <s v="OTROS"/>
    <s v="FSANCHEZ"/>
    <s v="2021-12-03 11:43:52.388072"/>
    <n v="0"/>
    <n v="0"/>
    <s v="DEV DEL PDV SUPERMERCADO MERCA PLUS CON RECO NÂ° 2803 POR FINALIZACION DEL EVENTO --- SIN NOVEDAD"/>
    <s v="ME"/>
    <x v="10"/>
    <s v="ACT000436"/>
    <s v="MUEBLE AUTODEGUSTADOR GENERICO"/>
    <s v="UND"/>
    <m/>
    <n v="1000000"/>
    <n v="1000000"/>
    <s v="0.000000"/>
    <n v="122380"/>
    <n v="0"/>
    <x v="2"/>
    <s v="BPO"/>
    <s v="BUEN"/>
    <m/>
    <m/>
    <m/>
    <m/>
    <s v="FSANCHEZ"/>
    <s v="2021-12-03 11:43:14.468536"/>
  </r>
  <r>
    <x v="392"/>
    <s v="PERE"/>
    <n v="25762"/>
    <s v="NUTRESA"/>
    <s v="NUTRESA - COMERCIAL NUTRESA SAS"/>
    <d v="2021-12-04T00:00:00"/>
    <s v="COMPLETADO"/>
    <s v="RECEPCIO"/>
    <n v="1"/>
    <s v="OTROS"/>
    <s v="FSANCHEZ"/>
    <s v="2021-12-04 11:16:39.038993"/>
    <n v="0"/>
    <n v="14000359288"/>
    <s v="SE RECIBE MATERIAL DEL PROVEEDOR OPEN MIND CON DOCUMENTO NÂ° 2852 --- SIN NOVEDAD"/>
    <s v="MP"/>
    <x v="11"/>
    <s v="CRD025017"/>
    <s v="NUEVO FRONTAL CARULLA MATIZ TENTACION"/>
    <s v="UND"/>
    <m/>
    <n v="1000000"/>
    <n v="1000000"/>
    <s v="0.000000"/>
    <n v="0"/>
    <n v="0"/>
    <x v="0"/>
    <s v="NUTRESA"/>
    <s v="BUEN"/>
    <m/>
    <m/>
    <m/>
    <m/>
    <s v="FSANCHEZ"/>
    <s v="2021-12-04 11:02:01.261455"/>
  </r>
  <r>
    <x v="393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64"/>
    <s v="CRD000911"/>
    <s v="1001564 DUX ORIGINAL BOLSA 9 X 3"/>
    <s v="UND"/>
    <m/>
    <n v="1000000"/>
    <n v="1000000"/>
    <s v="0.000000"/>
    <n v="0"/>
    <s v="PER07132022"/>
    <x v="0"/>
    <s v="NUTRESA"/>
    <s v="BUEN"/>
    <d v="2022-07-13T00:00:00"/>
    <m/>
    <d v="2022-07-13T00:00:00"/>
    <m/>
    <s v="FSANCHEZ"/>
    <s v="2021-12-06 14:11:53.21257"/>
  </r>
  <r>
    <x v="394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1"/>
    <s v="CRD012719"/>
    <s v="TRADE GTA. DUCALES TC. X2"/>
    <s v="UND"/>
    <m/>
    <n v="1000000"/>
    <n v="1000000"/>
    <s v="0.000000"/>
    <n v="0"/>
    <s v="PER09042022"/>
    <x v="0"/>
    <s v="NUTRESA"/>
    <s v="BUEN"/>
    <d v="2022-09-04T00:00:00"/>
    <m/>
    <d v="2022-09-04T00:00:00"/>
    <m/>
    <s v="FSANCHEZ"/>
    <s v="2021-12-06 14:19:20.628301"/>
  </r>
  <r>
    <x v="395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49"/>
    <s v="CRD012726"/>
    <s v="TORNILLO DORIA CLASICA X 250G"/>
    <s v="UND"/>
    <m/>
    <n v="1000000"/>
    <n v="1000000"/>
    <s v="0.000000"/>
    <n v="0"/>
    <s v="PER05082023"/>
    <x v="0"/>
    <s v="NUTRESA"/>
    <s v="BUEN"/>
    <d v="2023-05-08T00:00:00"/>
    <m/>
    <d v="2023-05-08T00:00:00"/>
    <m/>
    <s v="FSANCHEZ"/>
    <s v="2021-12-06 14:19:40.508979"/>
  </r>
  <r>
    <x v="396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65"/>
    <s v="CRD020909"/>
    <s v="SALCH VIENA PARRILLADA ZENU X 160 G"/>
    <s v="UND"/>
    <m/>
    <n v="800000000"/>
    <n v="800000000"/>
    <s v="0.000000"/>
    <n v="0"/>
    <s v="PER10272022"/>
    <x v="1"/>
    <s v="NUTRESA"/>
    <s v="BUEN"/>
    <d v="2022-10-27T00:00:00"/>
    <m/>
    <d v="2022-10-27T00:00:00"/>
    <m/>
    <s v="FSANCHEZ"/>
    <s v="2021-12-06 14:20:15.24385"/>
  </r>
  <r>
    <x v="397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48"/>
    <s v="CRD024981"/>
    <s v="PLEGADIZA WAFER SURTIDA SIN AZUCAR"/>
    <s v="UND"/>
    <m/>
    <n v="100000000"/>
    <n v="100000000"/>
    <s v="0.000000"/>
    <n v="0"/>
    <s v="PER06082022"/>
    <x v="2"/>
    <s v="NUTRESA"/>
    <s v="BUEN"/>
    <d v="2022-06-08T00:00:00"/>
    <m/>
    <d v="2022-06-08T00:00:00"/>
    <m/>
    <s v="FSANCHEZ"/>
    <s v="2021-12-06 14:21:50.693199"/>
  </r>
  <r>
    <x v="398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6"/>
    <s v="CRD023444"/>
    <s v="MANI KRAKS LA ESPECIAL DOYPACK X140G"/>
    <s v="UND"/>
    <m/>
    <n v="1000000"/>
    <n v="1000000"/>
    <s v="0.000000"/>
    <n v="0"/>
    <s v="PER11242023"/>
    <x v="0"/>
    <s v="NUTRESA"/>
    <s v="BUEN"/>
    <d v="2023-11-24T00:00:00"/>
    <m/>
    <d v="2023-11-24T00:00:00"/>
    <m/>
    <s v="FSANCHEZ"/>
    <s v="2021-12-06 14:20:57.379929"/>
  </r>
  <r>
    <x v="399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5"/>
    <s v="CRD012466"/>
    <s v="COLCAFE CLASICO X 50 GR"/>
    <s v="UND"/>
    <m/>
    <n v="1000000"/>
    <n v="1000000"/>
    <s v="0.000000"/>
    <n v="0"/>
    <s v="PER11022023"/>
    <x v="0"/>
    <s v="NUTRESA"/>
    <s v="BUEN"/>
    <d v="2023-11-02T00:00:00"/>
    <m/>
    <d v="2023-11-02T00:00:00"/>
    <m/>
    <s v="FSANCHEZ"/>
    <s v="2021-12-06 14:18:45.881547"/>
  </r>
  <r>
    <x v="400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3"/>
    <s v="CRD001185"/>
    <s v="CHOCOLATINA JET BJA X 12 UND X 144 G"/>
    <s v="PAQ"/>
    <m/>
    <n v="1000000"/>
    <n v="1000000"/>
    <s v="0.000000"/>
    <n v="0"/>
    <s v="PER11162022"/>
    <x v="0"/>
    <s v="NUTRESA"/>
    <s v="BUEN"/>
    <d v="2022-11-16T00:00:00"/>
    <m/>
    <d v="2022-11-16T00:00:00"/>
    <m/>
    <s v="FSANCHEZ"/>
    <s v="2021-12-06 14:17:41.103587"/>
  </r>
  <r>
    <x v="401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09"/>
    <s v="CRD010924"/>
    <s v="ARVEJAS CON ZANAHORIAS ZENU X 300 GR"/>
    <s v="UND"/>
    <m/>
    <n v="1000000"/>
    <n v="1000000"/>
    <s v="0.000000"/>
    <n v="0"/>
    <s v="PER05172023"/>
    <x v="0"/>
    <s v="NUTRESA"/>
    <s v="BUEN"/>
    <d v="2023-05-17T00:00:00"/>
    <m/>
    <d v="2023-05-17T00:00:00"/>
    <m/>
    <s v="FSANCHEZ"/>
    <s v="2021-12-06 14:18:17.188075"/>
  </r>
  <r>
    <x v="402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2"/>
    <s v="CRD002384"/>
    <s v="1001568 GTA SALTIN NOEL TC X 3"/>
    <s v="UND"/>
    <m/>
    <n v="1000000"/>
    <n v="1000000"/>
    <s v="0.000000"/>
    <n v="0"/>
    <s v="PER08212022"/>
    <x v="0"/>
    <s v="NUTRESA"/>
    <s v="BUEN"/>
    <d v="2022-08-21T00:00:00"/>
    <m/>
    <d v="2022-08-21T00:00:00"/>
    <m/>
    <s v="FSANCHEZ"/>
    <s v="2021-12-06 14:17:59.391483"/>
  </r>
  <r>
    <x v="403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19"/>
    <s v="CRD001182"/>
    <s v="SPAGHETTI DORIA NUTRIVIT 250 GR"/>
    <s v="UND"/>
    <m/>
    <n v="1000000"/>
    <n v="1000000"/>
    <s v="0.000000"/>
    <n v="0"/>
    <s v="PER05212023"/>
    <x v="0"/>
    <s v="NUTRESA"/>
    <s v="BUEN"/>
    <d v="2023-05-21T00:00:00"/>
    <m/>
    <d v="2023-05-21T00:00:00"/>
    <m/>
    <s v="FSANCHEZ"/>
    <s v="2021-12-06 14:16:48.296137"/>
  </r>
  <r>
    <x v="404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43"/>
    <s v="CRD024980"/>
    <s v="SURTIDO LONCHERA TOSH"/>
    <s v="UND"/>
    <m/>
    <n v="100000000"/>
    <n v="100000000"/>
    <s v="0.000000"/>
    <n v="0"/>
    <s v="PER03282022"/>
    <x v="2"/>
    <s v="NUTRESA"/>
    <s v="BUEN"/>
    <d v="2022-03-28T00:00:00"/>
    <m/>
    <d v="2022-03-28T00:00:00"/>
    <m/>
    <s v="FSANCHEZ"/>
    <s v="2021-12-06 14:21:20.183332"/>
  </r>
  <r>
    <x v="405"/>
    <s v="PERE"/>
    <n v="25776"/>
    <s v="NUTRESA"/>
    <s v="NUTRESA - COMERCIAL NUTRESA SAS"/>
    <d v="2021-12-07T00:00:00"/>
    <s v="COMPLETADO"/>
    <s v="RECEPCIO"/>
    <n v="1"/>
    <s v="OTROS"/>
    <s v="FSANCHEZ"/>
    <s v="2021-12-07 16:35:13.11437"/>
    <n v="0"/>
    <n v="348650672"/>
    <s v="SE RECIBE MATERIAL DEL PROVEEDOR MARQUILLAS CON DOCUMENTO NÂ° CRV-32280 --- SIN NOVEDAD"/>
    <s v="MP"/>
    <x v="16"/>
    <s v="CRD025004"/>
    <s v="AYUDAVENTAS TACO DIA MIEL"/>
    <s v="UND"/>
    <m/>
    <n v="78000000"/>
    <n v="78000000"/>
    <s v="0.000000"/>
    <n v="0"/>
    <n v="0"/>
    <x v="1"/>
    <s v="NUTRESA"/>
    <s v="BUEN"/>
    <m/>
    <m/>
    <m/>
    <m/>
    <s v="FSANCHEZ"/>
    <s v="2021-12-07 15:46:02.655653"/>
  </r>
  <r>
    <x v="406"/>
    <s v="PERE"/>
    <n v="25785"/>
    <s v="NUTRESA"/>
    <s v="NUTRESA - COMERCIAL NUTRESA SAS"/>
    <d v="2021-12-07T00:00:00"/>
    <s v="COMPLETADO"/>
    <s v="RECEPCIO"/>
    <n v="1"/>
    <s v="OTROS"/>
    <s v="FSANCHEZ"/>
    <s v="2021-12-07 16:45:25.558686"/>
    <n v="0"/>
    <n v="0"/>
    <s v="SE RECIBE MATERIAL DEL PROVEEDOR C.NUTRESA CON RECO NÂ° 2814 POR FINALIZACION DEL EVENTO --- SIN NOVEDAD"/>
    <s v="P"/>
    <x v="166"/>
    <s v="CRD024908"/>
    <s v="TE. TOSH NEGRO 32G 20SOB 20UN"/>
    <s v="UND"/>
    <m/>
    <n v="10000000"/>
    <n v="10000000"/>
    <s v="0.000000"/>
    <n v="0"/>
    <s v="PER09142023"/>
    <x v="2"/>
    <s v="NUTRESA"/>
    <s v="BUEN"/>
    <d v="2023-09-14T00:00:00"/>
    <m/>
    <d v="2023-09-14T00:00:00"/>
    <m/>
    <s v="FSANCHEZ"/>
    <s v="2021-12-07 16:42:49.564531"/>
  </r>
  <r>
    <x v="407"/>
    <s v="PERE"/>
    <n v="25785"/>
    <s v="NUTRESA"/>
    <s v="NUTRESA - COMERCIAL NUTRESA SAS"/>
    <d v="2021-12-07T00:00:00"/>
    <s v="COMPLETADO"/>
    <s v="RECEPCIO"/>
    <n v="1"/>
    <s v="OTROS"/>
    <s v="FSANCHEZ"/>
    <s v="2021-12-07 16:45:25.558686"/>
    <n v="0"/>
    <n v="0"/>
    <s v="SE RECIBE MATERIAL DEL PROVEEDOR C.NUTRESA CON RECO NÂ° 2814 POR FINALIZACION DEL EVENTO --- SIN NOVEDAD"/>
    <s v="P"/>
    <x v="167"/>
    <s v="CRD024955"/>
    <s v="3 EN 1 COLCAFE DOYPACK 192G"/>
    <s v="UND"/>
    <m/>
    <n v="10000000"/>
    <n v="10000000"/>
    <s v="0.000000"/>
    <n v="0"/>
    <s v="PER04262023"/>
    <x v="2"/>
    <s v="NUTRESA"/>
    <s v="BUEN"/>
    <d v="2023-04-26T00:00:00"/>
    <m/>
    <d v="2023-04-26T00:00:00"/>
    <m/>
    <s v="FSANCHEZ"/>
    <s v="2021-12-07 16:41:56.781446"/>
  </r>
  <r>
    <x v="408"/>
    <s v="PERE"/>
    <n v="25785"/>
    <s v="NUTRESA"/>
    <s v="NUTRESA - COMERCIAL NUTRESA SAS"/>
    <d v="2021-12-07T00:00:00"/>
    <s v="COMPLETADO"/>
    <s v="RECEPCIO"/>
    <n v="1"/>
    <s v="OTROS"/>
    <s v="FSANCHEZ"/>
    <s v="2021-12-07 16:45:25.558686"/>
    <n v="0"/>
    <n v="0"/>
    <s v="SE RECIBE MATERIAL DEL PROVEEDOR C.NUTRESA CON RECO NÂ° 2814 POR FINALIZACION DEL EVENTO --- SIN NOVEDAD"/>
    <s v="P"/>
    <x v="168"/>
    <s v="CRD024956"/>
    <s v="CAPPUCCINO COLCAFE VAINI DOYPACK130G 1"/>
    <s v="UND"/>
    <m/>
    <n v="10000000"/>
    <n v="10000000"/>
    <s v="0.000000"/>
    <n v="0"/>
    <s v="PER10272022"/>
    <x v="2"/>
    <s v="NUTRESA"/>
    <s v="BUEN"/>
    <d v="2022-10-27T00:00:00"/>
    <m/>
    <d v="2022-10-27T00:00:00"/>
    <m/>
    <s v="FSANCHEZ"/>
    <s v="2021-12-07 16:43:12.265553"/>
  </r>
  <r>
    <x v="409"/>
    <s v="PERE"/>
    <n v="25798"/>
    <s v="NUTRESA"/>
    <s v="NUTRESA - COMERCIAL NUTRESA SAS"/>
    <d v="2021-12-11T00:00:00"/>
    <s v="COMPLETADO"/>
    <s v="RECEPCIO"/>
    <n v="1"/>
    <s v="OTROS"/>
    <s v="FSANCHEZ"/>
    <s v="2021-12-11 09:15:15.062189"/>
    <n v="0"/>
    <n v="0"/>
    <s v="SE RECIBE MATERIAL DESDE EL CEDIS BOGOTA CON DESPACHO NÂ° 286431 --- SIN NOVEDAD"/>
    <s v="M"/>
    <x v="169"/>
    <s v="CRD024874"/>
    <s v="ESTUFA ROMERO - DORIA TE TRAE LO QUE TANTO QUERIAS"/>
    <s v="UND"/>
    <m/>
    <n v="30000000"/>
    <n v="30000000"/>
    <s v="0.000000"/>
    <n v="0"/>
    <n v="0"/>
    <x v="2"/>
    <s v="NUTRESA"/>
    <s v="BUEN"/>
    <m/>
    <m/>
    <m/>
    <m/>
    <s v="FSANCHEZ"/>
    <s v="2021-12-11 09:14:26.907471"/>
  </r>
  <r>
    <x v="410"/>
    <s v="PERE"/>
    <n v="25810"/>
    <s v="NUTRESA"/>
    <s v="NUTRESA - COMERCIAL NUTRESA SAS"/>
    <d v="2021-12-14T00:00:00"/>
    <s v="COMPLETADO"/>
    <s v="RECEPCIO"/>
    <n v="1"/>
    <s v="OTROS"/>
    <s v="FSANCHEZ"/>
    <s v="2021-12-14 16:34:37.244774"/>
    <n v="0"/>
    <n v="52800017822"/>
    <s v="SE RECIBE MATERIAL DEL PROVEEDOR IMPRESOS CON REMISION NÂ° 23795 --- SIN NOVEDAD"/>
    <s v="MP"/>
    <x v="19"/>
    <s v="CRD025008"/>
    <s v="MOVIL CAPPUCCINOS MAS BENEFICIOS"/>
    <s v="UND"/>
    <m/>
    <n v="1400000000"/>
    <n v="1400000000"/>
    <s v="0.000000"/>
    <n v="0"/>
    <n v="0"/>
    <x v="1"/>
    <s v="NUTRESA"/>
    <s v="BUEN"/>
    <m/>
    <m/>
    <m/>
    <m/>
    <s v="FSANCHEZ"/>
    <s v="2021-12-14 15:21:05.279255"/>
  </r>
  <r>
    <x v="411"/>
    <s v="PERE"/>
    <n v="25810"/>
    <s v="NUTRESA"/>
    <s v="NUTRESA - COMERCIAL NUTRESA SAS"/>
    <d v="2021-12-14T00:00:00"/>
    <s v="COMPLETADO"/>
    <s v="RECEPCIO"/>
    <n v="1"/>
    <s v="OTROS"/>
    <s v="FSANCHEZ"/>
    <s v="2021-12-14 16:34:37.244774"/>
    <n v="0"/>
    <n v="52800017822"/>
    <s v="SE RECIBE MATERIAL DEL PROVEEDOR IMPRESOS CON REMISION NÂ° 23795 --- SIN NOVEDAD"/>
    <s v="MP"/>
    <x v="21"/>
    <s v="CRD025010"/>
    <s v="AFICHE CAPPUCCINOS MAS BENEFICIOS"/>
    <s v="UND"/>
    <m/>
    <n v="900000000"/>
    <n v="900000000"/>
    <s v="0.000000"/>
    <n v="0"/>
    <n v="0"/>
    <x v="1"/>
    <s v="NUTRESA"/>
    <s v="BUEN"/>
    <m/>
    <m/>
    <m/>
    <m/>
    <s v="FSANCHEZ"/>
    <s v="2021-12-14 15:21:17.123869"/>
  </r>
  <r>
    <x v="412"/>
    <s v="PERE"/>
    <n v="25810"/>
    <s v="NUTRESA"/>
    <s v="NUTRESA - COMERCIAL NUTRESA SAS"/>
    <d v="2021-12-14T00:00:00"/>
    <s v="COMPLETADO"/>
    <s v="RECEPCIO"/>
    <n v="1"/>
    <s v="OTROS"/>
    <s v="FSANCHEZ"/>
    <s v="2021-12-14 16:34:37.244774"/>
    <n v="0"/>
    <n v="52800017822"/>
    <s v="SE RECIBE MATERIAL DEL PROVEEDOR IMPRESOS CON REMISION NÂ° 23795 --- SIN NOVEDAD"/>
    <s v="MP"/>
    <x v="20"/>
    <s v="CRD025009"/>
    <s v="CHISPA CAPPUCCINOS MAS BENEFICIOS"/>
    <s v="UND"/>
    <m/>
    <n v="700000000"/>
    <n v="700000000"/>
    <s v="0.000000"/>
    <n v="0"/>
    <n v="0"/>
    <x v="1"/>
    <s v="NUTRESA"/>
    <s v="BUEN"/>
    <m/>
    <m/>
    <m/>
    <m/>
    <s v="FSANCHEZ"/>
    <s v="2021-12-14 15:21:10.247139"/>
  </r>
  <r>
    <x v="413"/>
    <s v="PERE"/>
    <n v="25811"/>
    <s v="NUTRESA"/>
    <s v="NUTRESA - COMERCIAL NUTRESA SAS"/>
    <d v="2021-12-14T00:00:00"/>
    <s v="COMPLETADO"/>
    <s v="RECEPCIO"/>
    <n v="1"/>
    <s v="OTROS"/>
    <s v="FSANCHEZ"/>
    <s v="2021-12-14 16:34:53.553506"/>
    <n v="0"/>
    <n v="52800017822"/>
    <s v="SE RECIBE MATERIAL DEL PROVEEDOR IMPRESOS CON REMISION NÂ° 23789 --- SIN NOVEDAD"/>
    <s v="MP"/>
    <x v="18"/>
    <s v="CRD025002"/>
    <s v="CHISPA DOYPACK 3 EN1"/>
    <s v="UND"/>
    <m/>
    <n v="240000000"/>
    <n v="240000000"/>
    <s v="0.000000"/>
    <n v="0"/>
    <n v="0"/>
    <x v="2"/>
    <s v="NUTRESA"/>
    <s v="BUEN"/>
    <m/>
    <m/>
    <m/>
    <m/>
    <s v="FSANCHEZ"/>
    <s v="2021-12-14 15:28:02.035091"/>
  </r>
  <r>
    <x v="414"/>
    <s v="PERE"/>
    <n v="25811"/>
    <s v="NUTRESA"/>
    <s v="NUTRESA - COMERCIAL NUTRESA SAS"/>
    <d v="2021-12-14T00:00:00"/>
    <s v="COMPLETADO"/>
    <s v="RECEPCIO"/>
    <n v="1"/>
    <s v="OTROS"/>
    <s v="FSANCHEZ"/>
    <s v="2021-12-14 16:34:53.553506"/>
    <n v="0"/>
    <n v="52800017822"/>
    <s v="SE RECIBE MATERIAL DEL PROVEEDOR IMPRESOS CON REMISION NÂ° 23789 --- SIN NOVEDAD"/>
    <s v="MP"/>
    <x v="17"/>
    <s v="CRD025001"/>
    <s v="CHISPA DOYPACK CAPPUCCINO"/>
    <s v="UND"/>
    <m/>
    <n v="240000000"/>
    <n v="240000000"/>
    <s v="0.000000"/>
    <n v="0"/>
    <n v="0"/>
    <x v="2"/>
    <s v="NUTRESA"/>
    <s v="BUEN"/>
    <m/>
    <m/>
    <m/>
    <m/>
    <s v="FSANCHEZ"/>
    <s v="2021-12-14 15:27:49.388678"/>
  </r>
  <r>
    <x v="415"/>
    <s v="PERE"/>
    <n v="25820"/>
    <s v="NUTRESA"/>
    <s v="NUTRESA - COMERCIAL NUTRESA SAS"/>
    <d v="2021-12-15T00:00:00"/>
    <s v="COMPLETADO"/>
    <s v="RECEPCIO"/>
    <n v="1"/>
    <s v="OTROS"/>
    <s v="FSANCHEZ"/>
    <s v="2021-12-15 15:14:34.982611"/>
    <n v="0"/>
    <n v="348650876"/>
    <s v="SE RECIBE MATERIAL DEL PROVEEDOR MARQUILLAS CON DOCUMENTO NÂ° CRV-32507 --- SIN NOVEDAD"/>
    <s v="MP"/>
    <x v="26"/>
    <s v="CRD025006"/>
    <s v="AYUDAVENTAS BUBRUJAS CC"/>
    <s v="UND"/>
    <m/>
    <n v="78000000"/>
    <n v="78000000"/>
    <s v="0.000000"/>
    <n v="0"/>
    <n v="0"/>
    <x v="1"/>
    <s v="NUTRESA"/>
    <s v="BUEN"/>
    <m/>
    <m/>
    <m/>
    <m/>
    <s v="FSANCHEZ"/>
    <s v="2021-12-15 13:59:16.999406"/>
  </r>
  <r>
    <x v="416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07"/>
    <s v="CRD012718"/>
    <s v="TRADE GTA. FESTIVAL CHOCOLATE BS. 12X6"/>
    <s v="PAQ"/>
    <m/>
    <n v="202000000"/>
    <n v="202000000"/>
    <s v="0.000000"/>
    <n v="0"/>
    <s v="PER10202022"/>
    <x v="1"/>
    <s v="NUTRESA"/>
    <s v="BUEN"/>
    <d v="2022-10-20T00:00:00"/>
    <m/>
    <d v="2022-10-20T00:00:00"/>
    <m/>
    <s v="FSANCHEZ"/>
    <s v="2021-12-15 14:23:10.311183"/>
  </r>
  <r>
    <x v="417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0"/>
    <s v="CRD015482"/>
    <s v="TARRO JET CREMA"/>
    <s v="UND"/>
    <m/>
    <n v="101000000"/>
    <n v="101000000"/>
    <s v="0.000000"/>
    <n v="0"/>
    <s v="PER11242022"/>
    <x v="1"/>
    <s v="NUTRESA"/>
    <s v="BUEN"/>
    <d v="2022-11-24T00:00:00"/>
    <m/>
    <d v="2022-11-24T00:00:00"/>
    <m/>
    <s v="FSANCHEZ"/>
    <s v="2021-12-15 14:24:19.607558"/>
  </r>
  <r>
    <x v="418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1"/>
    <s v="CRD022568"/>
    <s v="PLEG. COLCAFE CLASICO 1.5G X 48 SOBRES"/>
    <s v="UND"/>
    <m/>
    <n v="60000000"/>
    <n v="60000000"/>
    <s v="0.000000"/>
    <n v="0"/>
    <s v="PER11132023"/>
    <x v="1"/>
    <s v="NUTRESA"/>
    <s v="BUEN"/>
    <d v="2023-11-13T00:00:00"/>
    <m/>
    <d v="2023-11-13T00:00:00"/>
    <m/>
    <s v="FSANCHEZ"/>
    <s v="2021-12-15 14:25:11.929346"/>
  </r>
  <r>
    <x v="419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2"/>
    <s v="CRD000245"/>
    <s v="BOLSA CAFE SELLO ROJO 500GR"/>
    <s v="UND"/>
    <m/>
    <n v="245000000"/>
    <n v="245000000"/>
    <s v="0.000000"/>
    <n v="0"/>
    <s v="PER07022022"/>
    <x v="1"/>
    <s v="NUTRESA"/>
    <s v="BUEN"/>
    <d v="2022-07-02T00:00:00"/>
    <m/>
    <d v="2022-07-02T00:00:00"/>
    <m/>
    <s v="FSANCHEZ"/>
    <s v="2021-12-15 14:17:31.409074"/>
  </r>
  <r>
    <x v="420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3"/>
    <s v="CRD013796"/>
    <s v="CAFE LA BASTILLA X125 GR"/>
    <s v="UND"/>
    <m/>
    <n v="736000000"/>
    <n v="736000000"/>
    <s v="0.000000"/>
    <n v="0"/>
    <s v="PER06012023"/>
    <x v="1"/>
    <s v="NUTRESA"/>
    <s v="BUEN"/>
    <d v="2023-06-01T00:00:00"/>
    <m/>
    <d v="2023-06-01T00:00:00"/>
    <m/>
    <s v="FSANCHEZ"/>
    <s v="2021-12-15 14:23:47.857212"/>
  </r>
  <r>
    <x v="421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4"/>
    <s v="CRD023441"/>
    <s v="MANI KRAKS LA ESPECIAL X12 UND X25G"/>
    <s v="UND"/>
    <m/>
    <n v="101000000"/>
    <n v="101000000"/>
    <s v="0.000000"/>
    <n v="0"/>
    <s v="PER11262022"/>
    <x v="1"/>
    <s v="NUTRESA"/>
    <s v="BUEN"/>
    <d v="2022-11-26T00:00:00"/>
    <m/>
    <d v="2022-11-26T00:00:00"/>
    <m/>
    <s v="FSANCHEZ"/>
    <s v="2021-12-15 14:26:04.693354"/>
  </r>
  <r>
    <x v="422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63"/>
    <s v="CRD025005"/>
    <s v="GTA. TOSH MIEL TACO 209G"/>
    <s v="UND"/>
    <m/>
    <n v="78000000"/>
    <n v="78000000"/>
    <s v="0.000000"/>
    <n v="0"/>
    <s v="PER08282022"/>
    <x v="1"/>
    <s v="NUTRESA"/>
    <s v="BUEN"/>
    <d v="2022-08-28T00:00:00"/>
    <m/>
    <d v="2022-08-28T00:00:00"/>
    <m/>
    <s v="FSANCHEZ"/>
    <s v="2021-12-15 14:27:39.769065"/>
  </r>
  <r>
    <x v="423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5"/>
    <s v="CRD003574"/>
    <s v="GTA FESTIVAL VAINILLA BS 12X6"/>
    <s v="UND"/>
    <m/>
    <n v="526000000"/>
    <n v="526000000"/>
    <s v="0.000000"/>
    <n v="0"/>
    <s v="PER10272022"/>
    <x v="1"/>
    <s v="NUTRESA"/>
    <s v="BUEN"/>
    <d v="2022-10-27T00:00:00"/>
    <m/>
    <d v="2022-10-27T00:00:00"/>
    <m/>
    <s v="FSANCHEZ"/>
    <s v="2021-12-15 14:18:32.380824"/>
  </r>
  <r>
    <x v="424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6"/>
    <s v="CRD003576"/>
    <s v="GTA FESTIVAL FRESA BS 12X6"/>
    <s v="UND"/>
    <m/>
    <n v="101000000"/>
    <n v="101000000"/>
    <s v="0.000000"/>
    <n v="0"/>
    <s v="PER10202022"/>
    <x v="1"/>
    <s v="NUTRESA"/>
    <s v="BUEN"/>
    <d v="2022-10-20T00:00:00"/>
    <m/>
    <d v="2022-10-20T00:00:00"/>
    <m/>
    <s v="FSANCHEZ"/>
    <s v="2021-12-15 14:18:58.24074"/>
  </r>
  <r>
    <x v="425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7"/>
    <s v="CRD024517"/>
    <s v="GLINA. JUMBO FLOW BLANCA X18G"/>
    <s v="UND"/>
    <m/>
    <n v="101000000"/>
    <n v="101000000"/>
    <s v="0.000000"/>
    <n v="0"/>
    <s v="PER08072022"/>
    <x v="1"/>
    <s v="NUTRESA"/>
    <s v="BUEN"/>
    <d v="2022-08-07T00:00:00"/>
    <m/>
    <d v="2022-08-07T00:00:00"/>
    <m/>
    <s v="FSANCHEZ"/>
    <s v="2021-12-15 14:27:09.153154"/>
  </r>
  <r>
    <x v="426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8"/>
    <s v="CRD009805"/>
    <s v="CHOCOLATE TESALIA X 250 G"/>
    <s v="UND"/>
    <m/>
    <n v="101000000"/>
    <n v="101000000"/>
    <s v="0.000000"/>
    <n v="0"/>
    <s v="PER11132023"/>
    <x v="1"/>
    <s v="NUTRESA"/>
    <s v="BUEN"/>
    <d v="2023-11-13T00:00:00"/>
    <m/>
    <d v="2023-11-13T00:00:00"/>
    <m/>
    <s v="FSANCHEZ"/>
    <s v="2021-12-15 14:21:44.365246"/>
  </r>
  <r>
    <x v="427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9"/>
    <s v="CRD003973"/>
    <s v="1001482 SPAGUETTI MONTICELLO X 500 GR"/>
    <s v="UND"/>
    <m/>
    <n v="101000000"/>
    <n v="101000000"/>
    <s v="0.000000"/>
    <n v="0"/>
    <s v="PER05172023"/>
    <x v="1"/>
    <s v="NUTRESA"/>
    <s v="BUEN"/>
    <d v="2023-05-17T00:00:00"/>
    <m/>
    <d v="2023-05-17T00:00:00"/>
    <m/>
    <s v="FSANCHEZ"/>
    <s v="2021-12-15 14:20:39.663645"/>
  </r>
  <r>
    <x v="428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80"/>
    <s v="CRD003605"/>
    <s v="1001602 GTA. SALTIN NOEL ROJO TC. X5"/>
    <s v="UND"/>
    <m/>
    <n v="630000000"/>
    <n v="630000000"/>
    <s v="0.000000"/>
    <n v="0"/>
    <s v="PER08282022"/>
    <x v="1"/>
    <s v="NUTRESA"/>
    <s v="BUEN"/>
    <d v="2022-08-28T00:00:00"/>
    <m/>
    <d v="2022-08-28T00:00:00"/>
    <m/>
    <s v="FSANCHEZ"/>
    <s v="2021-12-15 14:19:39.290336"/>
  </r>
  <r>
    <x v="429"/>
    <s v="PERE"/>
    <n v="25832"/>
    <s v="NUTRESA"/>
    <s v="NUTRESA - COMERCIAL NUTRESA SAS"/>
    <d v="2021-12-16T00:00:00"/>
    <s v="COMPLETADO"/>
    <s v="RECEPCIO"/>
    <n v="1"/>
    <s v="OTROS"/>
    <s v="FSANCHEZ"/>
    <s v="2021-12-16 16:17:07.59807"/>
    <n v="0"/>
    <n v="0"/>
    <s v="DEV DEL PDV EXITO PEREIRA CON RECO NÂ° 75669 POR FINALIZACION DEL EVENTO --- SIN NOVEDAD"/>
    <s v="ME"/>
    <x v="160"/>
    <s v="CRD022897"/>
    <s v="MUEBLE GENERICO BENET AU 2021"/>
    <s v="UND"/>
    <m/>
    <n v="1000000"/>
    <n v="1000000"/>
    <s v="0.000000"/>
    <n v="0"/>
    <n v="0"/>
    <x v="0"/>
    <s v="BPO"/>
    <s v="BUEN"/>
    <m/>
    <m/>
    <m/>
    <m/>
    <s v="FSANCHEZ"/>
    <s v="2021-12-16 16:12:57.204533"/>
  </r>
  <r>
    <x v="430"/>
    <s v="PERE"/>
    <n v="25839"/>
    <s v="NUTRESA"/>
    <s v="NUTRESA - COMERCIAL NUTRESA SAS"/>
    <d v="2021-12-17T00:00:00"/>
    <s v="COMPLETADO"/>
    <s v="RECEPCIO"/>
    <n v="1"/>
    <s v="OTROS"/>
    <s v="FSANCHEZ"/>
    <s v="2021-12-17 14:27:21.914921"/>
    <n v="0"/>
    <n v="332043768"/>
    <s v="SE RECIBE MATERIAL DEL PROVEEDOR PAPELCARD CON REMISION NÂ° 2021/1665-1664 --- SIN NOVEDAD"/>
    <s v="MP"/>
    <x v="37"/>
    <s v="CRD025021"/>
    <s v="CHISPA COLCAFE 3 EN 1 MAS CREMOSO"/>
    <s v="UND"/>
    <m/>
    <n v="200000000"/>
    <n v="200000000"/>
    <s v="0.000000"/>
    <n v="0"/>
    <n v="0"/>
    <x v="2"/>
    <s v="NUTRESA"/>
    <s v="BUEN"/>
    <m/>
    <m/>
    <m/>
    <m/>
    <s v="FSANCHEZ"/>
    <s v="2021-12-17 14:05:19.479004"/>
  </r>
  <r>
    <x v="431"/>
    <s v="PERE"/>
    <n v="25839"/>
    <s v="NUTRESA"/>
    <s v="NUTRESA - COMERCIAL NUTRESA SAS"/>
    <d v="2021-12-17T00:00:00"/>
    <s v="COMPLETADO"/>
    <s v="RECEPCIO"/>
    <n v="1"/>
    <s v="OTROS"/>
    <s v="FSANCHEZ"/>
    <s v="2021-12-17 14:27:21.914921"/>
    <n v="0"/>
    <n v="332043768"/>
    <s v="SE RECIBE MATERIAL DEL PROVEEDOR PAPELCARD CON REMISION NÂ° 2021/1665-1664 --- SIN NOVEDAD"/>
    <s v="MP"/>
    <x v="67"/>
    <s v="CRD025020"/>
    <s v="ROMPETRAFICO COLCAFE 3 EN 1 MAS CREMOSO"/>
    <s v="UND"/>
    <m/>
    <n v="120000000"/>
    <n v="120000000"/>
    <s v="0.000000"/>
    <n v="0"/>
    <n v="0"/>
    <x v="2"/>
    <s v="NUTRESA"/>
    <s v="BUEN"/>
    <m/>
    <m/>
    <m/>
    <m/>
    <s v="FSANCHEZ"/>
    <s v="2021-12-17 14:05:13.586368"/>
  </r>
  <r>
    <x v="432"/>
    <s v="PERE"/>
    <n v="25842"/>
    <s v="NUTRESA"/>
    <s v="NUTRESA - COMERCIAL NUTRESA SAS"/>
    <d v="2021-12-17T00:00:00"/>
    <s v="COMPLETADO"/>
    <s v="RECEPCIO"/>
    <n v="1"/>
    <s v="OTROS"/>
    <s v="FSANCHEZ"/>
    <s v="2021-12-17 14:27:41.730947"/>
    <n v="0"/>
    <n v="0"/>
    <s v="DEV DEL PDV SANTILLANA DISTRIBUCIONES CON RECO NÂ° 2812 POR FINALIZACION DEL EVENTO --- SIN NOVEDAD"/>
    <s v="ME"/>
    <x v="35"/>
    <s v="ACT000225"/>
    <s v="NEVERA HACEB TD"/>
    <s v="UND"/>
    <s v="ACT000225"/>
    <n v="1000000"/>
    <n v="1000000"/>
    <s v="0.000000"/>
    <n v="129807"/>
    <n v="0"/>
    <x v="1"/>
    <s v="NUTRESA"/>
    <s v="BUEN"/>
    <m/>
    <m/>
    <m/>
    <m/>
    <s v="FSANCHEZ"/>
    <s v="2021-12-17 14:23:39.90205"/>
  </r>
  <r>
    <x v="433"/>
    <s v="PERE"/>
    <n v="25852"/>
    <s v="NUTRESA"/>
    <s v="NUTRESA - COMERCIAL NUTRESA SAS"/>
    <d v="2021-12-18T00:00:00"/>
    <s v="COMPLETADO"/>
    <s v="RECEPCIO"/>
    <n v="1"/>
    <s v="OTROS"/>
    <s v="FSANCHEZ"/>
    <s v="2021-12-18 10:57:39.255133"/>
    <n v="0"/>
    <n v="300002755115"/>
    <s v="SE RECIBE MATERIAL DEL PROVEEDOR OPEN MIND CON DOCUMENTO NÂ° 2992 --- SIN NOVEDAD"/>
    <s v="ME"/>
    <x v="33"/>
    <s v="CRD025023"/>
    <s v="BALCON COLCAFE 3 EN 1 MAS CREMOSO"/>
    <s v="UND"/>
    <m/>
    <n v="80000000"/>
    <n v="80000000"/>
    <s v="0.000000"/>
    <n v="0"/>
    <n v="0"/>
    <x v="2"/>
    <s v="NUTRESA"/>
    <s v="BUEN"/>
    <m/>
    <m/>
    <m/>
    <m/>
    <s v="FSANCHEZ"/>
    <s v="2021-12-18 10:48:32.630549"/>
  </r>
  <r>
    <x v="409"/>
    <s v="PERE"/>
    <n v="25855"/>
    <s v="NUTRESA"/>
    <s v="NUTRESA - COMERCIAL NUTRESA SAS"/>
    <d v="2021-12-20T00:00:00"/>
    <s v="COMPLETADO"/>
    <s v="RECEPCIO"/>
    <n v="1"/>
    <s v="OTROS"/>
    <s v="FSANCHEZ"/>
    <s v="2021-12-20 08:13:57.880978"/>
    <n v="0"/>
    <n v="0"/>
    <s v="DEV DEL PDV C.NUTRESA CON RECO NÂ° 2830 POR SOLICITUD DE JULIANA BETANCUR --- LA ESTUFA SE RECOGE CON LAS OBSERVACIONES DE AVERIA POR VIDRIO ROTO"/>
    <s v="M"/>
    <x v="169"/>
    <s v="CRD024874"/>
    <s v="ESTUFA ROMERO - DORIA TE TRAE LO QUE TANTO QUERIAS"/>
    <s v="UND"/>
    <m/>
    <n v="1000000"/>
    <n v="1000000"/>
    <s v="0.000000"/>
    <n v="0"/>
    <n v="0"/>
    <x v="2"/>
    <s v="NUTRESA"/>
    <s v="AVER"/>
    <m/>
    <m/>
    <m/>
    <m/>
    <s v="FSANCHEZ"/>
    <s v="2021-12-20 08:12:35.554807"/>
  </r>
  <r>
    <x v="434"/>
    <s v="PERE"/>
    <n v="25863"/>
    <s v="NUTRESA"/>
    <s v="NUTRESA - COMERCIAL NUTRESA SAS"/>
    <d v="2021-12-20T00:00:00"/>
    <s v="COMPLETADO"/>
    <s v="RECEPCIO"/>
    <n v="1"/>
    <s v="OTROS"/>
    <s v="FSANCHEZ"/>
    <s v="2021-12-20 16:23:53.776283"/>
    <n v="0"/>
    <n v="0"/>
    <s v="SE RECIBE MATERIAL DEL PROVEEDOR INNERCIA CON REMISION NÂ° 38957 --- SIN NOVEDAD"/>
    <s v="ME"/>
    <x v="42"/>
    <s v="CRD025041"/>
    <s v="EXHIBIDOR DE MOSTRADOR INFUSIONES TOSH"/>
    <s v="UND"/>
    <m/>
    <n v="12000000"/>
    <n v="12000000"/>
    <s v="0.000000"/>
    <n v="0"/>
    <n v="0"/>
    <x v="2"/>
    <s v="NUTRESA"/>
    <s v="BUEN"/>
    <m/>
    <m/>
    <m/>
    <m/>
    <s v="FSANCHEZ"/>
    <s v="2021-12-20 16:23:22.486496"/>
  </r>
  <r>
    <x v="435"/>
    <s v="PERE"/>
    <n v="25863"/>
    <s v="NUTRESA"/>
    <s v="NUTRESA - COMERCIAL NUTRESA SAS"/>
    <d v="2021-12-20T00:00:00"/>
    <s v="COMPLETADO"/>
    <s v="RECEPCIO"/>
    <n v="1"/>
    <s v="OTROS"/>
    <s v="FSANCHEZ"/>
    <s v="2021-12-20 16:23:53.776283"/>
    <n v="0"/>
    <n v="0"/>
    <s v="SE RECIBE MATERIAL DEL PROVEEDOR INNERCIA CON REMISION NÂ° 38957 --- SIN NOVEDAD"/>
    <s v="ME"/>
    <x v="68"/>
    <s v="CRD025040"/>
    <s v="SHIPPER INFUSIONES TOSH"/>
    <s v="UND"/>
    <m/>
    <n v="6000000"/>
    <n v="6000000"/>
    <s v="0.000000"/>
    <n v="0"/>
    <n v="0"/>
    <x v="2"/>
    <s v="NUTRESA"/>
    <s v="BUEN"/>
    <m/>
    <m/>
    <m/>
    <m/>
    <s v="FSANCHEZ"/>
    <s v="2021-12-20 16:23:16.177679"/>
  </r>
  <r>
    <x v="436"/>
    <s v="PERE"/>
    <n v="25869"/>
    <s v="NUTRESA"/>
    <s v="NUTRESA - COMERCIAL NUTRESA SAS"/>
    <d v="2021-12-22T00:00:00"/>
    <s v="COMPLETADO"/>
    <s v="RECEPCIO"/>
    <n v="1"/>
    <s v="OTROS"/>
    <m/>
    <s v="2021-12-22 11:09:58.797842"/>
    <n v="0"/>
    <n v="0"/>
    <s v="SE RECOGE MATERIAL EN C.NUTRESA CON RECO NÂ° 2832 POR FINALIZACION DEL EVENTO --- SIN NOVEDAD"/>
    <s v="P"/>
    <x v="66"/>
    <s v="CRD025039"/>
    <s v="SALVAO DE TRIGO PULVERIZA DORIA X 300G"/>
    <s v="UND"/>
    <m/>
    <n v="60000000"/>
    <n v="60000000"/>
    <s v="0.000000"/>
    <n v="0"/>
    <s v="PER10192022"/>
    <x v="2"/>
    <s v="NUTRESA"/>
    <s v="BUEN"/>
    <d v="2022-10-19T00:00:00"/>
    <m/>
    <d v="2022-10-19T00:00:00"/>
    <m/>
    <s v="FSANCHEZ"/>
    <s v="2021-12-22 11:10:56.097356"/>
  </r>
  <r>
    <x v="437"/>
    <s v="VILA"/>
    <n v="1528"/>
    <s v="NUTRESA"/>
    <s v="NUTRESA - COMERCIAL NUTRESA SAS"/>
    <d v="2021-11-30T00:00:00"/>
    <s v="COMPLETADO"/>
    <s v="RECEPCIO"/>
    <n v="1"/>
    <s v="OTROS"/>
    <s v="LJVELASQUEZ"/>
    <s v="2021-11-30 14:59:38.341219"/>
    <n v="0"/>
    <n v="0"/>
    <s v="SE RECIBE MATERIAL DE PROVEDOR DISEÃ‘O &amp; PRODUCCION S.A.S REM-21456 REPOSICION SN"/>
    <s v="MP"/>
    <x v="43"/>
    <s v="CRD024946"/>
    <s v="ESTANDARTE TV NAVIDAD CARULLA EN FAMILIA"/>
    <s v="UND"/>
    <m/>
    <n v="1000000"/>
    <n v="1000000"/>
    <s v="0.000000"/>
    <n v="0"/>
    <n v="0"/>
    <x v="0"/>
    <s v="NUTRESA"/>
    <s v="BUEN"/>
    <m/>
    <m/>
    <m/>
    <m/>
    <s v="LJVELASQUEZ"/>
    <s v="2021-11-30 14:58:44.225401"/>
  </r>
  <r>
    <x v="438"/>
    <s v="VILA"/>
    <n v="1529"/>
    <s v="NUTRESA"/>
    <s v="NUTRESA - COMERCIAL NUTRESA SAS"/>
    <d v="2021-12-02T00:00:00"/>
    <s v="COMPLETADO"/>
    <s v="RECEPCIO"/>
    <n v="1"/>
    <s v="OTROS"/>
    <s v="LJVELASQUEZ"/>
    <s v="2021-12-02 10:14:04.778942"/>
    <n v="0"/>
    <n v="0"/>
    <s v="SE RECIBE MATERIAL DE PROVEDOR PLASTIPACK REM-83119 SN"/>
    <s v="M"/>
    <x v="7"/>
    <s v="CRD024849"/>
    <s v="BOLSA TROQUELADA PIGMENTADA IMPRESA - BOLSA NAVIDAD"/>
    <s v="UND"/>
    <m/>
    <n v="10000000000"/>
    <n v="10000000000"/>
    <s v="0.000000"/>
    <n v="0"/>
    <n v="0"/>
    <x v="2"/>
    <s v="NUTRESA"/>
    <s v="BUEN"/>
    <m/>
    <m/>
    <m/>
    <m/>
    <s v="LJVELASQUEZ"/>
    <s v="2021-12-02 10:13:13.011818"/>
  </r>
  <r>
    <x v="439"/>
    <s v="VILA"/>
    <n v="1530"/>
    <s v="NUTRESA"/>
    <s v="NUTRESA - COMERCIAL NUTRESA SAS"/>
    <d v="2021-12-03T00:00:00"/>
    <s v="COMPLETADO"/>
    <s v="RECEPCIO"/>
    <n v="1"/>
    <s v="OTROS"/>
    <s v="LJVELASQUEZ"/>
    <s v="2021-12-03 09:32:37.051712"/>
    <n v="0"/>
    <n v="0"/>
    <s v="SE RECIBE MATERIAL DE PROVEDOR INDUCARTON OC-4502190132 SN"/>
    <s v="MP"/>
    <x v="181"/>
    <s v="CRD025018"/>
    <s v="PLEGADIZA Y CARTON FABRICA DE ANCHETAS NAVIDAD X 1 UND"/>
    <s v="UND"/>
    <m/>
    <n v="30000000"/>
    <n v="30000000"/>
    <s v="0.000000"/>
    <n v="0"/>
    <n v="0"/>
    <x v="1"/>
    <s v="NUTRESA"/>
    <s v="BUEN"/>
    <m/>
    <m/>
    <m/>
    <m/>
    <s v="LJVELASQUEZ"/>
    <s v="2021-12-03 09:31:35.126338"/>
  </r>
  <r>
    <x v="440"/>
    <s v="VILA"/>
    <n v="1530"/>
    <s v="NUTRESA"/>
    <s v="NUTRESA - COMERCIAL NUTRESA SAS"/>
    <d v="2021-12-03T00:00:00"/>
    <s v="COMPLETADO"/>
    <s v="RECEPCIO"/>
    <n v="1"/>
    <s v="OTROS"/>
    <s v="LJVELASQUEZ"/>
    <s v="2021-12-03 09:32:37.051712"/>
    <n v="0"/>
    <n v="0"/>
    <s v="SE RECIBE MATERIAL DE PROVEDOR INDUCARTON OC-4502190132 SN"/>
    <s v="MP"/>
    <x v="69"/>
    <s v="CRD022322"/>
    <s v="PLEGADIZA Y CARTON FABRICA DE ANCHETAS NAVIDAD PAQ X 40 UND"/>
    <s v="PAQ"/>
    <m/>
    <n v="13000000"/>
    <n v="13000000"/>
    <s v="0.000000"/>
    <n v="0"/>
    <n v="0"/>
    <x v="1"/>
    <s v="NUTRESA"/>
    <s v="BUEN"/>
    <m/>
    <m/>
    <m/>
    <m/>
    <s v="LJVELASQUEZ"/>
    <s v="2021-12-03 09:31:14.187225"/>
  </r>
  <r>
    <x v="441"/>
    <s v="VILA"/>
    <n v="1531"/>
    <s v="NUTRESA"/>
    <s v="NUTRESA - COMERCIAL NUTRESA SAS"/>
    <d v="2021-12-03T00:00:00"/>
    <s v="COMPLETADO"/>
    <s v="RECEPCIO"/>
    <n v="1"/>
    <s v="OTROS"/>
    <s v="LJVELASQUEZ"/>
    <s v="2021-12-03 09:36:20.729364"/>
    <n v="0"/>
    <n v="0"/>
    <s v="SE RECIBE MATERIAL DE PROVEDOR INDUCARTON OC-4502193056 SN"/>
    <s v="MP"/>
    <x v="69"/>
    <s v="CRD022322"/>
    <s v="PLEGADIZA Y CARTON FABRICA DE ANCHETAS NAVIDAD PAQ X 40 UND"/>
    <s v="PAQ"/>
    <m/>
    <n v="5000000"/>
    <n v="5000000"/>
    <s v="0.000000"/>
    <n v="0"/>
    <n v="0"/>
    <x v="2"/>
    <s v="NUTRESA"/>
    <s v="BUEN"/>
    <m/>
    <m/>
    <m/>
    <m/>
    <s v="LJVELASQUEZ"/>
    <s v="2021-12-03 09:35:36.329081"/>
  </r>
  <r>
    <x v="442"/>
    <s v="VILA"/>
    <n v="1535"/>
    <s v="NUTRESA"/>
    <s v="NUTRESA - COMERCIAL NUTRESA SAS"/>
    <d v="2021-12-11T00:00:00"/>
    <s v="COMPLETADO"/>
    <s v="RECEPCIO"/>
    <n v="1"/>
    <s v="OTROS"/>
    <s v="LJVELASQUEZ"/>
    <s v="2021-12-11 10:10:18.865237"/>
    <n v="0"/>
    <n v="0"/>
    <s v="SE RECIBE MATERIAL DE PROVEDOR OPEN MIND OC-4502222981 SN"/>
    <s v="ME"/>
    <x v="25"/>
    <s v="CRD024971"/>
    <s v="EXHIBIDOR ENLATADOS TIENDAS"/>
    <s v="UND"/>
    <m/>
    <n v="52000000"/>
    <n v="52000000"/>
    <s v="0.000000"/>
    <n v="0"/>
    <n v="0"/>
    <x v="1"/>
    <s v="NUTRESA"/>
    <s v="BUEN"/>
    <m/>
    <m/>
    <m/>
    <m/>
    <s v="LJVELASQUEZ"/>
    <s v="2021-12-11 10:09:37.808316"/>
  </r>
  <r>
    <x v="443"/>
    <s v="VILA"/>
    <n v="1539"/>
    <s v="NUTRESA"/>
    <s v="NUTRESA - COMERCIAL NUTRESA SAS"/>
    <d v="2021-12-14T00:00:00"/>
    <s v="COMPLETADO"/>
    <s v="RECEPCIO"/>
    <n v="1"/>
    <s v="OTROS"/>
    <s v="LJVELASQUEZ"/>
    <s v="2021-12-14 10:22:18.505554"/>
    <n v="0"/>
    <n v="0"/>
    <s v="SE RECIBE MATERIAL DE PROVEDOR IMPRESOS REM-23783 SN"/>
    <s v="MP"/>
    <x v="17"/>
    <s v="CRD025001"/>
    <s v="CHISPA DOYPACK CAPPUCCINO"/>
    <s v="UND"/>
    <m/>
    <n v="100000000"/>
    <n v="100000000"/>
    <s v="0.000000"/>
    <n v="0"/>
    <n v="0"/>
    <x v="2"/>
    <s v="NUTRESA"/>
    <s v="BUEN"/>
    <m/>
    <m/>
    <m/>
    <m/>
    <s v="LJVELASQUEZ"/>
    <s v="2021-12-14 10:21:09.444508"/>
  </r>
  <r>
    <x v="444"/>
    <s v="VILA"/>
    <n v="1539"/>
    <s v="NUTRESA"/>
    <s v="NUTRESA - COMERCIAL NUTRESA SAS"/>
    <d v="2021-12-14T00:00:00"/>
    <s v="COMPLETADO"/>
    <s v="RECEPCIO"/>
    <n v="1"/>
    <s v="OTROS"/>
    <s v="LJVELASQUEZ"/>
    <s v="2021-12-14 10:22:18.505554"/>
    <n v="0"/>
    <n v="0"/>
    <s v="SE RECIBE MATERIAL DE PROVEDOR IMPRESOS REM-23783 SN"/>
    <s v="MP"/>
    <x v="18"/>
    <s v="CRD025002"/>
    <s v="CHISPA DOYPACK 3 EN1"/>
    <s v="UND"/>
    <m/>
    <n v="100000000"/>
    <n v="100000000"/>
    <s v="0.000000"/>
    <n v="0"/>
    <n v="0"/>
    <x v="2"/>
    <s v="NUTRESA"/>
    <s v="BUEN"/>
    <m/>
    <m/>
    <m/>
    <m/>
    <s v="LJVELASQUEZ"/>
    <s v="2021-12-14 10:21:22.331133"/>
  </r>
  <r>
    <x v="445"/>
    <s v="VILA"/>
    <n v="1540"/>
    <s v="NUTRESA"/>
    <s v="NUTRESA - COMERCIAL NUTRESA SAS"/>
    <d v="2021-12-14T00:00:00"/>
    <s v="COMPLETADO"/>
    <s v="RECEPCIO"/>
    <n v="1"/>
    <s v="OTROS"/>
    <s v="LJVELASQUEZ"/>
    <s v="2021-12-14 10:30:10.942474"/>
    <n v="0"/>
    <n v="0"/>
    <s v="SE RECIBE MATERIAL DE PROVEDOR IMPRESOS REM-23797 SN"/>
    <s v="MP"/>
    <x v="21"/>
    <s v="CRD025010"/>
    <s v="AFICHE CAPPUCCINOS MAS BENEFICIOS"/>
    <s v="UND"/>
    <m/>
    <n v="100000000"/>
    <n v="100000000"/>
    <s v="0.000000"/>
    <n v="0"/>
    <n v="0"/>
    <x v="1"/>
    <s v="NUTRESA"/>
    <s v="BUEN"/>
    <m/>
    <m/>
    <m/>
    <m/>
    <s v="LJVELASQUEZ"/>
    <s v="2021-12-14 10:29:04.837142"/>
  </r>
  <r>
    <x v="446"/>
    <s v="VILA"/>
    <n v="1540"/>
    <s v="NUTRESA"/>
    <s v="NUTRESA - COMERCIAL NUTRESA SAS"/>
    <d v="2021-12-14T00:00:00"/>
    <s v="COMPLETADO"/>
    <s v="RECEPCIO"/>
    <n v="1"/>
    <s v="OTROS"/>
    <s v="LJVELASQUEZ"/>
    <s v="2021-12-14 10:30:10.942474"/>
    <n v="0"/>
    <n v="0"/>
    <s v="SE RECIBE MATERIAL DE PROVEDOR IMPRESOS REM-23797 SN"/>
    <s v="MP"/>
    <x v="20"/>
    <s v="CRD025009"/>
    <s v="CHISPA CAPPUCCINOS MAS BENEFICIOS"/>
    <s v="UND"/>
    <m/>
    <n v="150000000"/>
    <n v="150000000"/>
    <s v="0.000000"/>
    <n v="0"/>
    <n v="0"/>
    <x v="1"/>
    <s v="NUTRESA"/>
    <s v="BUEN"/>
    <m/>
    <m/>
    <m/>
    <m/>
    <s v="LJVELASQUEZ"/>
    <s v="2021-12-14 10:28:56.384833"/>
  </r>
  <r>
    <x v="447"/>
    <s v="VILA"/>
    <n v="1540"/>
    <s v="NUTRESA"/>
    <s v="NUTRESA - COMERCIAL NUTRESA SAS"/>
    <d v="2021-12-14T00:00:00"/>
    <s v="COMPLETADO"/>
    <s v="RECEPCIO"/>
    <n v="1"/>
    <s v="OTROS"/>
    <s v="LJVELASQUEZ"/>
    <s v="2021-12-14 10:30:10.942474"/>
    <n v="0"/>
    <n v="0"/>
    <s v="SE RECIBE MATERIAL DE PROVEDOR IMPRESOS REM-23797 SN"/>
    <s v="MP"/>
    <x v="19"/>
    <s v="CRD025008"/>
    <s v="MOVIL CAPPUCCINOS MAS BENEFICIOS"/>
    <s v="UND"/>
    <m/>
    <n v="100000000"/>
    <n v="100000000"/>
    <s v="0.000000"/>
    <n v="0"/>
    <n v="0"/>
    <x v="1"/>
    <s v="NUTRESA"/>
    <s v="BUEN"/>
    <m/>
    <m/>
    <m/>
    <m/>
    <s v="LJVELASQUEZ"/>
    <s v="2021-12-14 10:28:46.255945"/>
  </r>
  <r>
    <x v="448"/>
    <s v="VILA"/>
    <n v="1541"/>
    <s v="NUTRESA"/>
    <s v="NUTRESA - COMERCIAL NUTRESA SAS"/>
    <d v="2021-12-17T00:00:00"/>
    <s v="COMPLETADO"/>
    <s v="RECEPCIO"/>
    <n v="1"/>
    <s v="OTROS"/>
    <s v="LJVELASQUEZ"/>
    <s v="2021-12-17 11:19:44.593228"/>
    <n v="0"/>
    <n v="0"/>
    <s v="SE RECIBE MATERIAL DE PROVEDOR PAPELCARD REM-2021-1657 SN"/>
    <s v="MP"/>
    <x v="37"/>
    <s v="CRD025021"/>
    <s v="CHISPA COLCAFE 3 EN 1 MAS CREMOSO"/>
    <s v="UND"/>
    <m/>
    <n v="77000000"/>
    <n v="77000000"/>
    <s v="0.000000"/>
    <n v="0"/>
    <n v="0"/>
    <x v="2"/>
    <s v="NUTRESA"/>
    <s v="BUEN"/>
    <m/>
    <m/>
    <m/>
    <m/>
    <s v="LJVELASQUEZ"/>
    <s v="2021-12-17 11:18:14.888429"/>
  </r>
  <r>
    <x v="449"/>
    <s v="VILA"/>
    <n v="1541"/>
    <s v="NUTRESA"/>
    <s v="NUTRESA - COMERCIAL NUTRESA SAS"/>
    <d v="2021-12-17T00:00:00"/>
    <s v="COMPLETADO"/>
    <s v="RECEPCIO"/>
    <n v="1"/>
    <s v="OTROS"/>
    <s v="LJVELASQUEZ"/>
    <s v="2021-12-17 11:19:44.593228"/>
    <n v="0"/>
    <n v="0"/>
    <s v="SE RECIBE MATERIAL DE PROVEDOR PAPELCARD REM-2021-1657 SN"/>
    <s v="MP"/>
    <x v="67"/>
    <s v="CRD025020"/>
    <s v="ROMPETRAFICO COLCAFE 3 EN 1 MAS CREMOSO"/>
    <s v="UND"/>
    <m/>
    <n v="30000000"/>
    <n v="30000000"/>
    <s v="0.000000"/>
    <n v="0"/>
    <n v="0"/>
    <x v="2"/>
    <s v="NUTRESA"/>
    <s v="BUEN"/>
    <m/>
    <m/>
    <m/>
    <m/>
    <s v="LJVELASQUEZ"/>
    <s v="2021-12-17 11:17:59.727747"/>
  </r>
  <r>
    <x v="450"/>
    <s v="VILA"/>
    <n v="1544"/>
    <s v="NUTRESA"/>
    <s v="NUTRESA - COMERCIAL NUTRESA SAS"/>
    <d v="2021-12-21T00:00:00"/>
    <s v="COMPLETADO"/>
    <s v="RECEPCIO"/>
    <n v="1"/>
    <s v="OTROS"/>
    <s v="LJVELASQUEZ"/>
    <s v="2021-12-21 16:32:21.202784"/>
    <n v="0"/>
    <n v="0"/>
    <s v="SE RECIBE MATERIAL DE PROVEDOR OPEN MIND OC-4502233169 SN"/>
    <s v="MP"/>
    <x v="65"/>
    <s v="CRD025022"/>
    <s v="MARCO DELIMITADOR COLCAFE 3 EN 1 MAS CREMOSO"/>
    <s v="UND"/>
    <m/>
    <n v="10000000"/>
    <n v="10000000"/>
    <s v="0.000000"/>
    <n v="0"/>
    <n v="0"/>
    <x v="2"/>
    <s v="NUTRESA"/>
    <s v="BUEN"/>
    <m/>
    <m/>
    <m/>
    <m/>
    <s v="LJVELASQUEZ"/>
    <s v="2021-12-21 16:14:30.854926"/>
  </r>
  <r>
    <x v="451"/>
    <s v="VILA"/>
    <n v="1544"/>
    <s v="NUTRESA"/>
    <s v="NUTRESA - COMERCIAL NUTRESA SAS"/>
    <d v="2021-12-21T00:00:00"/>
    <s v="COMPLETADO"/>
    <s v="RECEPCIO"/>
    <n v="1"/>
    <s v="OTROS"/>
    <s v="LJVELASQUEZ"/>
    <s v="2021-12-21 16:32:21.202784"/>
    <n v="0"/>
    <n v="0"/>
    <s v="SE RECIBE MATERIAL DE PROVEDOR OPEN MIND OC-4502233169 SN"/>
    <s v="ME"/>
    <x v="33"/>
    <s v="CRD025023"/>
    <s v="BALCON COLCAFE 3 EN 1 MAS CREMOSO"/>
    <s v="UND"/>
    <m/>
    <n v="22000000"/>
    <n v="22000000"/>
    <s v="0.000000"/>
    <n v="0"/>
    <n v="0"/>
    <x v="2"/>
    <s v="NUTRESA"/>
    <s v="BUEN"/>
    <m/>
    <m/>
    <m/>
    <m/>
    <s v="LJVELASQUEZ"/>
    <s v="2021-12-21 16:15:23.078513"/>
  </r>
  <r>
    <x v="452"/>
    <s v="VILA"/>
    <n v="1545"/>
    <s v="NUTRESA"/>
    <s v="NUTRESA - COMERCIAL NUTRESA SAS"/>
    <d v="2021-12-21T00:00:00"/>
    <s v="COMPLETADO"/>
    <s v="RECEPCIO"/>
    <n v="1"/>
    <s v="OTROS"/>
    <s v="LJVELASQUEZ"/>
    <s v="2021-12-21 16:36:33.022184"/>
    <n v="0"/>
    <n v="0"/>
    <s v="SE RECIBE MATERIAL DE PROVEDOR INNERCIA REM-38952 SNSE RECIBE MATERIAL DE PROVEDOR INNERCIA REM-38952 SN"/>
    <s v="ME"/>
    <x v="42"/>
    <s v="CRD025041"/>
    <s v="EXHIBIDOR DE MOSTRADOR INFUSIONES TOSH"/>
    <s v="UND"/>
    <m/>
    <n v="10000000"/>
    <n v="10000000"/>
    <s v="0.000000"/>
    <n v="0"/>
    <n v="0"/>
    <x v="2"/>
    <s v="NUTRESA"/>
    <s v="BUEN"/>
    <m/>
    <m/>
    <m/>
    <m/>
    <s v="LJVELASQUEZ"/>
    <s v="2021-12-21 16:35:41.996032"/>
  </r>
  <r>
    <x v="453"/>
    <s v="VILA"/>
    <n v="1546"/>
    <s v="NUTRESA"/>
    <s v="NUTRESA - COMERCIAL NUTRESA SAS"/>
    <d v="2021-12-21T00:00:00"/>
    <s v="COMPLETADO"/>
    <s v="RECEPCIO"/>
    <n v="1"/>
    <s v="OTROS"/>
    <s v="LJVELASQUEZ"/>
    <s v="2021-12-21 16:41:01.569713"/>
    <n v="0"/>
    <n v="0"/>
    <s v="SE RECIBE MATERIAL DE PROVEDOR INNERCIA REM-38949 SN"/>
    <s v="ME"/>
    <x v="42"/>
    <s v="CRD025041"/>
    <s v="EXHIBIDOR DE MOSTRADOR INFUSIONES TOSH"/>
    <s v="UND"/>
    <m/>
    <n v="69000000"/>
    <n v="69000000"/>
    <s v="0.000000"/>
    <n v="0"/>
    <n v="0"/>
    <x v="1"/>
    <s v="NUTRESA"/>
    <s v="BUEN"/>
    <m/>
    <m/>
    <m/>
    <m/>
    <s v="LJVELASQUEZ"/>
    <s v="2021-12-21 16:40:15.588544"/>
  </r>
  <r>
    <x v="454"/>
    <s v="VILA"/>
    <n v="1547"/>
    <s v="NUTRESA"/>
    <s v="NUTRESA - COMERCIAL NUTRESA SAS"/>
    <d v="2021-12-21T00:00:00"/>
    <s v="COMPLETADO"/>
    <s v="RECEPCIO"/>
    <n v="1"/>
    <s v="OTROS"/>
    <s v="LJVELASQUEZ"/>
    <s v="2021-12-21 16:45:07.466338"/>
    <n v="0"/>
    <n v="0"/>
    <s v="SE RECIBE MATERIAL DE PROVEDOR INNERCIA REM-38952 SN"/>
    <s v="ME"/>
    <x v="68"/>
    <s v="CRD025040"/>
    <s v="SHIPPER INFUSIONES TOSH"/>
    <s v="UND"/>
    <m/>
    <n v="2000000"/>
    <n v="2000000"/>
    <s v="0.000000"/>
    <n v="0"/>
    <n v="0"/>
    <x v="2"/>
    <s v="NUTRESA"/>
    <s v="BUEN"/>
    <m/>
    <m/>
    <m/>
    <m/>
    <s v="LJVELASQUEZ"/>
    <s v="2021-12-21 16:44:23.39118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TablaDinámica1" cacheId="76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4" indent="0" compact="0" compactData="0" multipleFieldFilters="0" rowHeaderCaption="INICIATIVA">
  <location ref="C10:I11" firstHeaderRow="0" firstDataRow="1" firstDataCol="4"/>
  <pivotFields count="3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19">
        <item x="0"/>
        <item m="1" x="9"/>
        <item m="1" x="8"/>
        <item m="1" x="14"/>
        <item m="1" x="1"/>
        <item m="1" x="2"/>
        <item m="1" x="12"/>
        <item m="1" x="7"/>
        <item m="1" x="18"/>
        <item m="1" x="16"/>
        <item m="1" x="6"/>
        <item m="1" x="5"/>
        <item m="1" x="11"/>
        <item m="1" x="4"/>
        <item m="1" x="3"/>
        <item m="1" x="13"/>
        <item m="1" x="15"/>
        <item m="1" x="17"/>
        <item m="1"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2"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DESPACHO/DIA" axis="axisRow" compact="0" outline="0" showAll="0" defaultSubtotal="0">
      <items count="14">
        <item m="1" x="7"/>
        <item m="1" x="10"/>
        <item m="1" x="2"/>
        <item m="1" x="11"/>
        <item m="1" x="4"/>
        <item m="1" x="5"/>
        <item m="1" x="13"/>
        <item m="1" x="12"/>
        <item x="0"/>
        <item m="1" x="1"/>
        <item m="1" x="3"/>
        <item m="1" x="6"/>
        <item m="1" x="8"/>
        <item m="1"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8">
        <item m="1" x="6"/>
        <item m="1" x="4"/>
        <item m="1" x="5"/>
        <item m="1" x="7"/>
        <item x="0"/>
        <item m="1" x="2"/>
        <item m="1" x="1"/>
        <item m="1" x="3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6"/>
    <field x="11"/>
    <field x="10"/>
    <field x="9"/>
  </rowFields>
  <rowItems count="1">
    <i>
      <x/>
      <x v="4"/>
      <x v="8"/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Ingresos" fld="17" baseField="7" baseItem="0" numFmtId="3"/>
    <dataField name="Asignado" fld="5" baseField="0" baseItem="0" numFmtId="3"/>
    <dataField name="% Ingresos" fld="33" baseField="0" baseItem="0" numFmtId="10"/>
  </dataFields>
  <formats count="55">
    <format dxfId="466">
      <pivotArea type="all" dataOnly="0" outline="0" fieldPosition="0"/>
    </format>
    <format dxfId="465">
      <pivotArea outline="0" fieldPosition="0">
        <references count="1">
          <reference field="4294967294" count="1">
            <x v="2"/>
          </reference>
        </references>
      </pivotArea>
    </format>
    <format dxfId="464">
      <pivotArea field="9" type="button" dataOnly="0" labelOnly="1" outline="0" axis="axisRow" fieldPosition="3"/>
    </format>
    <format dxfId="4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2">
      <pivotArea field="9" type="button" dataOnly="0" labelOnly="1" outline="0" axis="axisRow" fieldPosition="3"/>
    </format>
    <format dxfId="4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0">
      <pivotArea field="9" type="button" dataOnly="0" labelOnly="1" outline="0" axis="axisRow" fieldPosition="3"/>
    </format>
    <format dxfId="4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8">
      <pivotArea outline="0" fieldPosition="0">
        <references count="1">
          <reference field="4294967294" count="1">
            <x v="1"/>
          </reference>
        </references>
      </pivotArea>
    </format>
    <format dxfId="45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5">
      <pivotArea outline="0" collapsedLevelsAreSubtotals="1" fieldPosition="0"/>
    </format>
    <format dxfId="454">
      <pivotArea field="9" grandRow="1" outline="0" collapsedLevelsAreSubtotals="1" axis="axisRow" fieldPosition="3">
        <references count="1">
          <reference field="4294967294" count="1" selected="0">
            <x v="2"/>
          </reference>
        </references>
      </pivotArea>
    </format>
    <format dxfId="453">
      <pivotArea field="6" type="button" dataOnly="0" labelOnly="1" outline="0" axis="axisRow" fieldPosition="0"/>
    </format>
    <format dxfId="452">
      <pivotArea field="6" type="button" dataOnly="0" labelOnly="1" outline="0" axis="axisRow" fieldPosition="0"/>
    </format>
    <format dxfId="451">
      <pivotArea dataOnly="0" labelOnly="1" fieldPosition="0">
        <references count="1">
          <reference field="6" count="0"/>
        </references>
      </pivotArea>
    </format>
    <format dxfId="45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49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48">
      <pivotArea field="11" type="button" dataOnly="0" labelOnly="1" outline="0" axis="axisRow" fieldPosition="1"/>
    </format>
    <format dxfId="447">
      <pivotArea field="11" type="button" dataOnly="0" labelOnly="1" outline="0" axis="axisRow" fieldPosition="1"/>
    </format>
    <format dxfId="44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45">
      <pivotArea field="11" type="button" dataOnly="0" labelOnly="1" outline="0" axis="axisRow" fieldPosition="1"/>
    </format>
    <format dxfId="444">
      <pivotArea type="all" dataOnly="0" outline="0" fieldPosition="0"/>
    </format>
    <format dxfId="443">
      <pivotArea outline="0" collapsedLevelsAreSubtotals="1" fieldPosition="0"/>
    </format>
    <format dxfId="442">
      <pivotArea field="6" type="button" dataOnly="0" labelOnly="1" outline="0" axis="axisRow" fieldPosition="0"/>
    </format>
    <format dxfId="441">
      <pivotArea field="11" type="button" dataOnly="0" labelOnly="1" outline="0" axis="axisRow" fieldPosition="1"/>
    </format>
    <format dxfId="440">
      <pivotArea dataOnly="0" labelOnly="1" fieldPosition="0">
        <references count="1">
          <reference field="6" count="0"/>
        </references>
      </pivotArea>
    </format>
    <format dxfId="4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8">
      <pivotArea type="all" dataOnly="0" outline="0" fieldPosition="0"/>
    </format>
    <format dxfId="437">
      <pivotArea outline="0" collapsedLevelsAreSubtotals="1" fieldPosition="0"/>
    </format>
    <format dxfId="436">
      <pivotArea field="6" type="button" dataOnly="0" labelOnly="1" outline="0" axis="axisRow" fieldPosition="0"/>
    </format>
    <format dxfId="435">
      <pivotArea field="11" type="button" dataOnly="0" labelOnly="1" outline="0" axis="axisRow" fieldPosition="1"/>
    </format>
    <format dxfId="434">
      <pivotArea dataOnly="0" labelOnly="1" fieldPosition="0">
        <references count="1">
          <reference field="6" count="0"/>
        </references>
      </pivotArea>
    </format>
    <format dxfId="4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2">
      <pivotArea dataOnly="0" labelOnly="1" fieldPosition="0">
        <references count="1">
          <reference field="6" count="0"/>
        </references>
      </pivotArea>
    </format>
    <format dxfId="431">
      <pivotArea field="10" type="button" dataOnly="0" labelOnly="1" outline="0" axis="axisRow" fieldPosition="2"/>
    </format>
    <format dxfId="430">
      <pivotArea field="10" type="button" dataOnly="0" labelOnly="1" outline="0" axis="axisRow" fieldPosition="2"/>
    </format>
    <format dxfId="429">
      <pivotArea field="10" type="button" dataOnly="0" labelOnly="1" outline="0" axis="axisRow" fieldPosition="2"/>
    </format>
    <format dxfId="428">
      <pivotArea field="10" type="button" dataOnly="0" labelOnly="1" outline="0" axis="axisRow" fieldPosition="2"/>
    </format>
    <format dxfId="427">
      <pivotArea field="10" type="button" dataOnly="0" labelOnly="1" outline="0" axis="axisRow" fieldPosition="2"/>
    </format>
    <format dxfId="426">
      <pivotArea field="10" type="button" dataOnly="0" labelOnly="1" outline="0" axis="axisRow" fieldPosition="2"/>
    </format>
    <format dxfId="425">
      <pivotArea field="10" type="button" dataOnly="0" labelOnly="1" outline="0" axis="axisRow" fieldPosition="2"/>
    </format>
    <format dxfId="424">
      <pivotArea field="11" type="button" dataOnly="0" labelOnly="1" outline="0" axis="axisRow" fieldPosition="1"/>
    </format>
    <format dxfId="423">
      <pivotArea field="10" type="button" dataOnly="0" labelOnly="1" outline="0" axis="axisRow" fieldPosition="2"/>
    </format>
    <format dxfId="42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2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2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19">
      <pivotArea dataOnly="0" labelOnly="1" outline="0" fieldPosition="0">
        <references count="1">
          <reference field="6" count="0"/>
        </references>
      </pivotArea>
    </format>
    <format dxfId="418">
      <pivotArea type="all" dataOnly="0" outline="0" fieldPosition="0"/>
    </format>
    <format dxfId="417">
      <pivotArea outline="0" collapsedLevelsAreSubtotals="1" fieldPosition="0"/>
    </format>
    <format dxfId="416">
      <pivotArea field="6" type="button" dataOnly="0" labelOnly="1" outline="0" axis="axisRow" fieldPosition="0"/>
    </format>
    <format dxfId="415">
      <pivotArea field="11" type="button" dataOnly="0" labelOnly="1" outline="0" axis="axisRow" fieldPosition="1"/>
    </format>
    <format dxfId="414">
      <pivotArea field="10" type="button" dataOnly="0" labelOnly="1" outline="0" axis="axisRow" fieldPosition="2"/>
    </format>
    <format dxfId="413">
      <pivotArea dataOnly="0" labelOnly="1" outline="0" fieldPosition="0">
        <references count="1">
          <reference field="6" count="0"/>
        </references>
      </pivotArea>
    </format>
    <format dxfId="4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priority="407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408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Medium1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abla dinámica17" cacheId="54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B7:G339" firstHeaderRow="1" firstDataRow="1" firstDataCol="5" rowPageCount="2" colPageCount="1"/>
  <pivotFields count="34">
    <pivotField name="CIUDAD"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Row" compact="0" outline="0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6">
        <item x="0"/>
        <item x="5"/>
        <item x="3"/>
        <item x="1"/>
        <item x="2"/>
        <item x="4"/>
      </items>
    </pivotField>
    <pivotField compact="0" outline="0" showAll="0" defaultSubtotal="0"/>
    <pivotField axis="axisPage" dataField="1" compact="0" outline="0" multipleItemSelectionAllowed="1" showAll="0" defaultSubtotal="0">
      <items count="38">
        <item x="0"/>
        <item x="13"/>
        <item x="1"/>
        <item x="25"/>
        <item x="7"/>
        <item x="26"/>
        <item x="24"/>
        <item x="23"/>
        <item x="4"/>
        <item x="19"/>
        <item x="15"/>
        <item x="32"/>
        <item x="31"/>
        <item x="18"/>
        <item x="27"/>
        <item x="9"/>
        <item x="2"/>
        <item x="8"/>
        <item x="11"/>
        <item x="17"/>
        <item x="6"/>
        <item x="3"/>
        <item x="5"/>
        <item x="10"/>
        <item x="12"/>
        <item x="14"/>
        <item x="16"/>
        <item x="20"/>
        <item x="21"/>
        <item x="22"/>
        <item x="28"/>
        <item x="29"/>
        <item x="30"/>
        <item x="33"/>
        <item x="34"/>
        <item x="35"/>
        <item x="36"/>
        <item x="3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dragToRow="0" dragToCol="0" dragToPage="0" showAll="0" defaultSubtotal="0"/>
  </pivotFields>
  <rowFields count="5">
    <field x="0"/>
    <field x="3"/>
    <field x="6"/>
    <field x="7"/>
    <field x="9"/>
  </rowFields>
  <rowItems count="332">
    <i>
      <x/>
      <x v="1"/>
      <x v="5"/>
      <x/>
      <x/>
    </i>
    <i r="1">
      <x v="5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20"/>
      <x v="4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1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4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6"/>
      <x v="13"/>
      <x/>
      <x v="1"/>
    </i>
    <i r="1">
      <x v="45"/>
      <x v="13"/>
      <x/>
      <x v="1"/>
    </i>
    <i r="1">
      <x v="46"/>
      <x v="13"/>
      <x/>
      <x v="1"/>
    </i>
    <i r="1">
      <x v="48"/>
      <x v="14"/>
      <x v="1"/>
      <x/>
    </i>
    <i r="1">
      <x v="49"/>
      <x v="15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/>
      <x/>
    </i>
    <i r="3">
      <x v="1"/>
      <x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>
      <x v="2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54"/>
      <x v="18"/>
      <x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3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5"/>
      <x v="1"/>
      <x v="1"/>
      <x/>
    </i>
    <i r="1">
      <x v="16"/>
      <x v="1"/>
      <x v="1"/>
      <x/>
    </i>
    <i r="1">
      <x v="18"/>
      <x v="2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45"/>
      <x v="13"/>
      <x/>
      <x v="1"/>
    </i>
    <i r="1">
      <x v="46"/>
      <x v="13"/>
      <x/>
      <x v="1"/>
    </i>
    <i r="1">
      <x v="54"/>
      <x v="18"/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4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1"/>
      <x v="11"/>
      <x v="1"/>
      <x/>
    </i>
    <i r="1">
      <x v="32"/>
      <x v="12"/>
      <x v="1"/>
      <x v="1"/>
    </i>
    <i r="1">
      <x v="34"/>
      <x v="13"/>
      <x/>
      <x v="1"/>
    </i>
    <i r="1">
      <x v="36"/>
      <x v="13"/>
      <x/>
      <x v="1"/>
    </i>
    <i r="1">
      <x v="38"/>
      <x v="13"/>
      <x/>
      <x v="1"/>
    </i>
    <i r="1">
      <x v="40"/>
      <x v="13"/>
      <x/>
      <x v="1"/>
    </i>
    <i r="1">
      <x v="42"/>
      <x v="13"/>
      <x/>
      <x v="1"/>
    </i>
    <i r="1">
      <x v="44"/>
      <x v="13"/>
      <x/>
      <x v="1"/>
    </i>
    <i r="1">
      <x v="45"/>
      <x v="13"/>
      <x/>
      <x v="1"/>
    </i>
    <i r="1">
      <x v="46"/>
      <x v="13"/>
      <x/>
      <x v="1"/>
    </i>
    <i r="1">
      <x v="47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5"/>
      <x v="1"/>
      <x v="5"/>
      <x/>
      <x/>
    </i>
    <i r="1">
      <x v="4"/>
      <x v="1"/>
      <x v="1"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6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3"/>
      <x v="17"/>
      <x v="1"/>
      <x/>
    </i>
    <i r="1">
      <x v="54"/>
      <x v="18"/>
      <x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7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6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35"/>
      <x v="13"/>
      <x/>
      <x v="1"/>
    </i>
    <i r="1">
      <x v="36"/>
      <x v="13"/>
      <x/>
      <x v="1"/>
    </i>
    <i r="1">
      <x v="39"/>
      <x v="13"/>
      <x/>
      <x v="1"/>
    </i>
    <i r="1">
      <x v="41"/>
      <x v="13"/>
      <x/>
      <x v="1"/>
    </i>
    <i r="1">
      <x v="42"/>
      <x v="13"/>
      <x/>
      <x v="1"/>
    </i>
    <i r="1">
      <x v="43"/>
      <x v="13"/>
      <x/>
      <x v="1"/>
    </i>
    <i r="1">
      <x v="44"/>
      <x v="13"/>
      <x/>
      <x v="1"/>
    </i>
    <i r="1">
      <x v="45"/>
      <x v="13"/>
      <x/>
      <x v="1"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8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19"/>
      <x v="3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>
      <x v="9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6"/>
      <x v="13"/>
      <x/>
      <x v="1"/>
    </i>
    <i r="1">
      <x v="37"/>
      <x v="13"/>
      <x/>
      <x v="1"/>
    </i>
    <i r="1">
      <x v="40"/>
      <x v="13"/>
      <x/>
      <x v="1"/>
    </i>
    <i r="1">
      <x v="42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10"/>
      <x v="1"/>
      <x v="5"/>
      <x/>
      <x/>
    </i>
    <i r="1">
      <x v="2"/>
      <x v="5"/>
      <x/>
      <x/>
    </i>
    <i r="1">
      <x v="3"/>
      <x v="5"/>
      <x/>
      <x/>
    </i>
    <i r="1">
      <x v="16"/>
      <x v="1"/>
      <x v="1"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2"/>
      <x v="16"/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11"/>
      <x/>
      <x/>
      <x v="3"/>
      <x v="2"/>
    </i>
    <i t="grand">
      <x/>
    </i>
  </rowItems>
  <colItems count="1">
    <i/>
  </colItems>
  <pageFields count="2">
    <pageField fld="15" hier="-1"/>
    <pageField fld="17" hier="-1"/>
  </pageFields>
  <dataFields count="1">
    <dataField name="Ingresos" fld="17" baseField="5" baseItem="0"/>
  </dataFields>
  <formats count="4">
    <format dxfId="411">
      <pivotArea field="15" type="button" dataOnly="0" labelOnly="1" outline="0" axis="axisPage" fieldPosition="0"/>
    </format>
    <format dxfId="410">
      <pivotArea dataOnly="0" labelOnly="1" outline="0" fieldPosition="0">
        <references count="1">
          <reference field="3" count="0"/>
        </references>
      </pivotArea>
    </format>
    <format dxfId="409">
      <pivotArea dataOnly="0" labelOnly="1" outline="0" fieldPosition="0">
        <references count="1">
          <reference field="0" count="10">
            <x v="0"/>
            <x v="1"/>
            <x v="2"/>
            <x v="3"/>
            <x v="4"/>
            <x v="5"/>
            <x v="7"/>
            <x v="8"/>
            <x v="9"/>
            <x v="10"/>
          </reference>
        </references>
      </pivotArea>
    </format>
    <format dxfId="408">
      <pivotArea dataOnly="0" labelOnly="1" outline="0" fieldPosition="0">
        <references count="1">
          <reference field="0" count="1">
            <x v="6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Tabla dinámica11" cacheId="54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P8:S20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29">
      <pivotArea type="all" dataOnly="0" outline="0" fieldPosition="0"/>
    </format>
    <format dxfId="328">
      <pivotArea outline="0" fieldPosition="0">
        <references count="1">
          <reference field="4294967294" count="1">
            <x v="2"/>
          </reference>
        </references>
      </pivotArea>
    </format>
    <format dxfId="327">
      <pivotArea field="9" type="button" dataOnly="0" labelOnly="1" outline="0" axis="axisPage" fieldPosition="0"/>
    </format>
    <format dxfId="3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5">
      <pivotArea field="9" type="button" dataOnly="0" labelOnly="1" outline="0" axis="axisPage" fieldPosition="0"/>
    </format>
    <format dxfId="3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3">
      <pivotArea field="9" type="button" dataOnly="0" labelOnly="1" outline="0" axis="axisPage" fieldPosition="0"/>
    </format>
    <format dxfId="3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1">
      <pivotArea outline="0" fieldPosition="0">
        <references count="1">
          <reference field="4294967294" count="1">
            <x v="0"/>
          </reference>
        </references>
      </pivotArea>
    </format>
    <format dxfId="32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8">
      <pivotArea outline="0" collapsedLevelsAreSubtotals="1" fieldPosition="0"/>
    </format>
    <format dxfId="31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1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1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14">
      <pivotArea field="6" type="button" dataOnly="0" labelOnly="1" outline="0" axis="axisPage" fieldPosition="1"/>
    </format>
    <format dxfId="313">
      <pivotArea field="6" type="button" dataOnly="0" labelOnly="1" outline="0" axis="axisPage" fieldPosition="1"/>
    </format>
    <format dxfId="312">
      <pivotArea field="6" type="button" dataOnly="0" labelOnly="1" outline="0" axis="axisPage" fieldPosition="1"/>
    </format>
    <format dxfId="311">
      <pivotArea dataOnly="0" labelOnly="1" outline="0" fieldPosition="0">
        <references count="1">
          <reference field="7" count="0"/>
        </references>
      </pivotArea>
    </format>
    <format dxfId="31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Tabla dinámica10" cacheId="54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I8:L19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49">
      <pivotArea type="all" dataOnly="0" outline="0" fieldPosition="0"/>
    </format>
    <format dxfId="348">
      <pivotArea outline="0" fieldPosition="0">
        <references count="1">
          <reference field="4294967294" count="1">
            <x v="2"/>
          </reference>
        </references>
      </pivotArea>
    </format>
    <format dxfId="347">
      <pivotArea field="9" type="button" dataOnly="0" labelOnly="1" outline="0" axis="axisPage" fieldPosition="0"/>
    </format>
    <format dxfId="3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5">
      <pivotArea field="9" type="button" dataOnly="0" labelOnly="1" outline="0" axis="axisPage" fieldPosition="0"/>
    </format>
    <format dxfId="3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3">
      <pivotArea field="9" type="button" dataOnly="0" labelOnly="1" outline="0" axis="axisPage" fieldPosition="0"/>
    </format>
    <format dxfId="3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1">
      <pivotArea outline="0" fieldPosition="0">
        <references count="1">
          <reference field="4294967294" count="1">
            <x v="0"/>
          </reference>
        </references>
      </pivotArea>
    </format>
    <format dxfId="34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8">
      <pivotArea outline="0" collapsedLevelsAreSubtotals="1" fieldPosition="0"/>
    </format>
    <format dxfId="33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3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3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34">
      <pivotArea field="6" type="button" dataOnly="0" labelOnly="1" outline="0" axis="axisPage" fieldPosition="1"/>
    </format>
    <format dxfId="333">
      <pivotArea field="6" type="button" dataOnly="0" labelOnly="1" outline="0" axis="axisPage" fieldPosition="1"/>
    </format>
    <format dxfId="332">
      <pivotArea field="6" type="button" dataOnly="0" labelOnly="1" outline="0" axis="axisPage" fieldPosition="1"/>
    </format>
    <format dxfId="331">
      <pivotArea field="0" type="button" dataOnly="0" labelOnly="1" outline="0" axis="axisRow" fieldPosition="0"/>
    </format>
    <format dxfId="330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Tabla dinámica34" cacheId="54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P31:T36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5">
    <i>
      <x v="24"/>
      <x v="24"/>
    </i>
    <i>
      <x v="25"/>
      <x v="25"/>
    </i>
    <i>
      <x v="29"/>
      <x v="29"/>
    </i>
    <i>
      <x v="59"/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61">
      <pivotArea type="all" dataOnly="0" outline="0" fieldPosition="0"/>
    </format>
    <format dxfId="360">
      <pivotArea outline="0" fieldPosition="0">
        <references count="1">
          <reference field="4294967294" count="1">
            <x v="2"/>
          </reference>
        </references>
      </pivotArea>
    </format>
    <format dxfId="3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6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5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54">
      <pivotArea outline="0" collapsedLevelsAreSubtotals="1" fieldPosition="0"/>
    </format>
    <format dxfId="3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2">
      <pivotArea field="3" type="button" dataOnly="0" labelOnly="1" outline="0" axis="axisRow" fieldPosition="0"/>
    </format>
    <format dxfId="351">
      <pivotArea field="2" type="button" dataOnly="0" labelOnly="1" outline="0" axis="axisRow" fieldPosition="1"/>
    </format>
    <format dxfId="350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name="Tabla dinámica33" cacheId="54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I31:M61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0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73">
      <pivotArea type="all" dataOnly="0" outline="0" fieldPosition="0"/>
    </format>
    <format dxfId="372">
      <pivotArea outline="0" fieldPosition="0">
        <references count="1">
          <reference field="4294967294" count="1">
            <x v="2"/>
          </reference>
        </references>
      </pivotArea>
    </format>
    <format dxfId="3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8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6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66">
      <pivotArea outline="0" collapsedLevelsAreSubtotals="1" fieldPosition="0"/>
    </format>
    <format dxfId="36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4">
      <pivotArea field="3" type="button" dataOnly="0" labelOnly="1" outline="0" axis="axisRow" fieldPosition="0"/>
    </format>
    <format dxfId="363">
      <pivotArea field="2" type="button" dataOnly="0" labelOnly="1" outline="0" axis="axisRow" fieldPosition="1"/>
    </format>
    <format dxfId="362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name="Tabla dinámica32" cacheId="54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32:F61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4"/>
      <x v="54"/>
    </i>
    <i>
      <x v="55"/>
      <x v="55"/>
    </i>
    <i>
      <x v="56"/>
      <x v="56"/>
    </i>
    <i>
      <x v="57"/>
      <x v="57"/>
    </i>
    <i>
      <x v="58"/>
      <x v="58"/>
    </i>
    <i>
      <x v="60"/>
      <x v="6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387">
      <pivotArea type="all" dataOnly="0" outline="0" fieldPosition="0"/>
    </format>
    <format dxfId="386">
      <pivotArea outline="0" fieldPosition="0">
        <references count="1">
          <reference field="4294967294" count="1">
            <x v="2"/>
          </reference>
        </references>
      </pivotArea>
    </format>
    <format dxfId="38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8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80">
      <pivotArea outline="0" collapsedLevelsAreSubtotals="1" fieldPosition="0"/>
    </format>
    <format dxfId="37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8">
      <pivotArea dataOnly="0" labelOnly="1" outline="0" fieldPosition="0">
        <references count="1">
          <reference field="7" count="0"/>
        </references>
      </pivotArea>
    </format>
    <format dxfId="377">
      <pivotArea field="3" type="button" dataOnly="0" labelOnly="1" outline="0" axis="axisRow" fieldPosition="0"/>
    </format>
    <format dxfId="376">
      <pivotArea field="2" type="button" dataOnly="0" labelOnly="1" outline="0" axis="axisRow" fieldPosition="1"/>
    </format>
    <format dxfId="375">
      <pivotArea dataOnly="0" labelOnly="1" outline="0" fieldPosition="0">
        <references count="1">
          <reference field="7" count="0"/>
        </references>
      </pivotArea>
    </format>
    <format dxfId="374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name="Tabla dinámica9" cacheId="54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8:E20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407">
      <pivotArea type="all" dataOnly="0" outline="0" fieldPosition="0"/>
    </format>
    <format dxfId="406">
      <pivotArea outline="0" fieldPosition="0">
        <references count="1">
          <reference field="4294967294" count="1">
            <x v="2"/>
          </reference>
        </references>
      </pivotArea>
    </format>
    <format dxfId="405">
      <pivotArea field="9" type="button" dataOnly="0" labelOnly="1" outline="0" axis="axisPage" fieldPosition="0"/>
    </format>
    <format dxfId="40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3">
      <pivotArea field="9" type="button" dataOnly="0" labelOnly="1" outline="0" axis="axisPage" fieldPosition="0"/>
    </format>
    <format dxfId="40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1">
      <pivotArea field="9" type="button" dataOnly="0" labelOnly="1" outline="0" axis="axisPage" fieldPosition="0"/>
    </format>
    <format dxfId="4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9">
      <pivotArea outline="0" fieldPosition="0">
        <references count="1">
          <reference field="4294967294" count="1">
            <x v="0"/>
          </reference>
        </references>
      </pivotArea>
    </format>
    <format dxfId="39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9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6">
      <pivotArea outline="0" collapsedLevelsAreSubtotals="1" fieldPosition="0"/>
    </format>
    <format dxfId="395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9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9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92">
      <pivotArea field="6" type="button" dataOnly="0" labelOnly="1" outline="0" axis="axisPage" fieldPosition="1"/>
    </format>
    <format dxfId="391">
      <pivotArea field="6" type="button" dataOnly="0" labelOnly="1" outline="0" axis="axisPage" fieldPosition="1"/>
    </format>
    <format dxfId="390">
      <pivotArea field="6" type="button" dataOnly="0" labelOnly="1" outline="0" axis="axisPage" fieldPosition="1"/>
    </format>
    <format dxfId="389">
      <pivotArea dataOnly="0" labelOnly="1" outline="0" fieldPosition="0">
        <references count="1">
          <reference field="7" count="1">
            <x v="0"/>
          </reference>
        </references>
      </pivotArea>
    </format>
    <format dxfId="388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name="Tabla dinámica7" cacheId="54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47">
      <pivotArea type="all" dataOnly="0" outline="0" fieldPosition="0"/>
    </format>
    <format dxfId="246">
      <pivotArea outline="0" fieldPosition="0">
        <references count="1">
          <reference field="4294967294" count="1">
            <x v="2"/>
          </reference>
        </references>
      </pivotArea>
    </format>
    <format dxfId="245">
      <pivotArea field="9" type="button" dataOnly="0" labelOnly="1" outline="0" axis="axisPage" fieldPosition="0"/>
    </format>
    <format dxfId="2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3">
      <pivotArea field="9" type="button" dataOnly="0" labelOnly="1" outline="0" axis="axisPage" fieldPosition="0"/>
    </format>
    <format dxfId="2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1">
      <pivotArea field="9" type="button" dataOnly="0" labelOnly="1" outline="0" axis="axisPage" fieldPosition="0"/>
    </format>
    <format dxfId="2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9">
      <pivotArea outline="0" fieldPosition="0">
        <references count="1">
          <reference field="4294967294" count="1">
            <x v="0"/>
          </reference>
        </references>
      </pivotArea>
    </format>
    <format dxfId="23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6">
      <pivotArea outline="0" collapsedLevelsAreSubtotals="1" fieldPosition="0"/>
    </format>
    <format dxfId="235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3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3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32">
      <pivotArea field="6" type="button" dataOnly="0" labelOnly="1" outline="0" axis="axisPage" fieldPosition="1"/>
    </format>
    <format dxfId="231">
      <pivotArea field="6" type="button" dataOnly="0" labelOnly="1" outline="0" axis="axisPage" fieldPosition="1"/>
    </format>
    <format dxfId="230">
      <pivotArea field="6" type="button" dataOnly="0" labelOnly="1" outline="0" axis="axisPage" fieldPosition="1"/>
    </format>
    <format dxfId="229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name="Tabla dinámica1" cacheId="54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263">
      <pivotArea type="all" dataOnly="0" outline="0" fieldPosition="0"/>
    </format>
    <format dxfId="262">
      <pivotArea outline="0" fieldPosition="0">
        <references count="1">
          <reference field="4294967294" count="1">
            <x v="2"/>
          </reference>
        </references>
      </pivotArea>
    </format>
    <format dxfId="261">
      <pivotArea field="9" type="button" dataOnly="0" labelOnly="1" outline="0" axis="axisRow" fieldPosition="0"/>
    </format>
    <format dxfId="2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9">
      <pivotArea field="9" type="button" dataOnly="0" labelOnly="1" outline="0" axis="axisRow" fieldPosition="0"/>
    </format>
    <format dxfId="2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7">
      <pivotArea field="9" type="button" dataOnly="0" labelOnly="1" outline="0" axis="axisRow" fieldPosition="0"/>
    </format>
    <format dxfId="2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5">
      <pivotArea outline="0" fieldPosition="0">
        <references count="1">
          <reference field="4294967294" count="1">
            <x v="0"/>
          </reference>
        </references>
      </pivotArea>
    </format>
    <format dxfId="25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2">
      <pivotArea outline="0" collapsedLevelsAreSubtotals="1" fieldPosition="0"/>
    </format>
    <format dxfId="251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250">
      <pivotArea field="6" type="button" dataOnly="0" labelOnly="1" outline="0" axis="axisPage" fieldPosition="0"/>
    </format>
    <format dxfId="249">
      <pivotArea dataOnly="0" labelOnly="1" fieldPosition="0">
        <references count="1">
          <reference field="9" count="0"/>
        </references>
      </pivotArea>
    </format>
    <format dxfId="248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name="TablaDinámica2" cacheId="54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42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33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 r="1">
      <x v="54"/>
      <x v="54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290">
      <pivotArea type="all" dataOnly="0" outline="0" fieldPosition="0"/>
    </format>
    <format dxfId="289">
      <pivotArea outline="0" fieldPosition="0">
        <references count="1">
          <reference field="4294967294" count="1">
            <x v="2"/>
          </reference>
        </references>
      </pivotArea>
    </format>
    <format dxfId="288">
      <pivotArea field="9" type="button" dataOnly="0" labelOnly="1" outline="0" axis="axisPage" fieldPosition="0"/>
    </format>
    <format dxfId="28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6">
      <pivotArea field="9" type="button" dataOnly="0" labelOnly="1" outline="0" axis="axisPage" fieldPosition="0"/>
    </format>
    <format dxfId="28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4">
      <pivotArea field="9" type="button" dataOnly="0" labelOnly="1" outline="0" axis="axisPage" fieldPosition="0"/>
    </format>
    <format dxfId="28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2">
      <pivotArea outline="0" fieldPosition="0">
        <references count="1">
          <reference field="4294967294" count="1">
            <x v="0"/>
          </reference>
        </references>
      </pivotArea>
    </format>
    <format dxfId="28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8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9">
      <pivotArea outline="0" collapsedLevelsAreSubtotals="1" fieldPosition="0"/>
    </format>
    <format dxfId="278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77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76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75">
      <pivotArea field="6" type="button" dataOnly="0" labelOnly="1" outline="0" axis="axisPage" fieldPosition="1"/>
    </format>
    <format dxfId="274">
      <pivotArea field="6" type="button" dataOnly="0" labelOnly="1" outline="0" axis="axisPage" fieldPosition="1"/>
    </format>
    <format dxfId="273">
      <pivotArea field="6" type="button" dataOnly="0" labelOnly="1" outline="0" axis="axisPage" fieldPosition="1"/>
    </format>
    <format dxfId="272">
      <pivotArea field="0" type="button" dataOnly="0" labelOnly="1" outline="0" axis="axisRow" fieldPosition="0"/>
    </format>
    <format dxfId="271">
      <pivotArea field="2" type="button" dataOnly="0" labelOnly="1" outline="0" axis="axisRow" fieldPosition="1"/>
    </format>
    <format dxfId="270">
      <pivotArea field="3" type="button" dataOnly="0" labelOnly="1" outline="0" axis="axisRow" fieldPosition="2"/>
    </format>
    <format dxfId="269">
      <pivotArea field="14" type="button" dataOnly="0" labelOnly="1" outline="0" axis="axisRow" fieldPosition="4"/>
    </format>
    <format dxfId="268">
      <pivotArea field="14" type="button" dataOnly="0" labelOnly="1" outline="0" axis="axisRow" fieldPosition="4"/>
    </format>
    <format dxfId="267">
      <pivotArea field="2" type="button" dataOnly="0" labelOnly="1" outline="0" axis="axisRow" fieldPosition="1"/>
    </format>
    <format dxfId="266">
      <pivotArea field="3" type="button" dataOnly="0" labelOnly="1" outline="0" axis="axisRow" fieldPosition="2"/>
    </format>
    <format dxfId="265">
      <pivotArea field="7" type="button" dataOnly="0" labelOnly="1" outline="0" axis="axisRow" fieldPosition="3"/>
    </format>
    <format dxfId="264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name="Tabla dinámica13" cacheId="54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309">
      <pivotArea type="all" dataOnly="0" outline="0" fieldPosition="0"/>
    </format>
    <format dxfId="308">
      <pivotArea outline="0" fieldPosition="0">
        <references count="1">
          <reference field="4294967294" count="1">
            <x v="2"/>
          </reference>
        </references>
      </pivotArea>
    </format>
    <format dxfId="307">
      <pivotArea field="9" type="button" dataOnly="0" labelOnly="1" outline="0" axis="axisPage" fieldPosition="0"/>
    </format>
    <format dxfId="30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5">
      <pivotArea field="9" type="button" dataOnly="0" labelOnly="1" outline="0" axis="axisPage" fieldPosition="0"/>
    </format>
    <format dxfId="30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3">
      <pivotArea field="9" type="button" dataOnly="0" labelOnly="1" outline="0" axis="axisPage" fieldPosition="0"/>
    </format>
    <format dxfId="30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1">
      <pivotArea outline="0" fieldPosition="0">
        <references count="1">
          <reference field="4294967294" count="1">
            <x v="0"/>
          </reference>
        </references>
      </pivotArea>
    </format>
    <format dxfId="30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9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8">
      <pivotArea outline="0" collapsedLevelsAreSubtotals="1" fieldPosition="0"/>
    </format>
    <format dxfId="29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9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9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94">
      <pivotArea field="6" type="button" dataOnly="0" labelOnly="1" outline="0" axis="axisPage" fieldPosition="1"/>
    </format>
    <format dxfId="293">
      <pivotArea field="6" type="button" dataOnly="0" labelOnly="1" outline="0" axis="axisPage" fieldPosition="1"/>
    </format>
    <format dxfId="292">
      <pivotArea field="6" type="button" dataOnly="0" labelOnly="1" outline="0" axis="axisPage" fieldPosition="1"/>
    </format>
    <format dxfId="291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name="TablaDinámica1" cacheId="6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:A15" firstHeaderRow="1" firstDataRow="1" firstDataCol="1" rowPageCount="2" colPageCount="1"/>
  <pivotFields count="17">
    <pivotField axis="axisRow" showAll="0">
      <items count="25">
        <item m="1" x="21"/>
        <item m="1" x="15"/>
        <item m="1" x="16"/>
        <item x="0"/>
        <item x="1"/>
        <item m="1" x="11"/>
        <item x="2"/>
        <item m="1" x="19"/>
        <item x="3"/>
        <item m="1" x="18"/>
        <item x="4"/>
        <item x="5"/>
        <item x="6"/>
        <item m="1" x="20"/>
        <item m="1" x="23"/>
        <item x="7"/>
        <item m="1" x="14"/>
        <item m="1" x="13"/>
        <item m="1" x="17"/>
        <item x="8"/>
        <item m="1" x="12"/>
        <item m="1" x="22"/>
        <item x="9"/>
        <item m="1" x="10"/>
        <item t="default"/>
      </items>
    </pivotField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axis="axisPage" showAll="0">
      <items count="7">
        <item m="1" x="4"/>
        <item m="1" x="5"/>
        <item m="1" x="3"/>
        <item x="0"/>
        <item x="1"/>
        <item x="2"/>
        <item t="default"/>
      </items>
    </pivotField>
    <pivotField showAll="0"/>
    <pivotField showAll="0"/>
    <pivotField showAll="0"/>
    <pivotField showAll="0" defaultSubtotal="0"/>
    <pivotField axis="axisPage" showAll="0">
      <items count="6">
        <item m="1" x="2"/>
        <item m="1" x="3"/>
        <item m="1" x="4"/>
        <item x="0"/>
        <item x="1"/>
        <item t="default"/>
      </items>
    </pivotField>
    <pivotField showAll="0"/>
  </pivotFields>
  <rowFields count="1">
    <field x="0"/>
  </rowFields>
  <rowItems count="11">
    <i>
      <x v="3"/>
    </i>
    <i>
      <x v="4"/>
    </i>
    <i>
      <x v="6"/>
    </i>
    <i>
      <x v="8"/>
    </i>
    <i>
      <x v="10"/>
    </i>
    <i>
      <x v="11"/>
    </i>
    <i>
      <x v="12"/>
    </i>
    <i>
      <x v="15"/>
    </i>
    <i>
      <x v="19"/>
    </i>
    <i>
      <x v="22"/>
    </i>
    <i t="grand">
      <x/>
    </i>
  </rowItems>
  <colItems count="1">
    <i/>
  </colItems>
  <pageFields count="2">
    <pageField fld="10" hier="-1"/>
    <pageField fld="15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name="TablaDinámica2" cacheId="6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G4:G13" firstHeaderRow="1" firstDataRow="1" firstDataCol="1"/>
  <pivotFields count="17">
    <pivotField showAl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axis="axisRow" showAll="0">
      <items count="10">
        <item x="2"/>
        <item x="3"/>
        <item x="4"/>
        <item x="1"/>
        <item x="0"/>
        <item m="1" x="5"/>
        <item m="1" x="7"/>
        <item m="1" x="6"/>
        <item m="1" x="8"/>
        <item t="default"/>
      </items>
    </pivotField>
    <pivotField showAll="0"/>
    <pivotField showAll="0"/>
    <pivotField showAll="0" defaultSubtotal="0"/>
    <pivotField axis="axisRow" showAll="0">
      <items count="6">
        <item m="1" x="2"/>
        <item m="1" x="3"/>
        <item m="1" x="4"/>
        <item x="0"/>
        <item x="1"/>
        <item t="default"/>
      </items>
    </pivotField>
    <pivotField showAll="0"/>
  </pivotFields>
  <rowFields count="2">
    <field x="15"/>
    <field x="11"/>
  </rowFields>
  <rowItems count="9">
    <i>
      <x v="3"/>
    </i>
    <i r="1">
      <x/>
    </i>
    <i r="1">
      <x v="2"/>
    </i>
    <i r="1">
      <x v="3"/>
    </i>
    <i r="1">
      <x v="4"/>
    </i>
    <i>
      <x v="4"/>
    </i>
    <i r="1">
      <x v="1"/>
    </i>
    <i r="1">
      <x v="4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name="Tabla dinámica32" cacheId="54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66:F8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4"/>
      <x v="54"/>
    </i>
    <i>
      <x v="55"/>
      <x v="55"/>
    </i>
    <i>
      <x v="56"/>
      <x v="56"/>
    </i>
    <i>
      <x v="57"/>
      <x v="57"/>
    </i>
    <i>
      <x v="58"/>
      <x v="58"/>
    </i>
    <i>
      <x v="60"/>
      <x v="6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63">
      <pivotArea type="all" dataOnly="0" outline="0" fieldPosition="0"/>
    </format>
    <format dxfId="62">
      <pivotArea outline="0" fieldPosition="0">
        <references count="1">
          <reference field="4294967294" count="1">
            <x v="2"/>
          </reference>
        </references>
      </pivotArea>
    </format>
    <format dxfId="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8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5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56">
      <pivotArea outline="0" collapsedLevelsAreSubtotals="1" fieldPosition="0"/>
    </format>
    <format dxfId="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4">
      <pivotArea dataOnly="0" labelOnly="1" outline="0" fieldPosition="0">
        <references count="1">
          <reference field="7" count="0"/>
        </references>
      </pivotArea>
    </format>
    <format dxfId="53">
      <pivotArea field="3" type="button" dataOnly="0" labelOnly="1" outline="0" axis="axisRow" fieldPosition="0"/>
    </format>
    <format dxfId="52">
      <pivotArea field="2" type="button" dataOnly="0" labelOnly="1" outline="0" axis="axisRow" fieldPosition="1"/>
    </format>
    <format dxfId="51">
      <pivotArea dataOnly="0" labelOnly="1" outline="0" fieldPosition="0">
        <references count="1">
          <reference field="7" count="0"/>
        </references>
      </pivotArea>
    </format>
    <format dxfId="50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name="Tabla dinámica13" cacheId="54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82">
      <pivotArea type="all" dataOnly="0" outline="0" fieldPosition="0"/>
    </format>
    <format dxfId="81">
      <pivotArea outline="0" fieldPosition="0">
        <references count="1">
          <reference field="4294967294" count="1">
            <x v="2"/>
          </reference>
        </references>
      </pivotArea>
    </format>
    <format dxfId="80">
      <pivotArea field="9" type="button" dataOnly="0" labelOnly="1" outline="0" axis="axisPage" fieldPosition="0"/>
    </format>
    <format dxfId="7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8">
      <pivotArea field="9" type="button" dataOnly="0" labelOnly="1" outline="0" axis="axisPage" fieldPosition="0"/>
    </format>
    <format dxfId="7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6">
      <pivotArea field="9" type="button" dataOnly="0" labelOnly="1" outline="0" axis="axisPage" fieldPosition="0"/>
    </format>
    <format dxfId="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4">
      <pivotArea outline="0" fieldPosition="0">
        <references count="1">
          <reference field="4294967294" count="1">
            <x v="0"/>
          </reference>
        </references>
      </pivotArea>
    </format>
    <format dxfId="7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7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1">
      <pivotArea outline="0" collapsedLevelsAreSubtotals="1" fieldPosition="0"/>
    </format>
    <format dxfId="70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69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68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67">
      <pivotArea field="6" type="button" dataOnly="0" labelOnly="1" outline="0" axis="axisPage" fieldPosition="1"/>
    </format>
    <format dxfId="66">
      <pivotArea field="6" type="button" dataOnly="0" labelOnly="1" outline="0" axis="axisPage" fieldPosition="1"/>
    </format>
    <format dxfId="65">
      <pivotArea field="6" type="button" dataOnly="0" labelOnly="1" outline="0" axis="axisPage" fieldPosition="1"/>
    </format>
    <format dxfId="64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name="Tabla dinámica10" cacheId="54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42:J53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02">
      <pivotArea type="all" dataOnly="0" outline="0" fieldPosition="0"/>
    </format>
    <format dxfId="101">
      <pivotArea outline="0" fieldPosition="0">
        <references count="1">
          <reference field="4294967294" count="1">
            <x v="2"/>
          </reference>
        </references>
      </pivotArea>
    </format>
    <format dxfId="100">
      <pivotArea field="9" type="button" dataOnly="0" labelOnly="1" outline="0" axis="axisPage" fieldPosition="0"/>
    </format>
    <format dxfId="9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8">
      <pivotArea field="9" type="button" dataOnly="0" labelOnly="1" outline="0" axis="axisPage" fieldPosition="0"/>
    </format>
    <format dxfId="9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6">
      <pivotArea field="9" type="button" dataOnly="0" labelOnly="1" outline="0" axis="axisPage" fieldPosition="0"/>
    </format>
    <format dxfId="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4">
      <pivotArea outline="0" fieldPosition="0">
        <references count="1">
          <reference field="4294967294" count="1">
            <x v="0"/>
          </reference>
        </references>
      </pivotArea>
    </format>
    <format dxfId="9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9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1">
      <pivotArea outline="0" collapsedLevelsAreSubtotals="1" fieldPosition="0"/>
    </format>
    <format dxfId="90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89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88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87">
      <pivotArea field="6" type="button" dataOnly="0" labelOnly="1" outline="0" axis="axisPage" fieldPosition="1"/>
    </format>
    <format dxfId="86">
      <pivotArea field="6" type="button" dataOnly="0" labelOnly="1" outline="0" axis="axisPage" fieldPosition="1"/>
    </format>
    <format dxfId="85">
      <pivotArea field="6" type="button" dataOnly="0" labelOnly="1" outline="0" axis="axisPage" fieldPosition="1"/>
    </format>
    <format dxfId="84">
      <pivotArea field="0" type="button" dataOnly="0" labelOnly="1" outline="0" axis="axisRow" fieldPosition="0"/>
    </format>
    <format dxfId="83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name="Tabla dinámica7" cacheId="54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121">
      <pivotArea type="all" dataOnly="0" outline="0" fieldPosition="0"/>
    </format>
    <format dxfId="120">
      <pivotArea outline="0" fieldPosition="0">
        <references count="1">
          <reference field="4294967294" count="1">
            <x v="2"/>
          </reference>
        </references>
      </pivotArea>
    </format>
    <format dxfId="119">
      <pivotArea field="9" type="button" dataOnly="0" labelOnly="1" outline="0" axis="axisPage" fieldPosition="0"/>
    </format>
    <format dxfId="11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7">
      <pivotArea field="9" type="button" dataOnly="0" labelOnly="1" outline="0" axis="axisPage" fieldPosition="0"/>
    </format>
    <format dxfId="1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5">
      <pivotArea field="9" type="button" dataOnly="0" labelOnly="1" outline="0" axis="axisPage" fieldPosition="0"/>
    </format>
    <format dxfId="1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3">
      <pivotArea outline="0" fieldPosition="0">
        <references count="1">
          <reference field="4294967294" count="1">
            <x v="0"/>
          </reference>
        </references>
      </pivotArea>
    </format>
    <format dxfId="11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1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0">
      <pivotArea outline="0" collapsedLevelsAreSubtotals="1" fieldPosition="0"/>
    </format>
    <format dxfId="109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08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07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06">
      <pivotArea field="6" type="button" dataOnly="0" labelOnly="1" outline="0" axis="axisPage" fieldPosition="1"/>
    </format>
    <format dxfId="105">
      <pivotArea field="6" type="button" dataOnly="0" labelOnly="1" outline="0" axis="axisPage" fieldPosition="1"/>
    </format>
    <format dxfId="104">
      <pivotArea field="6" type="button" dataOnly="0" labelOnly="1" outline="0" axis="axisPage" fieldPosition="1"/>
    </format>
    <format dxfId="103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name="Tabla dinámica1" cacheId="54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137">
      <pivotArea type="all" dataOnly="0" outline="0" fieldPosition="0"/>
    </format>
    <format dxfId="136">
      <pivotArea outline="0" fieldPosition="0">
        <references count="1">
          <reference field="4294967294" count="1">
            <x v="2"/>
          </reference>
        </references>
      </pivotArea>
    </format>
    <format dxfId="135">
      <pivotArea field="9" type="button" dataOnly="0" labelOnly="1" outline="0" axis="axisRow" fieldPosition="0"/>
    </format>
    <format dxfId="1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3">
      <pivotArea field="9" type="button" dataOnly="0" labelOnly="1" outline="0" axis="axisRow" fieldPosition="0"/>
    </format>
    <format dxfId="1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1">
      <pivotArea field="9" type="button" dataOnly="0" labelOnly="1" outline="0" axis="axisRow" fieldPosition="0"/>
    </format>
    <format dxfId="1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9">
      <pivotArea outline="0" fieldPosition="0">
        <references count="1">
          <reference field="4294967294" count="1">
            <x v="0"/>
          </reference>
        </references>
      </pivotArea>
    </format>
    <format dxfId="12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6">
      <pivotArea outline="0" collapsedLevelsAreSubtotals="1" fieldPosition="0"/>
    </format>
    <format dxfId="125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124">
      <pivotArea field="6" type="button" dataOnly="0" labelOnly="1" outline="0" axis="axisPage" fieldPosition="0"/>
    </format>
    <format dxfId="123">
      <pivotArea dataOnly="0" labelOnly="1" fieldPosition="0">
        <references count="1">
          <reference field="9" count="0"/>
        </references>
      </pivotArea>
    </format>
    <format dxfId="122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name="Tabla dinámica33" cacheId="54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94:F10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0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149">
      <pivotArea type="all" dataOnly="0" outline="0" fieldPosition="0"/>
    </format>
    <format dxfId="148">
      <pivotArea outline="0" fieldPosition="0">
        <references count="1">
          <reference field="4294967294" count="1">
            <x v="2"/>
          </reference>
        </references>
      </pivotArea>
    </format>
    <format dxfId="1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4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42">
      <pivotArea outline="0" collapsedLevelsAreSubtotals="1" fieldPosition="0"/>
    </format>
    <format dxfId="1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0">
      <pivotArea field="3" type="button" dataOnly="0" labelOnly="1" outline="0" axis="axisRow" fieldPosition="0"/>
    </format>
    <format dxfId="139">
      <pivotArea field="2" type="button" dataOnly="0" labelOnly="1" outline="0" axis="axisRow" fieldPosition="1"/>
    </format>
    <format dxfId="138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name="TablaDinámica2" cacheId="54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7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33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 r="1">
      <x v="54"/>
      <x v="54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176">
      <pivotArea type="all" dataOnly="0" outline="0" fieldPosition="0"/>
    </format>
    <format dxfId="175">
      <pivotArea outline="0" fieldPosition="0">
        <references count="1">
          <reference field="4294967294" count="1">
            <x v="2"/>
          </reference>
        </references>
      </pivotArea>
    </format>
    <format dxfId="174">
      <pivotArea field="9" type="button" dataOnly="0" labelOnly="1" outline="0" axis="axisPage" fieldPosition="0"/>
    </format>
    <format dxfId="1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2">
      <pivotArea field="9" type="button" dataOnly="0" labelOnly="1" outline="0" axis="axisPage" fieldPosition="0"/>
    </format>
    <format dxfId="1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0">
      <pivotArea field="9" type="button" dataOnly="0" labelOnly="1" outline="0" axis="axisPage" fieldPosition="0"/>
    </format>
    <format dxfId="16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8">
      <pivotArea outline="0" fieldPosition="0">
        <references count="1">
          <reference field="4294967294" count="1">
            <x v="0"/>
          </reference>
        </references>
      </pivotArea>
    </format>
    <format dxfId="16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6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5">
      <pivotArea outline="0" collapsedLevelsAreSubtotals="1" fieldPosition="0"/>
    </format>
    <format dxfId="16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6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6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61">
      <pivotArea field="6" type="button" dataOnly="0" labelOnly="1" outline="0" axis="axisPage" fieldPosition="1"/>
    </format>
    <format dxfId="160">
      <pivotArea field="6" type="button" dataOnly="0" labelOnly="1" outline="0" axis="axisPage" fieldPosition="1"/>
    </format>
    <format dxfId="159">
      <pivotArea field="6" type="button" dataOnly="0" labelOnly="1" outline="0" axis="axisPage" fieldPosition="1"/>
    </format>
    <format dxfId="158">
      <pivotArea field="0" type="button" dataOnly="0" labelOnly="1" outline="0" axis="axisRow" fieldPosition="0"/>
    </format>
    <format dxfId="157">
      <pivotArea field="2" type="button" dataOnly="0" labelOnly="1" outline="0" axis="axisRow" fieldPosition="1"/>
    </format>
    <format dxfId="156">
      <pivotArea field="3" type="button" dataOnly="0" labelOnly="1" outline="0" axis="axisRow" fieldPosition="2"/>
    </format>
    <format dxfId="155">
      <pivotArea field="14" type="button" dataOnly="0" labelOnly="1" outline="0" axis="axisRow" fieldPosition="4"/>
    </format>
    <format dxfId="154">
      <pivotArea field="14" type="button" dataOnly="0" labelOnly="1" outline="0" axis="axisRow" fieldPosition="4"/>
    </format>
    <format dxfId="153">
      <pivotArea field="2" type="button" dataOnly="0" labelOnly="1" outline="0" axis="axisRow" fieldPosition="1"/>
    </format>
    <format dxfId="152">
      <pivotArea field="3" type="button" dataOnly="0" labelOnly="1" outline="0" axis="axisRow" fieldPosition="2"/>
    </format>
    <format dxfId="151">
      <pivotArea field="7" type="button" dataOnly="0" labelOnly="1" outline="0" axis="axisRow" fieldPosition="3"/>
    </format>
    <format dxfId="150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name="Tabla dinámica11" cacheId="54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L42:O54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96">
      <pivotArea type="all" dataOnly="0" outline="0" fieldPosition="0"/>
    </format>
    <format dxfId="195">
      <pivotArea outline="0" fieldPosition="0">
        <references count="1">
          <reference field="4294967294" count="1">
            <x v="2"/>
          </reference>
        </references>
      </pivotArea>
    </format>
    <format dxfId="194">
      <pivotArea field="9" type="button" dataOnly="0" labelOnly="1" outline="0" axis="axisPage" fieldPosition="0"/>
    </format>
    <format dxfId="1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2">
      <pivotArea field="9" type="button" dataOnly="0" labelOnly="1" outline="0" axis="axisPage" fieldPosition="0"/>
    </format>
    <format dxfId="19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0">
      <pivotArea field="9" type="button" dataOnly="0" labelOnly="1" outline="0" axis="axisPage" fieldPosition="0"/>
    </format>
    <format dxfId="1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8">
      <pivotArea outline="0" fieldPosition="0">
        <references count="1">
          <reference field="4294967294" count="1">
            <x v="0"/>
          </reference>
        </references>
      </pivotArea>
    </format>
    <format dxfId="18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8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5">
      <pivotArea outline="0" collapsedLevelsAreSubtotals="1" fieldPosition="0"/>
    </format>
    <format dxfId="18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8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8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81">
      <pivotArea field="6" type="button" dataOnly="0" labelOnly="1" outline="0" axis="axisPage" fieldPosition="1"/>
    </format>
    <format dxfId="180">
      <pivotArea field="6" type="button" dataOnly="0" labelOnly="1" outline="0" axis="axisPage" fieldPosition="1"/>
    </format>
    <format dxfId="179">
      <pivotArea field="6" type="button" dataOnly="0" labelOnly="1" outline="0" axis="axisPage" fieldPosition="1"/>
    </format>
    <format dxfId="178">
      <pivotArea dataOnly="0" labelOnly="1" outline="0" fieldPosition="0">
        <references count="1">
          <reference field="7" count="0"/>
        </references>
      </pivotArea>
    </format>
    <format dxfId="177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name="Tabla dinámica34" cacheId="54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114:F11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5">
    <i>
      <x v="24"/>
      <x v="24"/>
    </i>
    <i>
      <x v="25"/>
      <x v="25"/>
    </i>
    <i>
      <x v="29"/>
      <x v="29"/>
    </i>
    <i>
      <x v="59"/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208">
      <pivotArea type="all" dataOnly="0" outline="0" fieldPosition="0"/>
    </format>
    <format dxfId="207">
      <pivotArea outline="0" fieldPosition="0">
        <references count="1">
          <reference field="4294967294" count="1">
            <x v="2"/>
          </reference>
        </references>
      </pivotArea>
    </format>
    <format dxfId="20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3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0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01">
      <pivotArea outline="0" collapsedLevelsAreSubtotals="1" fieldPosition="0"/>
    </format>
    <format dxfId="2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9">
      <pivotArea field="3" type="button" dataOnly="0" labelOnly="1" outline="0" axis="axisRow" fieldPosition="0"/>
    </format>
    <format dxfId="198">
      <pivotArea field="2" type="button" dataOnly="0" labelOnly="1" outline="0" axis="axisRow" fieldPosition="1"/>
    </format>
    <format dxfId="197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name="Tabla dinámica9" cacheId="54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42:E54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228">
      <pivotArea type="all" dataOnly="0" outline="0" fieldPosition="0"/>
    </format>
    <format dxfId="227">
      <pivotArea outline="0" fieldPosition="0">
        <references count="1">
          <reference field="4294967294" count="1">
            <x v="2"/>
          </reference>
        </references>
      </pivotArea>
    </format>
    <format dxfId="226">
      <pivotArea field="9" type="button" dataOnly="0" labelOnly="1" outline="0" axis="axisPage" fieldPosition="0"/>
    </format>
    <format dxfId="2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4">
      <pivotArea field="9" type="button" dataOnly="0" labelOnly="1" outline="0" axis="axisPage" fieldPosition="0"/>
    </format>
    <format dxfId="2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2">
      <pivotArea field="9" type="button" dataOnly="0" labelOnly="1" outline="0" axis="axisPage" fieldPosition="0"/>
    </format>
    <format dxfId="2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0">
      <pivotArea outline="0" fieldPosition="0">
        <references count="1">
          <reference field="4294967294" count="1">
            <x v="0"/>
          </reference>
        </references>
      </pivotArea>
    </format>
    <format dxfId="21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1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7">
      <pivotArea outline="0" collapsedLevelsAreSubtotals="1" fieldPosition="0"/>
    </format>
    <format dxfId="21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1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1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13">
      <pivotArea field="6" type="button" dataOnly="0" labelOnly="1" outline="0" axis="axisPage" fieldPosition="1"/>
    </format>
    <format dxfId="212">
      <pivotArea field="6" type="button" dataOnly="0" labelOnly="1" outline="0" axis="axisPage" fieldPosition="1"/>
    </format>
    <format dxfId="211">
      <pivotArea field="6" type="button" dataOnly="0" labelOnly="1" outline="0" axis="axisPage" fieldPosition="1"/>
    </format>
    <format dxfId="210">
      <pivotArea dataOnly="0" labelOnly="1" outline="0" fieldPosition="0">
        <references count="1">
          <reference field="7" count="1">
            <x v="0"/>
          </reference>
        </references>
      </pivotArea>
    </format>
    <format dxfId="209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name="Tabla dinámica1" cacheId="70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A3:C459" firstHeaderRow="1" firstDataRow="1" firstDataCol="2" rowPageCount="1" colPageCount="1"/>
  <pivotFields count="35">
    <pivotField axis="axisRow" compact="0" outline="0" showAll="0" defaultSubtotal="0">
      <items count="685">
        <item m="1" x="475"/>
        <item m="1" x="476"/>
        <item m="1" x="477"/>
        <item x="1"/>
        <item x="14"/>
        <item m="1" x="594"/>
        <item m="1" x="595"/>
        <item m="1" x="596"/>
        <item m="1" x="597"/>
        <item m="1" x="610"/>
        <item x="10"/>
        <item x="28"/>
        <item x="26"/>
        <item x="18"/>
        <item x="16"/>
        <item x="19"/>
        <item x="17"/>
        <item x="13"/>
        <item m="1" x="569"/>
        <item x="7"/>
        <item x="9"/>
        <item x="8"/>
        <item x="2"/>
        <item x="6"/>
        <item x="5"/>
        <item x="4"/>
        <item x="3"/>
        <item x="27"/>
        <item x="11"/>
        <item m="1" x="611"/>
        <item m="1" x="570"/>
        <item m="1" x="478"/>
        <item m="1" x="479"/>
        <item m="1" x="480"/>
        <item m="1" x="602"/>
        <item m="1" x="603"/>
        <item m="1" x="604"/>
        <item m="1" x="605"/>
        <item m="1" x="606"/>
        <item m="1" x="607"/>
        <item x="0"/>
        <item m="1" x="608"/>
        <item m="1" x="609"/>
        <item m="1" x="598"/>
        <item m="1" x="599"/>
        <item m="1" x="600"/>
        <item m="1" x="601"/>
        <item x="29"/>
        <item x="21"/>
        <item x="22"/>
        <item x="12"/>
        <item x="20"/>
        <item x="30"/>
        <item x="23"/>
        <item x="24"/>
        <item x="25"/>
        <item x="15"/>
        <item x="60"/>
        <item m="1" x="585"/>
        <item m="1" x="572"/>
        <item m="1" x="573"/>
        <item m="1" x="542"/>
        <item m="1" x="574"/>
        <item x="71"/>
        <item x="70"/>
        <item x="73"/>
        <item x="69"/>
        <item x="68"/>
        <item x="67"/>
        <item x="63"/>
        <item x="62"/>
        <item x="84"/>
        <item x="72"/>
        <item m="1" x="543"/>
        <item m="1" x="575"/>
        <item x="61"/>
        <item x="74"/>
        <item x="79"/>
        <item x="95"/>
        <item m="1" x="590"/>
        <item m="1" x="516"/>
        <item m="1" x="591"/>
        <item m="1" x="517"/>
        <item m="1" x="586"/>
        <item x="98"/>
        <item x="78"/>
        <item x="56"/>
        <item x="59"/>
        <item x="54"/>
        <item x="53"/>
        <item x="55"/>
        <item x="58"/>
        <item x="49"/>
        <item x="50"/>
        <item x="52"/>
        <item x="48"/>
        <item x="57"/>
        <item x="51"/>
        <item x="76"/>
        <item m="1" x="493"/>
        <item m="1" x="469"/>
        <item m="1" x="470"/>
        <item m="1" x="471"/>
        <item m="1" x="544"/>
        <item m="1" x="576"/>
        <item m="1" x="494"/>
        <item m="1" x="472"/>
        <item m="1" x="473"/>
        <item m="1" x="577"/>
        <item m="1" x="545"/>
        <item m="1" x="578"/>
        <item m="1" x="495"/>
        <item x="94"/>
        <item x="47"/>
        <item m="1" x="587"/>
        <item m="1" x="588"/>
        <item m="1" x="589"/>
        <item m="1" x="579"/>
        <item m="1" x="580"/>
        <item m="1" x="592"/>
        <item m="1" x="518"/>
        <item m="1" x="546"/>
        <item m="1" x="581"/>
        <item m="1" x="547"/>
        <item m="1" x="582"/>
        <item m="1" x="548"/>
        <item m="1" x="583"/>
        <item m="1" x="549"/>
        <item m="1" x="584"/>
        <item x="82"/>
        <item x="83"/>
        <item x="66"/>
        <item x="65"/>
        <item m="1" x="593"/>
        <item x="92"/>
        <item x="91"/>
        <item x="93"/>
        <item x="90"/>
        <item x="64"/>
        <item x="81"/>
        <item x="80"/>
        <item x="97"/>
        <item x="96"/>
        <item x="77"/>
        <item x="88"/>
        <item x="89"/>
        <item x="85"/>
        <item x="87"/>
        <item x="86"/>
        <item x="75"/>
        <item x="101"/>
        <item x="99"/>
        <item x="100"/>
        <item x="134"/>
        <item m="1" x="468"/>
        <item m="1" x="455"/>
        <item m="1" x="457"/>
        <item m="1" x="624"/>
        <item x="127"/>
        <item x="126"/>
        <item x="125"/>
        <item x="128"/>
        <item x="119"/>
        <item x="118"/>
        <item x="121"/>
        <item x="122"/>
        <item x="116"/>
        <item x="120"/>
        <item x="117"/>
        <item x="123"/>
        <item x="124"/>
        <item m="1" x="566"/>
        <item m="1" x="567"/>
        <item m="1" x="568"/>
        <item m="1" x="462"/>
        <item m="1" x="463"/>
        <item m="1" x="464"/>
        <item m="1" x="465"/>
        <item m="1" x="466"/>
        <item m="1" x="467"/>
        <item m="1" x="458"/>
        <item m="1" x="459"/>
        <item m="1" x="460"/>
        <item m="1" x="461"/>
        <item x="133"/>
        <item x="132"/>
        <item x="135"/>
        <item x="131"/>
        <item x="129"/>
        <item x="130"/>
        <item x="136"/>
        <item x="158"/>
        <item m="1" x="535"/>
        <item x="157"/>
        <item x="144"/>
        <item x="173"/>
        <item x="171"/>
        <item x="166"/>
        <item x="167"/>
        <item x="169"/>
        <item m="1" x="684"/>
        <item m="1" x="571"/>
        <item m="1" x="661"/>
        <item x="153"/>
        <item x="172"/>
        <item x="154"/>
        <item m="1" x="662"/>
        <item m="1" x="536"/>
        <item x="146"/>
        <item x="147"/>
        <item x="145"/>
        <item x="148"/>
        <item x="149"/>
        <item x="150"/>
        <item x="151"/>
        <item x="152"/>
        <item x="156"/>
        <item m="1" x="537"/>
        <item m="1" x="538"/>
        <item m="1" x="539"/>
        <item m="1" x="540"/>
        <item m="1" x="663"/>
        <item m="1" x="664"/>
        <item m="1" x="541"/>
        <item m="1" x="680"/>
        <item m="1" x="681"/>
        <item m="1" x="682"/>
        <item x="174"/>
        <item m="1" x="683"/>
        <item m="1" x="665"/>
        <item m="1" x="666"/>
        <item m="1" x="667"/>
        <item m="1" x="668"/>
        <item x="160"/>
        <item x="161"/>
        <item x="162"/>
        <item x="155"/>
        <item x="159"/>
        <item x="168"/>
        <item x="163"/>
        <item x="165"/>
        <item x="164"/>
        <item x="170"/>
        <item m="1" x="613"/>
        <item x="188"/>
        <item x="187"/>
        <item x="198"/>
        <item m="1" x="614"/>
        <item x="195"/>
        <item x="192"/>
        <item x="189"/>
        <item x="191"/>
        <item m="1" x="615"/>
        <item m="1" x="616"/>
        <item x="190"/>
        <item x="194"/>
        <item x="203"/>
        <item x="202"/>
        <item x="201"/>
        <item x="200"/>
        <item x="193"/>
        <item x="196"/>
        <item m="1" x="617"/>
        <item m="1" x="618"/>
        <item m="1" x="619"/>
        <item m="1" x="496"/>
        <item m="1" x="497"/>
        <item m="1" x="498"/>
        <item x="186"/>
        <item x="185"/>
        <item m="1" x="482"/>
        <item m="1" x="483"/>
        <item m="1" x="484"/>
        <item m="1" x="485"/>
        <item x="209"/>
        <item x="205"/>
        <item x="204"/>
        <item x="199"/>
        <item x="210"/>
        <item x="208"/>
        <item x="207"/>
        <item x="206"/>
        <item x="197"/>
        <item m="1" x="669"/>
        <item x="234"/>
        <item x="223"/>
        <item x="236"/>
        <item x="232"/>
        <item x="235"/>
        <item x="233"/>
        <item m="1" x="550"/>
        <item x="253"/>
        <item x="247"/>
        <item x="222"/>
        <item x="257"/>
        <item x="256"/>
        <item m="1" x="551"/>
        <item x="255"/>
        <item m="1" x="670"/>
        <item x="243"/>
        <item m="1" x="671"/>
        <item m="1" x="672"/>
        <item m="1" x="561"/>
        <item x="245"/>
        <item m="1" x="673"/>
        <item x="241"/>
        <item x="237"/>
        <item x="238"/>
        <item x="240"/>
        <item m="1" x="562"/>
        <item m="1" x="474"/>
        <item m="1" x="519"/>
        <item m="1" x="674"/>
        <item x="229"/>
        <item x="231"/>
        <item x="226"/>
        <item x="225"/>
        <item x="224"/>
        <item x="228"/>
        <item x="230"/>
        <item x="227"/>
        <item x="242"/>
        <item m="1" x="675"/>
        <item m="1" x="676"/>
        <item m="1" x="677"/>
        <item x="239"/>
        <item m="1" x="556"/>
        <item m="1" x="557"/>
        <item m="1" x="558"/>
        <item m="1" x="678"/>
        <item m="1" x="679"/>
        <item m="1" x="559"/>
        <item m="1" x="560"/>
        <item m="1" x="552"/>
        <item m="1" x="553"/>
        <item m="1" x="554"/>
        <item m="1" x="555"/>
        <item x="246"/>
        <item x="251"/>
        <item x="252"/>
        <item x="244"/>
        <item x="254"/>
        <item x="248"/>
        <item x="249"/>
        <item x="250"/>
        <item m="1" x="625"/>
        <item x="306"/>
        <item x="325"/>
        <item x="342"/>
        <item x="343"/>
        <item x="362"/>
        <item m="1" x="500"/>
        <item x="323"/>
        <item x="331"/>
        <item m="1" x="626"/>
        <item x="296"/>
        <item x="326"/>
        <item m="1" x="501"/>
        <item x="333"/>
        <item x="332"/>
        <item x="292"/>
        <item x="329"/>
        <item m="1" x="502"/>
        <item m="1" x="627"/>
        <item x="322"/>
        <item x="321"/>
        <item x="341"/>
        <item x="317"/>
        <item x="319"/>
        <item x="320"/>
        <item x="314"/>
        <item x="309"/>
        <item x="313"/>
        <item x="311"/>
        <item x="312"/>
        <item x="344"/>
        <item m="1" x="503"/>
        <item x="291"/>
        <item x="290"/>
        <item x="324"/>
        <item x="310"/>
        <item x="340"/>
        <item m="1" x="628"/>
        <item x="339"/>
        <item m="1" x="504"/>
        <item x="330"/>
        <item x="327"/>
        <item m="1" x="505"/>
        <item m="1" x="506"/>
        <item x="305"/>
        <item x="307"/>
        <item m="1" x="629"/>
        <item m="1" x="630"/>
        <item m="1" x="652"/>
        <item m="1" x="631"/>
        <item m="1" x="632"/>
        <item m="1" x="507"/>
        <item x="318"/>
        <item m="1" x="633"/>
        <item x="346"/>
        <item m="1" x="508"/>
        <item x="294"/>
        <item x="293"/>
        <item x="335"/>
        <item m="1" x="563"/>
        <item m="1" x="564"/>
        <item m="1" x="509"/>
        <item m="1" x="653"/>
        <item m="1" x="565"/>
        <item m="1" x="612"/>
        <item m="1" x="510"/>
        <item x="299"/>
        <item x="298"/>
        <item x="304"/>
        <item x="300"/>
        <item x="303"/>
        <item x="297"/>
        <item x="301"/>
        <item x="302"/>
        <item x="334"/>
        <item x="315"/>
        <item m="1" x="634"/>
        <item m="1" x="511"/>
        <item m="1" x="512"/>
        <item m="1" x="513"/>
        <item m="1" x="635"/>
        <item m="1" x="636"/>
        <item m="1" x="637"/>
        <item m="1" x="638"/>
        <item m="1" x="644"/>
        <item m="1" x="645"/>
        <item m="1" x="646"/>
        <item m="1" x="647"/>
        <item m="1" x="648"/>
        <item m="1" x="649"/>
        <item m="1" x="514"/>
        <item x="295"/>
        <item m="1" x="650"/>
        <item m="1" x="639"/>
        <item m="1" x="515"/>
        <item m="1" x="651"/>
        <item m="1" x="640"/>
        <item m="1" x="641"/>
        <item m="1" x="642"/>
        <item m="1" x="643"/>
        <item x="338"/>
        <item x="337"/>
        <item x="316"/>
        <item x="308"/>
        <item x="336"/>
        <item x="345"/>
        <item x="328"/>
        <item x="374"/>
        <item x="377"/>
        <item m="1" x="654"/>
        <item x="390"/>
        <item m="1" x="655"/>
        <item m="1" x="520"/>
        <item x="373"/>
        <item x="378"/>
        <item m="1" x="521"/>
        <item m="1" x="522"/>
        <item x="419"/>
        <item x="393"/>
        <item x="403"/>
        <item x="400"/>
        <item x="402"/>
        <item x="423"/>
        <item x="424"/>
        <item x="428"/>
        <item x="427"/>
        <item x="426"/>
        <item x="401"/>
        <item x="399"/>
        <item x="416"/>
        <item x="394"/>
        <item x="395"/>
        <item x="420"/>
        <item x="417"/>
        <item x="376"/>
        <item x="396"/>
        <item x="418"/>
        <item x="375"/>
        <item x="429"/>
        <item x="421"/>
        <item x="398"/>
        <item x="380"/>
        <item x="379"/>
        <item x="381"/>
        <item m="1" x="523"/>
        <item m="1" x="524"/>
        <item x="425"/>
        <item m="1" x="656"/>
        <item x="383"/>
        <item x="388"/>
        <item x="384"/>
        <item x="385"/>
        <item x="386"/>
        <item x="387"/>
        <item x="389"/>
        <item x="382"/>
        <item x="391"/>
        <item x="409"/>
        <item m="1" x="657"/>
        <item m="1" x="658"/>
        <item m="1" x="659"/>
        <item m="1" x="525"/>
        <item m="1" x="660"/>
        <item x="406"/>
        <item m="1" x="526"/>
        <item m="1" x="527"/>
        <item m="1" x="532"/>
        <item m="1" x="533"/>
        <item m="1" x="534"/>
        <item x="407"/>
        <item x="408"/>
        <item m="1" x="528"/>
        <item m="1" x="529"/>
        <item m="1" x="530"/>
        <item m="1" x="531"/>
        <item x="404"/>
        <item x="397"/>
        <item x="414"/>
        <item x="413"/>
        <item x="405"/>
        <item x="422"/>
        <item x="415"/>
        <item x="410"/>
        <item x="412"/>
        <item x="411"/>
        <item x="392"/>
        <item x="431"/>
        <item x="430"/>
        <item m="1" x="620"/>
        <item x="441"/>
        <item x="440"/>
        <item m="1" x="486"/>
        <item m="1" x="487"/>
        <item m="1" x="488"/>
        <item m="1" x="499"/>
        <item m="1" x="456"/>
        <item m="1" x="481"/>
        <item x="438"/>
        <item m="1" x="621"/>
        <item m="1" x="622"/>
        <item m="1" x="623"/>
        <item x="437"/>
        <item m="1" x="489"/>
        <item m="1" x="490"/>
        <item m="1" x="491"/>
        <item m="1" x="492"/>
        <item x="442"/>
        <item x="443"/>
        <item x="444"/>
        <item x="447"/>
        <item x="446"/>
        <item x="445"/>
        <item x="439"/>
        <item x="449"/>
        <item x="448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37"/>
        <item x="138"/>
        <item x="139"/>
        <item x="140"/>
        <item x="141"/>
        <item x="142"/>
        <item x="143"/>
        <item x="175"/>
        <item x="176"/>
        <item x="177"/>
        <item x="178"/>
        <item x="179"/>
        <item x="180"/>
        <item x="181"/>
        <item x="182"/>
        <item x="183"/>
        <item x="184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3"/>
        <item x="364"/>
        <item x="365"/>
        <item x="366"/>
        <item x="367"/>
        <item x="368"/>
        <item x="369"/>
        <item x="370"/>
        <item x="371"/>
        <item x="372"/>
        <item x="432"/>
        <item x="433"/>
        <item x="434"/>
        <item x="435"/>
        <item x="436"/>
        <item x="450"/>
        <item x="451"/>
        <item x="452"/>
        <item x="453"/>
        <item x="454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55">
        <item m="1" x="197"/>
        <item x="128"/>
        <item x="135"/>
        <item x="159"/>
        <item x="71"/>
        <item x="84"/>
        <item x="121"/>
        <item x="92"/>
        <item x="146"/>
        <item x="44"/>
        <item x="83"/>
        <item x="35"/>
        <item m="1" x="232"/>
        <item m="1" x="244"/>
        <item x="133"/>
        <item x="139"/>
        <item x="1"/>
        <item m="1" x="207"/>
        <item m="1" x="215"/>
        <item m="1" x="235"/>
        <item x="126"/>
        <item x="136"/>
        <item m="1" x="203"/>
        <item m="1" x="233"/>
        <item x="141"/>
        <item m="1" x="193"/>
        <item x="140"/>
        <item x="98"/>
        <item x="97"/>
        <item x="10"/>
        <item x="100"/>
        <item m="1" x="251"/>
        <item x="99"/>
        <item m="1" x="198"/>
        <item m="1" x="223"/>
        <item m="1" x="236"/>
        <item m="1" x="185"/>
        <item m="1" x="208"/>
        <item m="1" x="186"/>
        <item m="1" x="240"/>
        <item m="1" x="219"/>
        <item m="1" x="210"/>
        <item x="172"/>
        <item x="164"/>
        <item x="119"/>
        <item x="53"/>
        <item x="52"/>
        <item x="175"/>
        <item x="176"/>
        <item x="180"/>
        <item x="179"/>
        <item x="88"/>
        <item x="85"/>
        <item x="145"/>
        <item x="178"/>
        <item x="109"/>
        <item x="55"/>
        <item m="1" x="238"/>
        <item x="107"/>
        <item x="51"/>
        <item x="50"/>
        <item x="49"/>
        <item x="87"/>
        <item x="173"/>
        <item x="131"/>
        <item x="47"/>
        <item x="77"/>
        <item x="130"/>
        <item x="78"/>
        <item x="129"/>
        <item x="170"/>
        <item x="46"/>
        <item m="1" x="245"/>
        <item x="72"/>
        <item x="73"/>
        <item x="60"/>
        <item m="1" x="227"/>
        <item x="34"/>
        <item x="134"/>
        <item x="79"/>
        <item x="27"/>
        <item m="1" x="252"/>
        <item m="1" x="253"/>
        <item x="144"/>
        <item x="165"/>
        <item x="138"/>
        <item x="137"/>
        <item m="1" x="201"/>
        <item m="1" x="220"/>
        <item x="54"/>
        <item x="127"/>
        <item x="69"/>
        <item x="171"/>
        <item x="45"/>
        <item m="1" x="195"/>
        <item m="1" x="243"/>
        <item x="160"/>
        <item m="1" x="189"/>
        <item m="1" x="211"/>
        <item m="1" x="254"/>
        <item x="96"/>
        <item m="1" x="216"/>
        <item m="1" x="194"/>
        <item m="1" x="204"/>
        <item x="174"/>
        <item x="56"/>
        <item x="93"/>
        <item x="70"/>
        <item m="1" x="241"/>
        <item x="162"/>
        <item x="161"/>
        <item x="163"/>
        <item m="1" x="228"/>
        <item x="147"/>
        <item x="6"/>
        <item x="59"/>
        <item x="95"/>
        <item m="1" x="234"/>
        <item x="24"/>
        <item x="62"/>
        <item x="125"/>
        <item x="124"/>
        <item x="142"/>
        <item m="1" x="213"/>
        <item m="1" x="182"/>
        <item x="177"/>
        <item m="1" x="249"/>
        <item m="1" x="230"/>
        <item m="1" x="231"/>
        <item m="1" x="205"/>
        <item x="86"/>
        <item x="22"/>
        <item x="14"/>
        <item x="12"/>
        <item x="15"/>
        <item x="13"/>
        <item x="9"/>
        <item x="89"/>
        <item m="1" x="226"/>
        <item m="1" x="190"/>
        <item m="1" x="224"/>
        <item x="64"/>
        <item m="1" x="200"/>
        <item x="58"/>
        <item x="5"/>
        <item x="2"/>
        <item x="4"/>
        <item x="3"/>
        <item x="23"/>
        <item x="7"/>
        <item m="1" x="191"/>
        <item x="169"/>
        <item m="1" x="187"/>
        <item m="1" x="242"/>
        <item m="1" x="214"/>
        <item m="1" x="222"/>
        <item m="1" x="248"/>
        <item x="94"/>
        <item m="1" x="192"/>
        <item x="166"/>
        <item m="1" x="250"/>
        <item m="1" x="221"/>
        <item m="1" x="247"/>
        <item m="1" x="184"/>
        <item m="1" x="239"/>
        <item m="1" x="218"/>
        <item m="1" x="196"/>
        <item m="1" x="246"/>
        <item x="61"/>
        <item x="43"/>
        <item x="0"/>
        <item m="1" x="212"/>
        <item m="1" x="188"/>
        <item m="1" x="209"/>
        <item x="74"/>
        <item m="1" x="217"/>
        <item x="167"/>
        <item x="168"/>
        <item m="1" x="225"/>
        <item m="1" x="199"/>
        <item m="1" x="229"/>
        <item m="1" x="206"/>
        <item m="1" x="183"/>
        <item m="1" x="237"/>
        <item m="1" x="202"/>
        <item x="25"/>
        <item x="143"/>
        <item x="48"/>
        <item x="150"/>
        <item x="132"/>
        <item x="17"/>
        <item x="18"/>
        <item x="8"/>
        <item x="16"/>
        <item x="63"/>
        <item x="26"/>
        <item x="57"/>
        <item x="19"/>
        <item x="20"/>
        <item x="21"/>
        <item x="11"/>
        <item x="181"/>
        <item x="67"/>
        <item x="37"/>
        <item x="65"/>
        <item x="33"/>
        <item x="28"/>
        <item x="29"/>
        <item x="30"/>
        <item x="31"/>
        <item x="32"/>
        <item x="36"/>
        <item x="38"/>
        <item x="39"/>
        <item x="40"/>
        <item x="41"/>
        <item x="42"/>
        <item x="66"/>
        <item x="68"/>
        <item x="75"/>
        <item x="76"/>
        <item x="80"/>
        <item x="81"/>
        <item x="82"/>
        <item x="90"/>
        <item x="91"/>
        <item x="101"/>
        <item x="102"/>
        <item x="103"/>
        <item x="104"/>
        <item x="105"/>
        <item x="106"/>
        <item x="108"/>
        <item x="110"/>
        <item x="111"/>
        <item x="112"/>
        <item x="113"/>
        <item x="114"/>
        <item x="115"/>
        <item x="116"/>
        <item x="117"/>
        <item x="118"/>
        <item x="120"/>
        <item x="122"/>
        <item x="123"/>
        <item x="148"/>
        <item x="149"/>
        <item x="151"/>
        <item x="152"/>
        <item x="153"/>
        <item x="154"/>
        <item x="155"/>
        <item x="156"/>
        <item x="157"/>
        <item x="158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x="1"/>
        <item x="2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</pivotFields>
  <rowFields count="2">
    <field x="0"/>
    <field x="16"/>
  </rowFields>
  <rowItems count="456">
    <i>
      <x v="3"/>
      <x v="16"/>
    </i>
    <i>
      <x v="4"/>
      <x v="29"/>
    </i>
    <i>
      <x v="10"/>
      <x v="114"/>
    </i>
    <i>
      <x v="11"/>
      <x v="118"/>
    </i>
    <i>
      <x v="12"/>
      <x v="131"/>
    </i>
    <i>
      <x v="13"/>
      <x v="132"/>
    </i>
    <i>
      <x v="14"/>
      <x v="133"/>
    </i>
    <i>
      <x v="15"/>
      <x v="134"/>
    </i>
    <i>
      <x v="16"/>
      <x v="135"/>
    </i>
    <i>
      <x v="17"/>
      <x v="136"/>
    </i>
    <i>
      <x v="19"/>
      <x v="144"/>
    </i>
    <i>
      <x v="20"/>
      <x v="144"/>
    </i>
    <i>
      <x v="21"/>
      <x v="145"/>
    </i>
    <i>
      <x v="22"/>
      <x v="145"/>
    </i>
    <i>
      <x v="23"/>
      <x v="146"/>
    </i>
    <i>
      <x v="24"/>
      <x v="146"/>
    </i>
    <i>
      <x v="25"/>
      <x v="147"/>
    </i>
    <i>
      <x v="26"/>
      <x v="147"/>
    </i>
    <i>
      <x v="27"/>
      <x v="148"/>
    </i>
    <i>
      <x v="28"/>
      <x v="149"/>
    </i>
    <i>
      <x v="40"/>
      <x v="170"/>
    </i>
    <i>
      <x v="47"/>
      <x v="185"/>
    </i>
    <i>
      <x v="48"/>
      <x v="190"/>
    </i>
    <i>
      <x v="49"/>
      <x v="191"/>
    </i>
    <i>
      <x v="50"/>
      <x v="192"/>
    </i>
    <i>
      <x v="51"/>
      <x v="193"/>
    </i>
    <i>
      <x v="52"/>
      <x v="195"/>
    </i>
    <i>
      <x v="53"/>
      <x v="197"/>
    </i>
    <i>
      <x v="54"/>
      <x v="198"/>
    </i>
    <i>
      <x v="55"/>
      <x v="199"/>
    </i>
    <i>
      <x v="56"/>
      <x v="200"/>
    </i>
    <i>
      <x v="57"/>
      <x v="9"/>
    </i>
    <i>
      <x v="63"/>
      <x v="45"/>
    </i>
    <i>
      <x v="64"/>
      <x v="46"/>
    </i>
    <i>
      <x v="65"/>
      <x v="56"/>
    </i>
    <i>
      <x v="66"/>
      <x v="59"/>
    </i>
    <i>
      <x v="67"/>
      <x v="60"/>
    </i>
    <i>
      <x v="68"/>
      <x v="61"/>
    </i>
    <i>
      <x v="69"/>
      <x v="65"/>
    </i>
    <i>
      <x v="70"/>
      <x v="71"/>
    </i>
    <i>
      <x v="71"/>
      <x v="75"/>
    </i>
    <i>
      <x v="72"/>
      <x v="89"/>
    </i>
    <i>
      <x v="75"/>
      <x v="93"/>
    </i>
    <i>
      <x v="76"/>
      <x v="105"/>
    </i>
    <i>
      <x v="77"/>
      <x v="115"/>
    </i>
    <i>
      <x v="78"/>
      <x v="119"/>
    </i>
    <i>
      <x v="84"/>
      <x v="141"/>
    </i>
    <i>
      <x v="85"/>
      <x v="143"/>
    </i>
    <i>
      <x v="86"/>
      <x v="144"/>
    </i>
    <i>
      <x v="87"/>
      <x v="144"/>
    </i>
    <i>
      <x v="88"/>
      <x v="144"/>
    </i>
    <i>
      <x v="89"/>
      <x v="145"/>
    </i>
    <i>
      <x v="90"/>
      <x v="145"/>
    </i>
    <i>
      <x v="91"/>
      <x v="145"/>
    </i>
    <i>
      <x v="92"/>
      <x v="146"/>
    </i>
    <i>
      <x v="93"/>
      <x v="146"/>
    </i>
    <i>
      <x v="94"/>
      <x v="146"/>
    </i>
    <i>
      <x v="95"/>
      <x v="147"/>
    </i>
    <i>
      <x v="96"/>
      <x v="147"/>
    </i>
    <i>
      <x v="97"/>
      <x v="147"/>
    </i>
    <i>
      <x v="98"/>
      <x v="149"/>
    </i>
    <i>
      <x v="112"/>
      <x v="168"/>
    </i>
    <i>
      <x v="113"/>
      <x v="169"/>
    </i>
    <i>
      <x v="129"/>
      <x v="185"/>
    </i>
    <i>
      <x v="130"/>
      <x v="185"/>
    </i>
    <i>
      <x v="131"/>
      <x v="187"/>
    </i>
    <i>
      <x v="132"/>
      <x v="187"/>
    </i>
    <i>
      <x v="134"/>
      <x v="190"/>
    </i>
    <i>
      <x v="135"/>
      <x v="190"/>
    </i>
    <i>
      <x v="136"/>
      <x v="191"/>
    </i>
    <i>
      <x v="137"/>
      <x v="191"/>
    </i>
    <i>
      <x v="138"/>
      <x v="192"/>
    </i>
    <i>
      <x v="139"/>
      <x v="193"/>
    </i>
    <i>
      <x v="140"/>
      <x v="193"/>
    </i>
    <i>
      <x v="141"/>
      <x v="194"/>
    </i>
    <i>
      <x v="142"/>
      <x v="194"/>
    </i>
    <i>
      <x v="143"/>
      <x v="196"/>
    </i>
    <i>
      <x v="144"/>
      <x v="197"/>
    </i>
    <i>
      <x v="145"/>
      <x v="198"/>
    </i>
    <i>
      <x v="146"/>
      <x v="198"/>
    </i>
    <i>
      <x v="147"/>
      <x v="199"/>
    </i>
    <i>
      <x v="148"/>
      <x v="199"/>
    </i>
    <i>
      <x v="149"/>
      <x v="200"/>
    </i>
    <i>
      <x v="150"/>
      <x v="204"/>
    </i>
    <i>
      <x v="151"/>
      <x v="205"/>
    </i>
    <i>
      <x v="152"/>
      <x v="205"/>
    </i>
    <i>
      <x v="153"/>
      <x v="75"/>
    </i>
    <i>
      <x v="158"/>
      <x v="132"/>
    </i>
    <i>
      <x v="159"/>
      <x v="133"/>
    </i>
    <i>
      <x v="160"/>
      <x v="134"/>
    </i>
    <i>
      <x v="161"/>
      <x v="135"/>
    </i>
    <i>
      <x v="162"/>
      <x v="144"/>
    </i>
    <i>
      <x v="163"/>
      <x v="144"/>
    </i>
    <i>
      <x v="164"/>
      <x v="145"/>
    </i>
    <i>
      <x v="165"/>
      <x v="145"/>
    </i>
    <i>
      <x v="166"/>
      <x v="146"/>
    </i>
    <i>
      <x v="167"/>
      <x v="146"/>
    </i>
    <i>
      <x v="168"/>
      <x v="147"/>
    </i>
    <i>
      <x v="169"/>
      <x v="147"/>
    </i>
    <i>
      <x v="170"/>
      <x v="149"/>
    </i>
    <i>
      <x v="184"/>
      <x v="190"/>
    </i>
    <i>
      <x v="185"/>
      <x v="191"/>
    </i>
    <i>
      <x v="186"/>
      <x v="193"/>
    </i>
    <i>
      <x v="187"/>
      <x v="197"/>
    </i>
    <i>
      <x v="188"/>
      <x v="198"/>
    </i>
    <i>
      <x v="189"/>
      <x v="199"/>
    </i>
    <i>
      <x v="190"/>
      <x v="205"/>
    </i>
    <i>
      <x v="191"/>
      <x v="4"/>
    </i>
    <i>
      <x v="193"/>
      <x v="11"/>
    </i>
    <i>
      <x v="194"/>
      <x v="29"/>
    </i>
    <i>
      <x v="195"/>
      <x v="65"/>
    </i>
    <i>
      <x v="196"/>
      <x v="71"/>
    </i>
    <i>
      <x v="197"/>
      <x v="73"/>
    </i>
    <i>
      <x v="198"/>
      <x v="74"/>
    </i>
    <i>
      <x v="199"/>
      <x v="75"/>
    </i>
    <i>
      <x v="203"/>
      <x v="91"/>
    </i>
    <i>
      <x v="204"/>
      <x v="93"/>
    </i>
    <i>
      <x v="205"/>
      <x v="107"/>
    </i>
    <i>
      <x v="208"/>
      <x v="144"/>
    </i>
    <i>
      <x v="209"/>
      <x v="144"/>
    </i>
    <i>
      <x v="210"/>
      <x v="145"/>
    </i>
    <i>
      <x v="211"/>
      <x v="145"/>
    </i>
    <i>
      <x v="212"/>
      <x v="146"/>
    </i>
    <i>
      <x v="213"/>
      <x v="146"/>
    </i>
    <i>
      <x v="214"/>
      <x v="147"/>
    </i>
    <i>
      <x v="215"/>
      <x v="147"/>
    </i>
    <i>
      <x v="216"/>
      <x v="149"/>
    </i>
    <i>
      <x v="227"/>
      <x v="174"/>
    </i>
    <i>
      <x v="233"/>
      <x v="185"/>
    </i>
    <i>
      <x v="234"/>
      <x v="190"/>
    </i>
    <i>
      <x v="235"/>
      <x v="191"/>
    </i>
    <i>
      <x v="236"/>
      <x v="192"/>
    </i>
    <i>
      <x v="237"/>
      <x v="193"/>
    </i>
    <i>
      <x v="238"/>
      <x v="195"/>
    </i>
    <i>
      <x v="239"/>
      <x v="197"/>
    </i>
    <i>
      <x v="240"/>
      <x v="198"/>
    </i>
    <i>
      <x v="241"/>
      <x v="199"/>
    </i>
    <i>
      <x v="242"/>
      <x v="205"/>
    </i>
    <i>
      <x v="244"/>
      <x v="5"/>
    </i>
    <i>
      <x v="245"/>
      <x v="10"/>
    </i>
    <i>
      <x v="246"/>
      <x v="11"/>
    </i>
    <i>
      <x v="248"/>
      <x v="29"/>
    </i>
    <i>
      <x v="249"/>
      <x v="51"/>
    </i>
    <i>
      <x v="250"/>
      <x v="52"/>
    </i>
    <i>
      <x v="251"/>
      <x v="62"/>
    </i>
    <i>
      <x v="254"/>
      <x v="130"/>
    </i>
    <i>
      <x v="255"/>
      <x v="131"/>
    </i>
    <i>
      <x v="256"/>
      <x v="132"/>
    </i>
    <i>
      <x v="257"/>
      <x v="133"/>
    </i>
    <i>
      <x v="258"/>
      <x v="134"/>
    </i>
    <i>
      <x v="259"/>
      <x v="135"/>
    </i>
    <i>
      <x v="260"/>
      <x v="137"/>
    </i>
    <i>
      <x v="261"/>
      <x v="149"/>
    </i>
    <i>
      <x v="268"/>
      <x v="168"/>
    </i>
    <i>
      <x v="269"/>
      <x v="169"/>
    </i>
    <i>
      <x v="274"/>
      <x v="185"/>
    </i>
    <i>
      <x v="275"/>
      <x v="190"/>
    </i>
    <i>
      <x v="276"/>
      <x v="191"/>
    </i>
    <i>
      <x v="277"/>
      <x v="193"/>
    </i>
    <i>
      <x v="278"/>
      <x v="195"/>
    </i>
    <i>
      <x v="279"/>
      <x v="197"/>
    </i>
    <i>
      <x v="280"/>
      <x v="198"/>
    </i>
    <i>
      <x v="281"/>
      <x v="199"/>
    </i>
    <i>
      <x v="282"/>
      <x v="200"/>
    </i>
    <i>
      <x v="284"/>
      <x v="5"/>
    </i>
    <i>
      <x v="285"/>
      <x v="5"/>
    </i>
    <i>
      <x v="286"/>
      <x v="7"/>
    </i>
    <i>
      <x v="287"/>
      <x v="7"/>
    </i>
    <i>
      <x v="288"/>
      <x v="9"/>
    </i>
    <i>
      <x v="289"/>
      <x v="11"/>
    </i>
    <i>
      <x v="291"/>
      <x v="27"/>
    </i>
    <i>
      <x v="292"/>
      <x v="28"/>
    </i>
    <i>
      <x v="293"/>
      <x v="29"/>
    </i>
    <i>
      <x v="294"/>
      <x v="30"/>
    </i>
    <i>
      <x v="295"/>
      <x v="32"/>
    </i>
    <i>
      <x v="297"/>
      <x v="75"/>
    </i>
    <i>
      <x v="299"/>
      <x v="77"/>
    </i>
    <i>
      <x v="303"/>
      <x v="91"/>
    </i>
    <i>
      <x v="305"/>
      <x v="100"/>
    </i>
    <i>
      <x v="306"/>
      <x v="106"/>
    </i>
    <i>
      <x v="307"/>
      <x v="107"/>
    </i>
    <i>
      <x v="308"/>
      <x v="116"/>
    </i>
    <i>
      <x v="313"/>
      <x v="144"/>
    </i>
    <i>
      <x v="314"/>
      <x v="144"/>
    </i>
    <i>
      <x v="315"/>
      <x v="145"/>
    </i>
    <i>
      <x v="316"/>
      <x v="145"/>
    </i>
    <i>
      <x v="317"/>
      <x v="146"/>
    </i>
    <i>
      <x v="318"/>
      <x v="146"/>
    </i>
    <i>
      <x v="319"/>
      <x v="147"/>
    </i>
    <i>
      <x v="320"/>
      <x v="147"/>
    </i>
    <i>
      <x v="321"/>
      <x v="149"/>
    </i>
    <i>
      <x v="325"/>
      <x v="157"/>
    </i>
    <i>
      <x v="337"/>
      <x v="185"/>
    </i>
    <i>
      <x v="338"/>
      <x v="190"/>
    </i>
    <i>
      <x v="339"/>
      <x v="191"/>
    </i>
    <i>
      <x v="340"/>
      <x v="193"/>
    </i>
    <i>
      <x v="341"/>
      <x v="195"/>
    </i>
    <i>
      <x v="342"/>
      <x v="197"/>
    </i>
    <i>
      <x v="343"/>
      <x v="198"/>
    </i>
    <i>
      <x v="344"/>
      <x v="199"/>
    </i>
    <i>
      <x v="346"/>
      <x v="1"/>
    </i>
    <i>
      <x v="347"/>
      <x v="2"/>
    </i>
    <i>
      <x v="348"/>
      <x v="6"/>
    </i>
    <i>
      <x v="349"/>
      <x v="8"/>
    </i>
    <i>
      <x v="350"/>
      <x v="11"/>
    </i>
    <i>
      <x v="352"/>
      <x v="14"/>
    </i>
    <i>
      <x v="353"/>
      <x v="15"/>
    </i>
    <i>
      <x v="355"/>
      <x v="20"/>
    </i>
    <i>
      <x v="356"/>
      <x v="21"/>
    </i>
    <i>
      <x v="358"/>
      <x v="24"/>
    </i>
    <i>
      <x v="359"/>
      <x v="26"/>
    </i>
    <i>
      <x v="360"/>
      <x v="29"/>
    </i>
    <i>
      <x v="361"/>
      <x v="29"/>
    </i>
    <i>
      <x v="364"/>
      <x v="45"/>
    </i>
    <i>
      <x v="365"/>
      <x v="46"/>
    </i>
    <i>
      <x v="366"/>
      <x v="53"/>
    </i>
    <i>
      <x v="367"/>
      <x v="56"/>
    </i>
    <i>
      <x v="368"/>
      <x v="59"/>
    </i>
    <i>
      <x v="369"/>
      <x v="61"/>
    </i>
    <i>
      <x v="370"/>
      <x v="64"/>
    </i>
    <i>
      <x v="371"/>
      <x v="66"/>
    </i>
    <i>
      <x v="372"/>
      <x v="67"/>
    </i>
    <i>
      <x v="373"/>
      <x v="68"/>
    </i>
    <i>
      <x v="374"/>
      <x v="69"/>
    </i>
    <i>
      <x v="375"/>
      <x v="75"/>
    </i>
    <i>
      <x v="377"/>
      <x v="77"/>
    </i>
    <i>
      <x v="378"/>
      <x v="77"/>
    </i>
    <i>
      <x v="379"/>
      <x v="78"/>
    </i>
    <i>
      <x v="380"/>
      <x v="79"/>
    </i>
    <i>
      <x v="381"/>
      <x v="80"/>
    </i>
    <i>
      <x v="383"/>
      <x v="83"/>
    </i>
    <i>
      <x v="385"/>
      <x v="85"/>
    </i>
    <i>
      <x v="386"/>
      <x v="86"/>
    </i>
    <i>
      <x v="389"/>
      <x v="90"/>
    </i>
    <i>
      <x v="390"/>
      <x v="91"/>
    </i>
    <i>
      <x v="397"/>
      <x v="105"/>
    </i>
    <i>
      <x v="399"/>
      <x v="113"/>
    </i>
    <i>
      <x v="401"/>
      <x v="120"/>
    </i>
    <i>
      <x v="402"/>
      <x v="121"/>
    </i>
    <i>
      <x v="403"/>
      <x v="122"/>
    </i>
    <i>
      <x v="411"/>
      <x v="144"/>
    </i>
    <i>
      <x v="412"/>
      <x v="144"/>
    </i>
    <i>
      <x v="413"/>
      <x v="145"/>
    </i>
    <i>
      <x v="414"/>
      <x v="145"/>
    </i>
    <i>
      <x v="415"/>
      <x v="146"/>
    </i>
    <i>
      <x v="416"/>
      <x v="146"/>
    </i>
    <i>
      <x v="417"/>
      <x v="147"/>
    </i>
    <i>
      <x v="418"/>
      <x v="147"/>
    </i>
    <i>
      <x v="419"/>
      <x v="148"/>
    </i>
    <i>
      <x v="420"/>
      <x v="149"/>
    </i>
    <i>
      <x v="436"/>
      <x v="174"/>
    </i>
    <i>
      <x v="445"/>
      <x v="186"/>
    </i>
    <i>
      <x v="446"/>
      <x v="187"/>
    </i>
    <i>
      <x v="447"/>
      <x v="189"/>
    </i>
    <i>
      <x v="448"/>
      <x v="192"/>
    </i>
    <i>
      <x v="449"/>
      <x v="193"/>
    </i>
    <i>
      <x v="450"/>
      <x v="195"/>
    </i>
    <i>
      <x v="451"/>
      <x v="200"/>
    </i>
    <i>
      <x v="452"/>
      <x v="3"/>
    </i>
    <i>
      <x v="453"/>
      <x v="5"/>
    </i>
    <i>
      <x v="455"/>
      <x v="16"/>
    </i>
    <i>
      <x v="458"/>
      <x v="28"/>
    </i>
    <i>
      <x v="459"/>
      <x v="29"/>
    </i>
    <i>
      <x v="462"/>
      <x v="42"/>
    </i>
    <i>
      <x v="463"/>
      <x v="43"/>
    </i>
    <i>
      <x v="464"/>
      <x v="44"/>
    </i>
    <i>
      <x v="465"/>
      <x v="45"/>
    </i>
    <i>
      <x v="466"/>
      <x v="46"/>
    </i>
    <i>
      <x v="467"/>
      <x v="47"/>
    </i>
    <i>
      <x v="468"/>
      <x v="48"/>
    </i>
    <i>
      <x v="469"/>
      <x v="49"/>
    </i>
    <i>
      <x v="470"/>
      <x v="50"/>
    </i>
    <i>
      <x v="471"/>
      <x v="54"/>
    </i>
    <i>
      <x v="472"/>
      <x v="55"/>
    </i>
    <i>
      <x v="473"/>
      <x v="56"/>
    </i>
    <i>
      <x v="474"/>
      <x v="58"/>
    </i>
    <i>
      <x v="475"/>
      <x v="59"/>
    </i>
    <i>
      <x v="476"/>
      <x v="61"/>
    </i>
    <i>
      <x v="477"/>
      <x v="63"/>
    </i>
    <i>
      <x v="478"/>
      <x v="70"/>
    </i>
    <i>
      <x v="479"/>
      <x v="78"/>
    </i>
    <i>
      <x v="480"/>
      <x v="84"/>
    </i>
    <i>
      <x v="481"/>
      <x v="92"/>
    </i>
    <i>
      <x v="482"/>
      <x v="96"/>
    </i>
    <i>
      <x v="483"/>
      <x v="96"/>
    </i>
    <i>
      <x v="484"/>
      <x v="104"/>
    </i>
    <i>
      <x v="485"/>
      <x v="105"/>
    </i>
    <i>
      <x v="486"/>
      <x v="109"/>
    </i>
    <i>
      <x v="487"/>
      <x v="110"/>
    </i>
    <i>
      <x v="488"/>
      <x v="111"/>
    </i>
    <i>
      <x v="491"/>
      <x v="125"/>
    </i>
    <i>
      <x v="493"/>
      <x v="144"/>
    </i>
    <i>
      <x v="494"/>
      <x v="144"/>
    </i>
    <i>
      <x v="495"/>
      <x v="145"/>
    </i>
    <i>
      <x v="496"/>
      <x v="145"/>
    </i>
    <i>
      <x v="497"/>
      <x v="146"/>
    </i>
    <i>
      <x v="498"/>
      <x v="146"/>
    </i>
    <i>
      <x v="499"/>
      <x v="147"/>
    </i>
    <i>
      <x v="500"/>
      <x v="147"/>
    </i>
    <i>
      <x v="501"/>
      <x v="149"/>
    </i>
    <i>
      <x v="502"/>
      <x v="151"/>
    </i>
    <i>
      <x v="508"/>
      <x v="159"/>
    </i>
    <i>
      <x v="514"/>
      <x v="176"/>
    </i>
    <i>
      <x v="515"/>
      <x v="177"/>
    </i>
    <i>
      <x v="520"/>
      <x v="186"/>
    </i>
    <i>
      <x v="521"/>
      <x v="187"/>
    </i>
    <i>
      <x v="522"/>
      <x v="190"/>
    </i>
    <i>
      <x v="523"/>
      <x v="191"/>
    </i>
    <i>
      <x v="524"/>
      <x v="193"/>
    </i>
    <i>
      <x v="525"/>
      <x v="194"/>
    </i>
    <i>
      <x v="526"/>
      <x v="195"/>
    </i>
    <i>
      <x v="527"/>
      <x v="197"/>
    </i>
    <i>
      <x v="528"/>
      <x v="198"/>
    </i>
    <i>
      <x v="529"/>
      <x v="199"/>
    </i>
    <i>
      <x v="530"/>
      <x v="200"/>
    </i>
    <i>
      <x v="531"/>
      <x v="202"/>
    </i>
    <i>
      <x v="532"/>
      <x v="203"/>
    </i>
    <i>
      <x v="534"/>
      <x v="91"/>
    </i>
    <i>
      <x v="535"/>
      <x v="91"/>
    </i>
    <i>
      <x v="542"/>
      <x v="149"/>
    </i>
    <i>
      <x v="546"/>
      <x v="169"/>
    </i>
    <i>
      <x v="551"/>
      <x v="185"/>
    </i>
    <i>
      <x v="552"/>
      <x v="190"/>
    </i>
    <i>
      <x v="553"/>
      <x v="191"/>
    </i>
    <i>
      <x v="554"/>
      <x v="197"/>
    </i>
    <i>
      <x v="555"/>
      <x v="198"/>
    </i>
    <i>
      <x v="556"/>
      <x v="199"/>
    </i>
    <i>
      <x v="557"/>
      <x v="201"/>
    </i>
    <i>
      <x v="558"/>
      <x v="202"/>
    </i>
    <i>
      <x v="559"/>
      <x v="203"/>
    </i>
    <i>
      <x v="560"/>
      <x v="80"/>
    </i>
    <i>
      <x v="561"/>
      <x v="206"/>
    </i>
    <i>
      <x v="562"/>
      <x v="207"/>
    </i>
    <i>
      <x v="563"/>
      <x v="208"/>
    </i>
    <i>
      <x v="564"/>
      <x v="209"/>
    </i>
    <i>
      <x v="565"/>
      <x v="210"/>
    </i>
    <i>
      <x v="566"/>
      <x v="205"/>
    </i>
    <i>
      <x v="567"/>
      <x v="77"/>
    </i>
    <i>
      <x v="568"/>
      <x v="11"/>
    </i>
    <i>
      <x v="569"/>
      <x v="211"/>
    </i>
    <i>
      <x v="570"/>
      <x v="203"/>
    </i>
    <i>
      <x v="571"/>
      <x v="212"/>
    </i>
    <i>
      <x v="572"/>
      <x v="213"/>
    </i>
    <i>
      <x v="573"/>
      <x v="214"/>
    </i>
    <i>
      <x v="574"/>
      <x v="215"/>
    </i>
    <i>
      <x v="575"/>
      <x v="216"/>
    </i>
    <i>
      <x v="576"/>
      <x v="217"/>
    </i>
    <i>
      <x v="577"/>
      <x v="217"/>
    </i>
    <i>
      <x v="578"/>
      <x v="203"/>
    </i>
    <i>
      <x v="579"/>
      <x v="202"/>
    </i>
    <i>
      <x v="580"/>
      <x v="202"/>
    </i>
    <i>
      <x v="581"/>
      <x v="203"/>
    </i>
    <i>
      <x v="582"/>
      <x v="195"/>
    </i>
    <i>
      <x v="583"/>
      <x v="195"/>
    </i>
    <i>
      <x v="584"/>
      <x v="216"/>
    </i>
    <i>
      <x v="585"/>
      <x v="216"/>
    </i>
    <i>
      <x v="586"/>
      <x v="218"/>
    </i>
    <i>
      <x v="587"/>
      <x v="218"/>
    </i>
    <i>
      <x v="588"/>
      <x v="216"/>
    </i>
    <i>
      <x v="589"/>
      <x v="216"/>
    </i>
    <i>
      <x v="590"/>
      <x v="202"/>
    </i>
    <i>
      <x v="591"/>
      <x v="203"/>
    </i>
    <i>
      <x v="592"/>
      <x v="195"/>
    </i>
    <i>
      <x v="593"/>
      <x v="216"/>
    </i>
    <i>
      <x v="594"/>
      <x v="216"/>
    </i>
    <i>
      <x v="595"/>
      <x v="218"/>
    </i>
    <i>
      <x v="596"/>
      <x v="218"/>
    </i>
    <i>
      <x v="597"/>
      <x v="202"/>
    </i>
    <i>
      <x v="598"/>
      <x v="203"/>
    </i>
    <i>
      <x v="599"/>
      <x v="219"/>
    </i>
    <i>
      <x v="600"/>
      <x v="220"/>
    </i>
    <i>
      <x v="601"/>
      <x v="66"/>
    </i>
    <i>
      <x v="602"/>
      <x v="68"/>
    </i>
    <i>
      <x v="603"/>
      <x v="79"/>
    </i>
    <i>
      <x v="604"/>
      <x v="221"/>
    </i>
    <i>
      <x v="605"/>
      <x v="222"/>
    </i>
    <i>
      <x v="606"/>
      <x v="223"/>
    </i>
    <i>
      <x v="607"/>
      <x v="205"/>
    </i>
    <i>
      <x v="608"/>
      <x v="203"/>
    </i>
    <i>
      <x v="609"/>
      <x v="206"/>
    </i>
    <i>
      <x v="610"/>
      <x v="80"/>
    </i>
    <i>
      <x v="611"/>
      <x v="77"/>
    </i>
    <i>
      <x v="612"/>
      <x v="224"/>
    </i>
    <i>
      <x v="613"/>
      <x v="225"/>
    </i>
    <i>
      <x v="614"/>
      <x v="213"/>
    </i>
    <i>
      <x v="615"/>
      <x v="214"/>
    </i>
    <i>
      <x v="616"/>
      <x v="212"/>
    </i>
    <i>
      <x v="617"/>
      <x v="216"/>
    </i>
    <i>
      <x v="618"/>
      <x v="226"/>
    </i>
    <i>
      <x v="619"/>
      <x v="203"/>
    </i>
    <i>
      <x v="620"/>
      <x v="227"/>
    </i>
    <i>
      <x v="621"/>
      <x v="228"/>
    </i>
    <i>
      <x v="622"/>
      <x v="229"/>
    </i>
    <i>
      <x v="623"/>
      <x v="230"/>
    </i>
    <i>
      <x v="624"/>
      <x v="59"/>
    </i>
    <i>
      <x v="625"/>
      <x v="231"/>
    </i>
    <i>
      <x v="626"/>
      <x v="58"/>
    </i>
    <i>
      <x v="627"/>
      <x v="232"/>
    </i>
    <i>
      <x v="628"/>
      <x v="56"/>
    </i>
    <i>
      <x v="629"/>
      <x v="55"/>
    </i>
    <i>
      <x v="630"/>
      <x v="233"/>
    </i>
    <i>
      <x v="631"/>
      <x v="234"/>
    </i>
    <i>
      <x v="632"/>
      <x v="235"/>
    </i>
    <i>
      <x v="633"/>
      <x v="236"/>
    </i>
    <i>
      <x v="634"/>
      <x v="237"/>
    </i>
    <i>
      <x v="635"/>
      <x v="238"/>
    </i>
    <i>
      <x v="636"/>
      <x v="46"/>
    </i>
    <i>
      <x v="637"/>
      <x v="239"/>
    </i>
    <i>
      <x v="638"/>
      <x v="240"/>
    </i>
    <i>
      <x v="639"/>
      <x v="241"/>
    </i>
    <i>
      <x v="640"/>
      <x v="44"/>
    </i>
    <i>
      <x v="641"/>
      <x v="242"/>
    </i>
    <i>
      <x v="642"/>
      <x v="6"/>
    </i>
    <i>
      <x v="643"/>
      <x v="243"/>
    </i>
    <i>
      <x v="644"/>
      <x v="218"/>
    </i>
    <i>
      <x v="645"/>
      <x v="218"/>
    </i>
    <i>
      <x v="646"/>
      <x v="216"/>
    </i>
    <i>
      <x v="647"/>
      <x v="216"/>
    </i>
    <i>
      <x v="648"/>
      <x v="244"/>
    </i>
    <i>
      <x v="649"/>
      <x v="205"/>
    </i>
    <i>
      <x v="650"/>
      <x v="203"/>
    </i>
    <i>
      <x v="651"/>
      <x v="199"/>
    </i>
    <i>
      <x v="652"/>
      <x v="197"/>
    </i>
    <i>
      <x v="653"/>
      <x v="198"/>
    </i>
    <i>
      <x v="654"/>
      <x v="191"/>
    </i>
    <i>
      <x v="655"/>
      <x v="190"/>
    </i>
    <i>
      <x v="656"/>
      <x v="221"/>
    </i>
    <i>
      <x v="657"/>
      <x v="65"/>
    </i>
    <i>
      <x v="658"/>
      <x v="93"/>
    </i>
    <i>
      <x v="659"/>
      <x v="222"/>
    </i>
    <i>
      <x v="660"/>
      <x v="174"/>
    </i>
    <i>
      <x v="661"/>
      <x v="245"/>
    </i>
    <i>
      <x v="662"/>
      <x v="219"/>
    </i>
    <i>
      <x v="663"/>
      <x v="71"/>
    </i>
    <i>
      <x v="664"/>
      <x v="246"/>
    </i>
    <i>
      <x v="665"/>
      <x v="188"/>
    </i>
    <i>
      <x v="666"/>
      <x v="247"/>
    </i>
    <i>
      <x v="667"/>
      <x v="205"/>
    </i>
    <i>
      <x v="668"/>
      <x v="248"/>
    </i>
    <i>
      <x v="669"/>
      <x v="249"/>
    </i>
    <i>
      <x v="670"/>
      <x v="250"/>
    </i>
    <i>
      <x v="671"/>
      <x v="251"/>
    </i>
    <i>
      <x v="672"/>
      <x v="252"/>
    </i>
    <i>
      <x v="673"/>
      <x v="253"/>
    </i>
    <i>
      <x v="674"/>
      <x v="254"/>
    </i>
    <i>
      <x v="675"/>
      <x v="11"/>
    </i>
    <i>
      <x v="676"/>
      <x v="205"/>
    </i>
    <i>
      <x v="677"/>
      <x v="216"/>
    </i>
    <i>
      <x v="678"/>
      <x v="218"/>
    </i>
    <i>
      <x v="679"/>
      <x v="217"/>
    </i>
    <i>
      <x v="680"/>
      <x v="204"/>
    </i>
    <i>
      <x v="681"/>
      <x v="205"/>
    </i>
    <i>
      <x v="682"/>
      <x v="216"/>
    </i>
    <i>
      <x v="683"/>
      <x v="216"/>
    </i>
    <i>
      <x v="684"/>
      <x v="218"/>
    </i>
    <i t="grand">
      <x/>
    </i>
  </rowItems>
  <colItems count="1">
    <i/>
  </colItems>
  <pageFields count="1">
    <pageField fld="26" hier="-1"/>
  </pageFields>
  <dataFields count="1">
    <dataField name="Suma de cantidad" fld="2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name="TablaDinámica1" cacheId="65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A3:C5" firstHeaderRow="1" firstDataRow="1" firstDataCol="2" rowPageCount="1" colPageCount="1"/>
  <pivotFields count="34">
    <pivotField axis="axisRow" compact="0" outline="0" showAll="0" defaultSubtotal="0">
      <items count="2157">
        <item m="1" x="254"/>
        <item m="1" x="255"/>
        <item m="1" x="256"/>
        <item m="1" x="257"/>
        <item m="1" x="258"/>
        <item m="1" x="259"/>
        <item m="1" x="718"/>
        <item m="1" x="719"/>
        <item m="1" x="1445"/>
        <item m="1" x="720"/>
        <item m="1" x="721"/>
        <item m="1" x="1446"/>
        <item m="1" x="722"/>
        <item m="1" x="1447"/>
        <item m="1" x="723"/>
        <item m="1" x="724"/>
        <item m="1" x="1448"/>
        <item m="1" x="725"/>
        <item m="1" x="726"/>
        <item m="1" x="727"/>
        <item m="1" x="728"/>
        <item m="1" x="1449"/>
        <item m="1" x="729"/>
        <item m="1" x="730"/>
        <item m="1" x="731"/>
        <item m="1" x="1450"/>
        <item m="1" x="733"/>
        <item m="1" x="734"/>
        <item m="1" x="735"/>
        <item m="1" x="1451"/>
        <item m="1" x="736"/>
        <item m="1" x="738"/>
        <item m="1" x="741"/>
        <item m="1" x="742"/>
        <item m="1" x="265"/>
        <item m="1" x="266"/>
        <item m="1" x="1452"/>
        <item m="1" x="743"/>
        <item m="1" x="744"/>
        <item m="1" x="746"/>
        <item m="1" x="747"/>
        <item m="1" x="748"/>
        <item m="1" x="1453"/>
        <item m="1" x="749"/>
        <item m="1" x="750"/>
        <item m="1" x="752"/>
        <item m="1" x="753"/>
        <item m="1" x="1455"/>
        <item m="1" x="1456"/>
        <item m="1" x="754"/>
        <item m="1" x="755"/>
        <item m="1" x="756"/>
        <item m="1" x="1457"/>
        <item m="1" x="757"/>
        <item m="1" x="759"/>
        <item m="1" x="760"/>
        <item m="1" x="761"/>
        <item m="1" x="1133"/>
        <item m="1" x="278"/>
        <item m="1" x="279"/>
        <item m="1" x="765"/>
        <item m="1" x="766"/>
        <item m="1" x="1422"/>
        <item m="1" x="767"/>
        <item m="1" x="1393"/>
        <item m="1" x="1394"/>
        <item m="1" x="768"/>
        <item m="1" x="778"/>
        <item m="1" x="487"/>
        <item m="1" x="1202"/>
        <item m="1" x="779"/>
        <item m="1" x="1203"/>
        <item m="1" x="781"/>
        <item m="1" x="782"/>
        <item m="1" x="783"/>
        <item m="1" x="784"/>
        <item m="1" x="1205"/>
        <item m="1" x="1207"/>
        <item m="1" x="1381"/>
        <item m="1" x="1209"/>
        <item m="1" x="1382"/>
        <item m="1" x="785"/>
        <item m="1" x="1383"/>
        <item m="1" x="1212"/>
        <item m="1" x="1214"/>
        <item m="1" x="787"/>
        <item m="1" x="788"/>
        <item m="1" x="488"/>
        <item m="1" x="1324"/>
        <item m="1" x="489"/>
        <item m="1" x="183"/>
        <item m="1" x="184"/>
        <item m="1" x="1325"/>
        <item m="1" x="490"/>
        <item m="1" x="185"/>
        <item m="1" x="1326"/>
        <item m="1" x="491"/>
        <item m="1" x="1327"/>
        <item m="1" x="492"/>
        <item m="1" x="1328"/>
        <item m="1" x="493"/>
        <item m="1" x="1329"/>
        <item m="1" x="1330"/>
        <item m="1" x="494"/>
        <item m="1" x="1115"/>
        <item m="1" x="1331"/>
        <item m="1" x="495"/>
        <item m="1" x="1332"/>
        <item m="1" x="496"/>
        <item m="1" x="1116"/>
        <item m="1" x="1333"/>
        <item m="1" x="497"/>
        <item m="1" x="1334"/>
        <item m="1" x="498"/>
        <item m="1" x="499"/>
        <item m="1" x="1117"/>
        <item m="1" x="1335"/>
        <item m="1" x="500"/>
        <item m="1" x="1336"/>
        <item m="1" x="501"/>
        <item m="1" x="1118"/>
        <item m="1" x="1338"/>
        <item m="1" x="502"/>
        <item m="1" x="1106"/>
        <item m="1" x="186"/>
        <item m="1" x="187"/>
        <item m="1" x="1107"/>
        <item m="1" x="188"/>
        <item m="1" x="1339"/>
        <item m="1" x="503"/>
        <item m="1" x="1340"/>
        <item m="1" x="504"/>
        <item m="1" x="1341"/>
        <item m="1" x="1119"/>
        <item m="1" x="1342"/>
        <item m="1" x="505"/>
        <item m="1" x="189"/>
        <item m="1" x="511"/>
        <item m="1" x="190"/>
        <item m="1" x="512"/>
        <item m="1" x="191"/>
        <item m="1" x="1344"/>
        <item m="1" x="513"/>
        <item m="1" x="514"/>
        <item m="1" x="515"/>
        <item m="1" x="1345"/>
        <item m="1" x="518"/>
        <item m="1" x="519"/>
        <item m="1" x="1120"/>
        <item m="1" x="1346"/>
        <item m="1" x="520"/>
        <item m="1" x="1347"/>
        <item m="1" x="1348"/>
        <item m="1" x="1297"/>
        <item m="1" x="1298"/>
        <item m="1" x="1121"/>
        <item m="1" x="1349"/>
        <item m="1" x="527"/>
        <item m="1" x="528"/>
        <item m="1" x="1351"/>
        <item m="1" x="529"/>
        <item m="1" x="530"/>
        <item m="1" x="531"/>
        <item m="1" x="532"/>
        <item m="1" x="1353"/>
        <item m="1" x="1354"/>
        <item m="1" x="1356"/>
        <item m="1" x="533"/>
        <item m="1" x="536"/>
        <item m="1" x="1358"/>
        <item m="1" x="537"/>
        <item m="1" x="1109"/>
        <item m="1" x="538"/>
        <item m="1" x="1301"/>
        <item m="1" x="192"/>
        <item m="1" x="200"/>
        <item m="1" x="1225"/>
        <item m="1" x="540"/>
        <item m="1" x="1360"/>
        <item m="1" x="541"/>
        <item m="1" x="202"/>
        <item m="1" x="203"/>
        <item m="1" x="1226"/>
        <item m="1" x="544"/>
        <item m="1" x="1227"/>
        <item m="1" x="1307"/>
        <item m="1" x="545"/>
        <item m="1" x="1110"/>
        <item m="1" x="794"/>
        <item m="1" x="795"/>
        <item m="1" x="796"/>
        <item m="1" x="797"/>
        <item m="1" x="798"/>
        <item m="1" x="1228"/>
        <item m="1" x="799"/>
        <item m="1" x="800"/>
        <item m="1" x="801"/>
        <item m="1" x="802"/>
        <item m="1" x="803"/>
        <item m="1" x="804"/>
        <item m="1" x="805"/>
        <item m="1" x="1229"/>
        <item m="1" x="806"/>
        <item m="1" x="807"/>
        <item m="1" x="808"/>
        <item m="1" x="809"/>
        <item m="1" x="1230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1363"/>
        <item m="1" x="1111"/>
        <item m="1" x="547"/>
        <item m="1" x="1231"/>
        <item m="1" x="1232"/>
        <item m="1" x="1233"/>
        <item m="1" x="1234"/>
        <item m="1" x="1235"/>
        <item m="1" x="549"/>
        <item m="1" x="1236"/>
        <item m="1" x="1237"/>
        <item m="1" x="1077"/>
        <item m="1" x="68"/>
        <item m="1" x="178"/>
        <item m="1" x="179"/>
        <item m="1" x="94"/>
        <item m="1" x="1557"/>
        <item m="1" x="963"/>
        <item m="1" x="964"/>
        <item m="1" x="95"/>
        <item m="1" x="1558"/>
        <item m="1" x="965"/>
        <item m="1" x="96"/>
        <item m="1" x="44"/>
        <item m="1" x="1559"/>
        <item m="1" x="97"/>
        <item m="1" x="1560"/>
        <item m="1" x="1561"/>
        <item m="1" x="98"/>
        <item m="1" x="99"/>
        <item m="1" x="1562"/>
        <item m="1" x="100"/>
        <item m="1" x="45"/>
        <item m="1" x="101"/>
        <item m="1" x="1563"/>
        <item m="1" x="102"/>
        <item m="1" x="1564"/>
        <item m="1" x="103"/>
        <item m="1" x="1079"/>
        <item m="1" x="1565"/>
        <item m="1" x="966"/>
        <item m="1" x="967"/>
        <item m="1" x="104"/>
        <item m="1" x="1566"/>
        <item m="1" x="105"/>
        <item m="1" x="106"/>
        <item m="1" x="1567"/>
        <item m="1" x="47"/>
        <item m="1" x="968"/>
        <item m="1" x="969"/>
        <item m="1" x="970"/>
        <item m="1" x="1080"/>
        <item m="1" x="71"/>
        <item m="1" x="1081"/>
        <item m="1" x="1084"/>
        <item m="1" x="1085"/>
        <item m="1" x="107"/>
        <item m="1" x="1573"/>
        <item m="1" x="971"/>
        <item m="1" x="73"/>
        <item m="1" x="1086"/>
        <item m="1" x="108"/>
        <item m="1" x="1574"/>
        <item m="1" x="972"/>
        <item m="1" x="973"/>
        <item m="1" x="111"/>
        <item m="1" x="113"/>
        <item m="1" x="115"/>
        <item m="1" x="1578"/>
        <item m="1" x="1089"/>
        <item m="1" x="974"/>
        <item m="1" x="48"/>
        <item m="1" x="975"/>
        <item m="1" x="976"/>
        <item m="1" x="977"/>
        <item m="1" x="49"/>
        <item m="1" x="978"/>
        <item m="1" x="979"/>
        <item m="1" x="980"/>
        <item m="1" x="981"/>
        <item m="1" x="50"/>
        <item m="1" x="982"/>
        <item m="1" x="983"/>
        <item m="1" x="984"/>
        <item m="1" x="985"/>
        <item m="1" x="986"/>
        <item m="1" x="987"/>
        <item m="1" x="1090"/>
        <item m="1" x="1091"/>
        <item m="1" x="1092"/>
        <item m="1" x="1093"/>
        <item m="1" x="1579"/>
        <item m="1" x="116"/>
        <item m="1" x="1580"/>
        <item m="1" x="117"/>
        <item m="1" x="1583"/>
        <item m="1" x="51"/>
        <item m="1" x="1094"/>
        <item m="1" x="1095"/>
        <item m="1" x="1585"/>
        <item m="1" x="76"/>
        <item m="1" x="988"/>
        <item m="1" x="989"/>
        <item m="1" x="990"/>
        <item m="1" x="991"/>
        <item m="1" x="90"/>
        <item m="1" x="91"/>
        <item m="1" x="697"/>
        <item m="1" x="2081"/>
        <item m="1" x="698"/>
        <item m="1" x="699"/>
        <item m="1" x="1987"/>
        <item m="1" x="1"/>
        <item m="1" x="1137"/>
        <item m="1" x="1138"/>
        <item m="1" x="2110"/>
        <item m="1" x="1139"/>
        <item m="1" x="685"/>
        <item m="1" x="2111"/>
        <item m="1" x="1140"/>
        <item m="1" x="686"/>
        <item m="1" x="687"/>
        <item m="1" x="2112"/>
        <item m="1" x="1141"/>
        <item m="1" x="2113"/>
        <item m="1" x="1142"/>
        <item m="1" x="2114"/>
        <item m="1" x="1143"/>
        <item m="1" x="2115"/>
        <item m="1" x="1144"/>
        <item m="1" x="2116"/>
        <item m="1" x="1145"/>
        <item m="1" x="2117"/>
        <item m="1" x="1146"/>
        <item m="1" x="2118"/>
        <item m="1" x="1147"/>
        <item m="1" x="1148"/>
        <item m="1" x="2119"/>
        <item m="1" x="1149"/>
        <item m="1" x="1609"/>
        <item m="1" x="2120"/>
        <item m="1" x="1150"/>
        <item m="1" x="2121"/>
        <item m="1" x="1151"/>
        <item m="1" x="1610"/>
        <item m="1" x="2122"/>
        <item m="1" x="688"/>
        <item m="1" x="2123"/>
        <item m="1" x="1152"/>
        <item m="1" x="1153"/>
        <item m="1" x="2124"/>
        <item m="1" x="1154"/>
        <item m="1" x="1611"/>
        <item m="1" x="689"/>
        <item m="1" x="690"/>
        <item m="1" x="1992"/>
        <item m="1" x="1163"/>
        <item m="1" x="701"/>
        <item m="1" x="702"/>
        <item m="1" x="691"/>
        <item m="1" x="704"/>
        <item m="1" x="705"/>
        <item m="1" x="1164"/>
        <item m="1" x="2125"/>
        <item m="1" x="2126"/>
        <item m="1" x="1166"/>
        <item m="1" x="2127"/>
        <item m="1" x="1167"/>
        <item m="1" x="1168"/>
        <item m="1" x="1169"/>
        <item m="1" x="2129"/>
        <item m="1" x="1170"/>
        <item m="1" x="1173"/>
        <item m="1" x="2130"/>
        <item m="1" x="1174"/>
        <item m="1" x="2131"/>
        <item m="1" x="1175"/>
        <item m="1" x="2132"/>
        <item m="1" x="2133"/>
        <item m="1" x="2134"/>
        <item m="1" x="707"/>
        <item m="1" x="1998"/>
        <item m="1" x="2136"/>
        <item m="1" x="1176"/>
        <item m="1" x="2137"/>
        <item m="1" x="1177"/>
        <item m="1" x="692"/>
        <item m="1" x="2138"/>
        <item m="1" x="1179"/>
        <item m="1" x="1612"/>
        <item m="1" x="2139"/>
        <item m="1" x="1180"/>
        <item m="1" x="1613"/>
        <item m="1" x="709"/>
        <item m="1" x="693"/>
        <item m="1" x="710"/>
        <item m="1" x="1999"/>
        <item m="1" x="694"/>
        <item m="1" x="695"/>
        <item m="1" x="696"/>
        <item m="1" x="2000"/>
        <item m="1" x="2095"/>
        <item m="1" x="2096"/>
        <item m="1" x="1189"/>
        <item m="1" x="1478"/>
        <item m="1" x="296"/>
        <item m="1" x="1479"/>
        <item m="1" x="1480"/>
        <item m="1" x="298"/>
        <item m="1" x="7"/>
        <item m="1" x="239"/>
        <item m="1" x="379"/>
        <item m="1" x="8"/>
        <item m="1" x="240"/>
        <item m="1" x="9"/>
        <item m="1" x="241"/>
        <item m="1" x="380"/>
        <item m="1" x="10"/>
        <item m="1" x="381"/>
        <item m="1" x="11"/>
        <item m="1" x="382"/>
        <item m="1" x="12"/>
        <item m="1" x="242"/>
        <item m="1" x="383"/>
        <item m="1" x="13"/>
        <item m="1" x="14"/>
        <item m="1" x="243"/>
        <item m="1" x="384"/>
        <item m="1" x="15"/>
        <item m="1" x="16"/>
        <item m="1" x="386"/>
        <item m="1" x="387"/>
        <item m="1" x="18"/>
        <item m="1" x="245"/>
        <item m="1" x="246"/>
        <item m="1" x="1488"/>
        <item m="1" x="1489"/>
        <item m="1" x="1490"/>
        <item m="1" x="1491"/>
        <item m="1" x="1492"/>
        <item m="1" x="388"/>
        <item m="1" x="19"/>
        <item m="1" x="1493"/>
        <item m="1" x="1494"/>
        <item m="1" x="1495"/>
        <item m="1" x="21"/>
        <item m="1" x="23"/>
        <item m="1" x="24"/>
        <item m="1" x="390"/>
        <item m="1" x="25"/>
        <item m="1" x="26"/>
        <item m="1" x="248"/>
        <item m="1" x="249"/>
        <item m="1" x="1497"/>
        <item m="1" x="1498"/>
        <item m="1" x="1499"/>
        <item m="1" x="1500"/>
        <item m="1" x="1501"/>
        <item m="1" x="392"/>
        <item m="1" x="30"/>
        <item m="1" x="31"/>
        <item m="1" x="32"/>
        <item m="1" x="1502"/>
        <item m="1" x="250"/>
        <item m="1" x="1504"/>
        <item m="1" x="305"/>
        <item m="1" x="874"/>
        <item m="1" x="879"/>
        <item m="1" x="880"/>
        <item m="1" x="882"/>
        <item m="1" x="884"/>
        <item m="1" x="885"/>
        <item m="1" x="929"/>
        <item m="1" x="212"/>
        <item m="1" x="930"/>
        <item m="1" x="931"/>
        <item m="1" x="932"/>
        <item m="1" x="213"/>
        <item m="1" x="933"/>
        <item m="1" x="214"/>
        <item m="1" x="935"/>
        <item m="1" x="215"/>
        <item m="1" x="569"/>
        <item m="1" x="936"/>
        <item m="1" x="216"/>
        <item m="1" x="570"/>
        <item m="1" x="937"/>
        <item m="1" x="217"/>
        <item m="1" x="571"/>
        <item m="1" x="218"/>
        <item m="1" x="2038"/>
        <item m="1" x="2039"/>
        <item m="1" x="939"/>
        <item m="1" x="219"/>
        <item m="1" x="940"/>
        <item m="1" x="220"/>
        <item m="1" x="573"/>
        <item m="1" x="2052"/>
        <item m="1" x="2040"/>
        <item m="1" x="919"/>
        <item m="1" x="2053"/>
        <item m="1" x="2054"/>
        <item m="1" x="2056"/>
        <item m="1" x="2057"/>
        <item m="1" x="2058"/>
        <item m="1" x="889"/>
        <item m="1" x="2041"/>
        <item m="1" x="2042"/>
        <item m="1" x="2060"/>
        <item m="1" x="943"/>
        <item m="1" x="221"/>
        <item m="1" x="2062"/>
        <item m="1" x="921"/>
        <item m="1" x="945"/>
        <item m="1" x="2063"/>
        <item m="1" x="223"/>
        <item m="1" x="947"/>
        <item m="1" x="224"/>
        <item m="1" x="2064"/>
        <item m="1" x="2065"/>
        <item m="1" x="2066"/>
        <item m="1" x="2067"/>
        <item m="1" x="2068"/>
        <item m="1" x="2069"/>
        <item m="1" x="948"/>
        <item m="1" x="225"/>
        <item m="1" x="949"/>
        <item m="1" x="226"/>
        <item m="1" x="950"/>
        <item m="1" x="227"/>
        <item m="1" x="2070"/>
        <item m="1" x="228"/>
        <item m="1" x="2043"/>
        <item m="1" x="2044"/>
        <item m="1" x="2045"/>
        <item m="1" x="2046"/>
        <item m="1" x="2071"/>
        <item m="1" x="890"/>
        <item m="1" x="922"/>
        <item m="1" x="894"/>
        <item m="1" x="895"/>
        <item m="1" x="896"/>
        <item m="1" x="2072"/>
        <item m="1" x="2073"/>
        <item m="1" x="899"/>
        <item m="1" x="900"/>
        <item m="1" x="2076"/>
        <item m="1" x="418"/>
        <item m="1" x="420"/>
        <item m="1" x="1634"/>
        <item m="1" x="1644"/>
        <item m="1" x="428"/>
        <item m="1" x="1645"/>
        <item m="1" x="1648"/>
        <item m="1" x="1650"/>
        <item m="1" x="1651"/>
        <item m="1" x="1653"/>
        <item m="1" x="1893"/>
        <item m="1" x="1009"/>
        <item m="1" x="1894"/>
        <item m="1" x="1010"/>
        <item m="1" x="1895"/>
        <item m="1" x="1011"/>
        <item m="1" x="1896"/>
        <item m="1" x="1012"/>
        <item m="1" x="1897"/>
        <item m="1" x="1898"/>
        <item m="1" x="1013"/>
        <item m="1" x="1899"/>
        <item m="1" x="1900"/>
        <item m="1" x="1015"/>
        <item m="1" x="1901"/>
        <item m="1" x="1016"/>
        <item m="1" x="1902"/>
        <item m="1" x="1017"/>
        <item m="1" x="1018"/>
        <item m="1" x="1903"/>
        <item m="1" x="1019"/>
        <item m="1" x="1904"/>
        <item m="1" x="1020"/>
        <item m="1" x="1021"/>
        <item m="1" x="1470"/>
        <item m="1" x="1022"/>
        <item m="1" x="1905"/>
        <item m="1" x="1023"/>
        <item m="1" x="1907"/>
        <item m="1" x="1024"/>
        <item m="1" x="416"/>
        <item m="1" x="1656"/>
        <item m="1" x="1030"/>
        <item m="1" x="1031"/>
        <item m="1" x="437"/>
        <item m="1" x="1658"/>
        <item m="1" x="1659"/>
        <item m="1" x="1664"/>
        <item m="1" x="1665"/>
        <item m="1" x="1666"/>
        <item m="1" x="1877"/>
        <item m="1" x="440"/>
        <item m="1" x="1668"/>
        <item m="1" x="1669"/>
        <item m="1" x="1032"/>
        <item m="1" x="1908"/>
        <item m="1" x="1033"/>
        <item m="1" x="1034"/>
        <item m="1" x="1909"/>
        <item m="1" x="1035"/>
        <item m="1" x="1910"/>
        <item m="1" x="1036"/>
        <item m="1" x="1472"/>
        <item m="1" x="1911"/>
        <item m="1" x="1037"/>
        <item m="1" x="1038"/>
        <item m="1" x="1039"/>
        <item m="1" x="1040"/>
        <item m="1" x="1041"/>
        <item m="1" x="1913"/>
        <item m="1" x="1043"/>
        <item m="1" x="1673"/>
        <item m="1" x="1674"/>
        <item m="1" x="1675"/>
        <item m="1" x="1676"/>
        <item m="1" x="1044"/>
        <item m="1" x="1915"/>
        <item m="1" x="1046"/>
        <item m="1" x="1917"/>
        <item m="1" x="1047"/>
        <item m="1" x="417"/>
        <item m="1" x="442"/>
        <item m="1" x="443"/>
        <item m="1" x="444"/>
        <item m="1" x="445"/>
        <item m="1" x="1048"/>
        <item m="1" x="1049"/>
        <item m="1" x="1050"/>
        <item m="1" x="1051"/>
        <item m="1" x="1919"/>
        <item m="1" x="1052"/>
        <item m="1" x="1920"/>
        <item m="1" x="1921"/>
        <item m="1" x="1054"/>
        <item m="1" x="1473"/>
        <item m="1" x="1680"/>
        <item m="1" x="447"/>
        <item m="1" x="1474"/>
        <item m="1" x="453"/>
        <item m="1" x="1684"/>
        <item m="1" x="1686"/>
        <item m="1" x="1687"/>
        <item m="1" x="1688"/>
        <item m="1" x="1059"/>
        <item m="1" x="1689"/>
        <item m="1" x="454"/>
        <item m="1" x="456"/>
        <item m="1" x="457"/>
        <item m="1" x="459"/>
        <item m="1" x="1692"/>
        <item m="1" x="1693"/>
        <item m="1" x="1694"/>
        <item m="1" x="1695"/>
        <item m="1" x="1696"/>
        <item m="1" x="1697"/>
        <item m="1" x="1698"/>
        <item m="1" x="1699"/>
        <item m="1" x="1700"/>
        <item m="1" x="1701"/>
        <item m="1" x="1702"/>
        <item m="1" x="1703"/>
        <item m="1" x="1704"/>
        <item m="1" x="1705"/>
        <item m="1" x="1882"/>
        <item m="1" x="1883"/>
        <item m="1" x="1884"/>
        <item m="1" x="465"/>
        <item m="1" x="1060"/>
        <item m="1" x="1710"/>
        <item m="1" x="1711"/>
        <item m="1" x="1712"/>
        <item m="1" x="1713"/>
        <item m="1" x="1714"/>
        <item m="1" x="1715"/>
        <item m="1" x="1716"/>
        <item m="1" x="1717"/>
        <item m="1" x="1718"/>
        <item m="1" x="1719"/>
        <item m="1" x="1720"/>
        <item m="1" x="1721"/>
        <item m="1" x="1722"/>
        <item m="1" x="1723"/>
        <item m="1" x="1724"/>
        <item m="1" x="1725"/>
        <item m="1" x="1726"/>
        <item m="1" x="1727"/>
        <item m="1" x="1728"/>
        <item m="1" x="1729"/>
        <item m="1" x="1730"/>
        <item m="1" x="1731"/>
        <item m="1" x="1732"/>
        <item m="1" x="1733"/>
        <item m="1" x="1734"/>
        <item m="1" x="1061"/>
        <item m="1" x="1475"/>
        <item m="1" x="1924"/>
        <item m="1" x="1476"/>
        <item m="1" x="467"/>
        <item m="1" x="1735"/>
        <item m="1" x="469"/>
        <item m="1" x="1736"/>
        <item m="1" x="1737"/>
        <item m="1" x="1738"/>
        <item m="1" x="1739"/>
        <item m="1" x="1740"/>
        <item m="1" x="1741"/>
        <item m="1" x="1742"/>
        <item m="1" x="1743"/>
        <item m="1" x="1744"/>
        <item m="1" x="1745"/>
        <item m="1" x="1746"/>
        <item m="1" x="1985"/>
        <item m="1" x="1747"/>
        <item m="1" x="1748"/>
        <item m="1" x="1752"/>
        <item m="1" x="1063"/>
        <item m="1" x="1754"/>
        <item m="1" x="1755"/>
        <item m="1" x="1756"/>
        <item m="1" x="1757"/>
        <item m="1" x="1759"/>
        <item m="1" x="1767"/>
        <item m="1" x="580"/>
        <item m="1" x="581"/>
        <item m="1" x="582"/>
        <item m="1" x="865"/>
        <item m="1" x="866"/>
        <item m="1" x="867"/>
        <item m="1" x="868"/>
        <item m="1" x="642"/>
        <item m="1" x="135"/>
        <item m="1" x="1935"/>
        <item m="1" x="643"/>
        <item m="1" x="136"/>
        <item m="1" x="1936"/>
        <item m="1" x="644"/>
        <item m="1" x="645"/>
        <item m="1" x="137"/>
        <item m="1" x="646"/>
        <item m="1" x="138"/>
        <item m="1" x="647"/>
        <item m="1" x="648"/>
        <item m="1" x="139"/>
        <item m="1" x="649"/>
        <item m="1" x="650"/>
        <item m="1" x="140"/>
        <item m="1" x="651"/>
        <item m="1" x="141"/>
        <item m="1" x="652"/>
        <item m="1" x="142"/>
        <item m="1" x="653"/>
        <item m="1" x="143"/>
        <item m="1" x="1955"/>
        <item m="1" x="654"/>
        <item m="1" x="144"/>
        <item m="1" x="1937"/>
        <item m="1" x="1938"/>
        <item m="1" x="655"/>
        <item m="1" x="145"/>
        <item m="1" x="1957"/>
        <item m="1" x="656"/>
        <item m="1" x="146"/>
        <item m="1" x="414"/>
        <item m="1" x="1939"/>
        <item m="1" x="147"/>
        <item m="1" x="149"/>
        <item m="1" x="150"/>
        <item m="1" x="151"/>
        <item m="1" x="604"/>
        <item m="1" x="1940"/>
        <item m="1" x="1941"/>
        <item m="1" x="606"/>
        <item m="1" x="1960"/>
        <item m="1" x="584"/>
        <item m="1" x="607"/>
        <item m="1" x="608"/>
        <item m="1" x="1961"/>
        <item m="1" x="657"/>
        <item m="1" x="586"/>
        <item m="1" x="658"/>
        <item m="1" x="152"/>
        <item m="1" x="659"/>
        <item m="1" x="609"/>
        <item m="1" x="660"/>
        <item m="1" x="153"/>
        <item m="1" x="154"/>
        <item m="1" x="155"/>
        <item m="1" x="1942"/>
        <item m="1" x="663"/>
        <item m="1" x="664"/>
        <item m="1" x="157"/>
        <item m="1" x="665"/>
        <item m="1" x="158"/>
        <item m="1" x="1963"/>
        <item m="1" x="1964"/>
        <item m="1" x="1965"/>
        <item m="1" x="588"/>
        <item m="1" x="589"/>
        <item m="1" x="590"/>
        <item m="1" x="591"/>
        <item m="1" x="666"/>
        <item m="1" x="159"/>
        <item m="1" x="615"/>
        <item m="1" x="667"/>
        <item m="1" x="161"/>
        <item m="1" x="415"/>
        <item m="1" x="1966"/>
        <item m="1" x="162"/>
        <item m="1" x="1967"/>
        <item m="1" x="163"/>
        <item m="1" x="1943"/>
        <item m="1" x="1944"/>
        <item m="1" x="1945"/>
        <item m="1" x="1946"/>
        <item m="1" x="1968"/>
        <item m="1" x="1970"/>
        <item m="1" x="669"/>
        <item m="1" x="670"/>
        <item m="1" x="167"/>
        <item m="1" x="616"/>
        <item m="1" x="1971"/>
        <item m="1" x="1972"/>
        <item m="1" x="1973"/>
        <item m="1" x="618"/>
        <item m="1" x="673"/>
        <item m="1" x="169"/>
        <item m="1" x="592"/>
        <item m="1" x="170"/>
        <item m="1" x="276"/>
        <item m="1" x="268"/>
        <item m="1" x="274"/>
        <item m="1" x="267"/>
        <item m="1" x="275"/>
        <item m="1" x="269"/>
        <item m="1" x="262"/>
        <item m="1" x="271"/>
        <item m="1" x="277"/>
        <item m="1" x="272"/>
        <item m="1" x="273"/>
        <item m="1" x="270"/>
        <item m="1" x="264"/>
        <item m="1" x="356"/>
        <item m="1" x="786"/>
        <item m="1" x="1238"/>
        <item m="1" x="1291"/>
        <item m="1" x="1240"/>
        <item m="1" x="1239"/>
        <item m="1" x="1241"/>
        <item m="1" x="1242"/>
        <item m="1" x="946"/>
        <item m="1" x="898"/>
        <item m="1" x="1769"/>
        <item m="1" x="1768"/>
        <item m="1" x="869"/>
        <item m="1" x="1125"/>
        <item m="1" x="182"/>
        <item m="1" x="180"/>
        <item m="1" x="181"/>
        <item m="1" x="29"/>
        <item m="1" x="875"/>
        <item m="1" x="229"/>
        <item m="1" x="1008"/>
        <item m="1" x="476"/>
        <item m="1" x="1771"/>
        <item m="1" x="1770"/>
        <item m="1" x="624"/>
        <item m="1" x="411"/>
        <item m="1" x="1245"/>
        <item m="1" x="1246"/>
        <item m="1" x="1367"/>
        <item m="1" x="526"/>
        <item m="1" x="1359"/>
        <item m="1" x="72"/>
        <item m="1" x="938"/>
        <item m="1" x="430"/>
        <item m="1" x="1626"/>
        <item m="1" x="1690"/>
        <item m="1" x="1633"/>
        <item m="1" x="583"/>
        <item m="1" x="622"/>
        <item m="1" x="672"/>
        <item m="1" x="762"/>
        <item m="1" x="739"/>
        <item m="1" x="763"/>
        <item m="1" x="740"/>
        <item m="1" x="758"/>
        <item m="1" x="1122"/>
        <item m="1" x="80"/>
        <item m="1" x="121"/>
        <item m="1" x="1178"/>
        <item m="1" x="1157"/>
        <item m="1" x="1158"/>
        <item m="1" x="1155"/>
        <item m="1" x="2143"/>
        <item m="1" x="1159"/>
        <item m="1" x="1186"/>
        <item m="1" x="1183"/>
        <item m="1" x="1192"/>
        <item m="1" x="920"/>
        <item m="1" x="1773"/>
        <item m="1" x="1682"/>
        <item m="1" x="1657"/>
        <item m="1" x="1057"/>
        <item m="1" x="1025"/>
        <item m="1" x="1028"/>
        <item m="1" x="1029"/>
        <item m="1" x="1053"/>
        <item m="1" x="1027"/>
        <item m="1" x="1056"/>
        <item m="1" x="623"/>
        <item m="1" x="864"/>
        <item m="1" x="160"/>
        <item m="1" x="165"/>
        <item m="1" x="164"/>
        <item m="1" x="523"/>
        <item m="1" x="359"/>
        <item m="1" x="360"/>
        <item m="1" x="358"/>
        <item m="1" x="524"/>
        <item m="1" x="534"/>
        <item m="1" x="542"/>
        <item m="1" x="510"/>
        <item m="1" x="535"/>
        <item m="1" x="509"/>
        <item m="1" x="506"/>
        <item m="1" x="539"/>
        <item m="1" x="508"/>
        <item m="1" x="20"/>
        <item m="1" x="941"/>
        <item m="1" x="2075"/>
        <item m="1" x="901"/>
        <item m="1" x="902"/>
        <item m="1" x="2078"/>
        <item m="1" x="1906"/>
        <item m="1" x="1014"/>
        <item m="1" x="1671"/>
        <item m="1" x="1058"/>
        <item m="1" x="166"/>
        <item m="1" x="769"/>
        <item m="1" x="553"/>
        <item m="1" x="552"/>
        <item m="1" x="1188"/>
        <item m="1" x="1162"/>
        <item m="1" x="6"/>
        <item m="1" x="2"/>
        <item m="1" x="4"/>
        <item m="1" x="5"/>
        <item m="1" x="3"/>
        <item m="1" x="35"/>
        <item m="1" x="34"/>
        <item m="1" x="395"/>
        <item m="1" x="2077"/>
        <item m="1" x="903"/>
        <item m="1" x="1912"/>
        <item m="1" x="1918"/>
        <item m="1" x="433"/>
        <item m="1" x="434"/>
        <item m="1" x="1709"/>
        <item m="1" x="1784"/>
        <item m="1" x="1922"/>
        <item m="1" x="1654"/>
        <item m="1" x="662"/>
        <item m="1" x="619"/>
        <item m="1" x="620"/>
        <item m="1" x="55"/>
        <item m="1" x="54"/>
        <item m="1" x="412"/>
        <item m="1" x="1549"/>
        <item m="1" x="52"/>
        <item m="1" x="1550"/>
        <item m="1" x="53"/>
        <item m="1" x="320"/>
        <item m="1" x="1540"/>
        <item m="1" x="328"/>
        <item m="1" x="318"/>
        <item m="1" x="321"/>
        <item m="1" x="322"/>
        <item m="1" x="327"/>
        <item m="1" x="329"/>
        <item m="1" x="323"/>
        <item m="1" x="326"/>
        <item m="1" x="324"/>
        <item m="1" x="332"/>
        <item m="1" x="325"/>
        <item m="1" x="1541"/>
        <item m="1" x="1547"/>
        <item m="1" x="295"/>
        <item x="0"/>
        <item m="1" x="1390"/>
        <item m="1" x="790"/>
        <item m="1" x="789"/>
        <item m="1" x="1215"/>
        <item m="1" x="46"/>
        <item m="1" x="62"/>
        <item m="1" x="122"/>
        <item m="1" x="114"/>
        <item m="1" x="244"/>
        <item m="1" x="36"/>
        <item m="1" x="396"/>
        <item m="1" x="572"/>
        <item m="1" x="883"/>
        <item m="1" x="1471"/>
        <item m="1" x="1066"/>
        <item m="1" x="472"/>
        <item m="1" x="1672"/>
        <item m="1" x="1789"/>
        <item m="1" x="413"/>
        <item m="1" x="1108"/>
        <item m="1" x="361"/>
        <item m="1" x="840"/>
        <item m="1" x="839"/>
        <item m="1" x="548"/>
        <item m="1" x="1088"/>
        <item m="1" x="1590"/>
        <item m="1" x="1181"/>
        <item m="1" x="1160"/>
        <item m="1" x="1171"/>
        <item m="1" x="1190"/>
        <item m="1" x="247"/>
        <item m="1" x="27"/>
        <item m="1" x="28"/>
        <item m="1" x="17"/>
        <item m="1" x="231"/>
        <item m="1" x="230"/>
        <item m="1" x="1787"/>
        <item m="1" x="1678"/>
        <item m="1" x="1753"/>
        <item m="1" x="1655"/>
        <item m="1" x="610"/>
        <item m="1" x="598"/>
        <item m="1" x="601"/>
        <item m="1" x="597"/>
        <item m="1" x="600"/>
        <item m="1" x="613"/>
        <item m="1" x="317"/>
        <item m="1" x="1398"/>
        <item m="1" x="793"/>
        <item m="1" x="1368"/>
        <item m="1" x="1252"/>
        <item m="1" x="555"/>
        <item m="1" x="550"/>
        <item m="1" x="1248"/>
        <item m="1" x="1253"/>
        <item m="1" x="1247"/>
        <item m="1" x="1365"/>
        <item m="1" x="1250"/>
        <item m="1" x="1592"/>
        <item m="1" x="120"/>
        <item m="1" x="1161"/>
        <item m="1" x="397"/>
        <item m="1" x="394"/>
        <item m="1" x="1790"/>
        <item m="1" x="470"/>
        <item m="1" x="471"/>
        <item m="1" x="1799"/>
        <item m="1" x="1785"/>
        <item m="1" x="1783"/>
        <item m="1" x="1791"/>
        <item m="1" x="1800"/>
        <item m="1" x="1775"/>
        <item m="1" x="1786"/>
        <item m="1" x="1782"/>
        <item m="1" x="1796"/>
        <item m="1" x="675"/>
        <item m="1" x="1458"/>
        <item m="1" x="1355"/>
        <item m="1" x="1249"/>
        <item m="1" x="554"/>
        <item m="1" x="835"/>
        <item m="1" x="829"/>
        <item m="1" x="822"/>
        <item m="1" x="833"/>
        <item m="1" x="836"/>
        <item m="1" x="831"/>
        <item m="1" x="825"/>
        <item m="1" x="837"/>
        <item m="1" x="828"/>
        <item m="1" x="823"/>
        <item m="1" x="556"/>
        <item m="1" x="838"/>
        <item m="1" x="820"/>
        <item m="1" x="1312"/>
        <item m="1" x="557"/>
        <item m="1" x="834"/>
        <item m="1" x="525"/>
        <item m="1" x="1369"/>
        <item m="1" x="824"/>
        <item m="1" x="124"/>
        <item m="1" x="1595"/>
        <item m="1" x="1596"/>
        <item m="1" x="126"/>
        <item m="1" x="1182"/>
        <item m="1" x="2144"/>
        <item m="1" x="1986"/>
        <item m="1" x="1995"/>
        <item m="1" x="1193"/>
        <item m="1" x="1172"/>
        <item m="1" x="1614"/>
        <item m="1" x="1615"/>
        <item m="1" x="2146"/>
        <item m="1" x="2091"/>
        <item m="1" x="2145"/>
        <item m="1" x="393"/>
        <item m="1" x="308"/>
        <item m="1" x="309"/>
        <item m="1" x="955"/>
        <item m="1" x="904"/>
        <item m="1" x="1055"/>
        <item m="1" x="1045"/>
        <item m="1" x="1795"/>
        <item m="1" x="1042"/>
        <item m="1" x="477"/>
        <item m="1" x="1794"/>
        <item m="1" x="579"/>
        <item m="1" x="677"/>
        <item m="1" x="171"/>
        <item m="1" x="156"/>
        <item m="1" x="614"/>
        <item m="1" x="263"/>
        <item m="1" x="1429"/>
        <item m="1" x="357"/>
        <item m="1" x="1257"/>
        <item m="1" x="516"/>
        <item m="1" x="1284"/>
        <item m="1" x="1310"/>
        <item m="1" x="558"/>
        <item m="1" x="559"/>
        <item m="1" x="118"/>
        <item m="1" x="125"/>
        <item m="1" x="1087"/>
        <item m="1" x="1593"/>
        <item m="1" x="81"/>
        <item m="1" x="123"/>
        <item m="1" x="1594"/>
        <item m="1" x="700"/>
        <item m="1" x="1616"/>
        <item m="1" x="1191"/>
        <item m="1" x="370"/>
        <item m="1" x="1487"/>
        <item m="1" x="307"/>
        <item m="1" x="2061"/>
        <item m="1" x="923"/>
        <item m="1" x="1625"/>
        <item m="1" x="1640"/>
        <item m="1" x="1623"/>
        <item m="1" x="1621"/>
        <item m="1" x="1777"/>
        <item m="1" x="1760"/>
        <item m="1" x="1663"/>
        <item m="1" x="1885"/>
        <item m="1" x="473"/>
        <item m="1" x="1761"/>
        <item m="1" x="1803"/>
        <item m="1" x="1804"/>
        <item m="1" x="1806"/>
        <item m="1" x="1805"/>
        <item m="1" x="1681"/>
        <item m="1" x="1792"/>
        <item m="1" x="676"/>
        <item m="1" x="625"/>
        <item m="1" x="674"/>
        <item m="1" x="342"/>
        <item m="1" x="546"/>
        <item m="1" x="1218"/>
        <item m="1" x="521"/>
        <item m="1" x="780"/>
        <item m="1" x="1204"/>
        <item m="1" x="1243"/>
        <item m="1" x="830"/>
        <item m="1" x="1244"/>
        <item m="1" x="1259"/>
        <item m="1" x="1304"/>
        <item m="1" x="119"/>
        <item m="1" x="1597"/>
        <item m="1" x="1598"/>
        <item m="1" x="1996"/>
        <item m="1" x="2087"/>
        <item m="1" x="575"/>
        <item m="1" x="952"/>
        <item m="1" x="954"/>
        <item m="1" x="576"/>
        <item m="1" x="953"/>
        <item m="1" x="2059"/>
        <item m="1" x="1812"/>
        <item m="1" x="1813"/>
        <item m="1" x="1628"/>
        <item m="1" x="1780"/>
        <item m="1" x="1816"/>
        <item m="1" x="1815"/>
        <item m="1" x="1947"/>
        <item m="1" x="1962"/>
        <item m="1" x="599"/>
        <item m="1" x="333"/>
        <item m="1" x="407"/>
        <item m="1" x="1460"/>
        <item m="1" x="1461"/>
        <item m="1" x="1397"/>
        <item m="1" x="1399"/>
        <item m="1" x="1396"/>
        <item m="1" x="745"/>
        <item m="1" x="260"/>
        <item m="1" x="1427"/>
        <item m="1" x="1254"/>
        <item m="1" x="1255"/>
        <item m="1" x="198"/>
        <item m="1" x="197"/>
        <item m="1" x="551"/>
        <item m="1" x="1315"/>
        <item m="1" x="517"/>
        <item m="1" x="1126"/>
        <item m="1" x="109"/>
        <item m="1" x="92"/>
        <item m="1" x="110"/>
        <item m="1" x="2135"/>
        <item m="1" x="2092"/>
        <item m="1" x="385"/>
        <item m="1" x="1514"/>
        <item m="1" x="300"/>
        <item m="1" x="301"/>
        <item m="1" x="378"/>
        <item m="1" x="373"/>
        <item m="1" x="22"/>
        <item m="1" x="389"/>
        <item m="1" x="577"/>
        <item m="1" x="1923"/>
        <item m="1" x="1888"/>
        <item m="1" x="1809"/>
        <item m="1" x="1811"/>
        <item m="1" x="1810"/>
        <item m="1" x="1641"/>
        <item m="1" x="1646"/>
        <item m="1" x="1781"/>
        <item m="1" x="1779"/>
        <item m="1" x="1889"/>
        <item m="1" x="474"/>
        <item m="1" x="1778"/>
        <item m="1" x="1821"/>
        <item m="1" x="1774"/>
        <item m="1" x="1758"/>
        <item m="1" x="1798"/>
        <item m="1" x="578"/>
        <item m="1" x="630"/>
        <item m="1" x="341"/>
        <item m="1" x="338"/>
        <item m="1" x="335"/>
        <item m="1" x="339"/>
        <item m="1" x="340"/>
        <item m="1" x="334"/>
        <item m="1" x="1433"/>
        <item m="1" x="1436"/>
        <item m="1" x="1435"/>
        <item m="1" x="841"/>
        <item m="1" x="845"/>
        <item m="1" x="1123"/>
        <item m="1" x="1258"/>
        <item m="1" x="1582"/>
        <item m="1" x="2103"/>
        <item m="1" x="398"/>
        <item m="1" x="399"/>
        <item m="1" x="299"/>
        <item m="1" x="372"/>
        <item m="1" x="2051"/>
        <item m="1" x="924"/>
        <item m="1" x="1887"/>
        <item m="1" x="1818"/>
        <item m="1" x="1624"/>
        <item m="1" x="426"/>
        <item m="1" x="1062"/>
        <item m="1" x="343"/>
        <item m="1" x="1543"/>
        <item m="1" x="336"/>
        <item m="1" x="337"/>
        <item m="1" x="1434"/>
        <item m="1" x="1316"/>
        <item m="1" x="1314"/>
        <item m="1" x="1302"/>
        <item m="1" x="1317"/>
        <item m="1" x="1251"/>
        <item m="1" x="1295"/>
        <item m="1" x="1260"/>
        <item m="1" x="826"/>
        <item m="1" x="821"/>
        <item m="1" x="1127"/>
        <item m="1" x="844"/>
        <item m="1" x="843"/>
        <item m="1" x="827"/>
        <item m="1" x="832"/>
        <item m="1" x="842"/>
        <item m="1" x="1124"/>
        <item m="1" x="1309"/>
        <item m="1" x="1269"/>
        <item m="1" x="1370"/>
        <item m="1" x="1289"/>
        <item m="1" x="89"/>
        <item m="1" x="2102"/>
        <item m="1" x="2106"/>
        <item m="1" x="2105"/>
        <item m="1" x="2147"/>
        <item m="1" x="2101"/>
        <item m="1" x="2082"/>
        <item m="1" x="2084"/>
        <item m="1" x="400"/>
        <item m="1" x="2048"/>
        <item m="1" x="905"/>
        <item m="1" x="2074"/>
        <item m="1" x="2079"/>
        <item m="1" x="1927"/>
        <item m="1" x="1638"/>
        <item m="1" x="1630"/>
        <item m="1" x="1820"/>
        <item m="1" x="1817"/>
        <item m="1" x="1639"/>
        <item m="1" x="1788"/>
        <item m="1" x="1819"/>
        <item m="1" x="478"/>
        <item m="1" x="479"/>
        <item m="1" x="1822"/>
        <item m="1" x="631"/>
        <item m="1" x="629"/>
        <item m="1" x="632"/>
        <item m="1" x="626"/>
        <item m="1" x="1418"/>
        <item m="1" x="1423"/>
        <item m="1" x="1337"/>
        <item m="1" x="847"/>
        <item m="1" x="1262"/>
        <item m="1" x="846"/>
        <item m="1" x="1261"/>
        <item m="1" x="1263"/>
        <item m="1" x="560"/>
        <item m="1" x="1303"/>
        <item m="1" x="2100"/>
        <item m="1" x="1194"/>
        <item m="1" x="2093"/>
        <item m="1" x="2097"/>
        <item m="1" x="2089"/>
        <item m="1" x="310"/>
        <item m="1" x="925"/>
        <item m="1" x="1807"/>
        <item m="1" x="1808"/>
        <item m="1" x="1631"/>
        <item m="1" x="1797"/>
        <item m="1" x="1823"/>
        <item m="1" x="1834"/>
        <item m="1" x="1824"/>
        <item m="1" x="1776"/>
        <item m="1" x="1825"/>
        <item m="1" x="1826"/>
        <item m="1" x="1708"/>
        <item m="1" x="1829"/>
        <item m="1" x="1830"/>
        <item m="1" x="1677"/>
        <item m="1" x="1840"/>
        <item m="1" x="1827"/>
        <item m="1" x="172"/>
        <item m="1" x="617"/>
        <item m="1" x="344"/>
        <item m="1" x="1419"/>
        <item m="1" x="1416"/>
        <item m="1" x="1438"/>
        <item m="1" x="1428"/>
        <item m="1" x="1437"/>
        <item m="1" x="1415"/>
        <item m="1" x="1439"/>
        <item m="1" x="1432"/>
        <item m="1" x="1426"/>
        <item m="1" x="1459"/>
        <item m="1" x="1413"/>
        <item m="1" x="851"/>
        <item m="1" x="852"/>
        <item m="1" x="1264"/>
        <item m="1" x="1300"/>
        <item m="1" x="561"/>
        <item m="1" x="1268"/>
        <item m="1" x="1575"/>
        <item m="1" x="87"/>
        <item m="1" x="88"/>
        <item m="1" x="2104"/>
        <item m="1" x="2141"/>
        <item m="1" x="375"/>
        <item m="1" x="374"/>
        <item m="1" x="1526"/>
        <item m="1" x="1532"/>
        <item m="1" x="1837"/>
        <item m="1" x="1635"/>
        <item m="1" x="1636"/>
        <item m="1" x="1846"/>
        <item m="1" x="1847"/>
        <item m="1" x="1667"/>
        <item m="1" x="1836"/>
        <item m="1" x="1828"/>
        <item m="1" x="480"/>
        <item m="1" x="319"/>
        <item m="1" x="236"/>
        <item m="1" x="237"/>
        <item m="1" x="238"/>
        <item m="1" x="196"/>
        <item m="1" x="205"/>
        <item m="1" x="854"/>
        <item m="1" x="1318"/>
        <item m="1" x="1372"/>
        <item m="1" x="1306"/>
        <item m="1" x="543"/>
        <item m="1" x="562"/>
        <item m="1" x="65"/>
        <item m="1" x="1604"/>
        <item m="1" x="1588"/>
        <item m="1" x="130"/>
        <item m="1" x="2014"/>
        <item m="1" x="1184"/>
        <item m="1" x="2006"/>
        <item m="1" x="1524"/>
        <item m="1" x="1529"/>
        <item m="1" x="1505"/>
        <item m="1" x="1527"/>
        <item m="1" x="1523"/>
        <item m="1" x="369"/>
        <item m="1" x="38"/>
        <item m="1" x="2049"/>
        <item m="1" x="906"/>
        <item m="1" x="425"/>
        <item m="1" x="1647"/>
        <item m="1" x="1691"/>
        <item m="1" x="56"/>
        <item m="1" x="58"/>
        <item m="1" x="57"/>
        <item m="1" x="1835"/>
        <item m="1" x="1848"/>
        <item m="1" x="593"/>
        <item m="1" x="177"/>
        <item m="1" x="683"/>
        <item m="1" x="633"/>
        <item m="1" x="872"/>
        <item m="1" x="871"/>
        <item m="1" x="870"/>
        <item m="1" x="282"/>
        <item m="1" x="281"/>
        <item m="1" x="775"/>
        <item m="1" x="280"/>
        <item m="1" x="1431"/>
        <item m="1" x="1411"/>
        <item m="1" x="1425"/>
        <item m="1" x="1414"/>
        <item m="1" x="1412"/>
        <item m="1" x="1343"/>
        <item m="1" x="1275"/>
        <item m="1" x="1406"/>
        <item m="1" x="1220"/>
        <item m="1" x="1607"/>
        <item m="1" x="1407"/>
        <item m="1" x="567"/>
        <item m="1" x="1132"/>
        <item m="1" x="855"/>
        <item m="1" x="1371"/>
        <item m="1" x="568"/>
        <item m="1" x="1266"/>
        <item m="1" x="853"/>
        <item m="1" x="1267"/>
        <item m="1" x="1293"/>
        <item m="1" x="1283"/>
        <item m="1" x="1288"/>
        <item m="1" x="1294"/>
        <item m="1" x="1282"/>
        <item m="1" x="1285"/>
        <item m="1" x="1290"/>
        <item m="1" x="1287"/>
        <item m="1" x="1281"/>
        <item m="1" x="1082"/>
        <item m="1" x="93"/>
        <item m="1" x="1097"/>
        <item m="1" x="2018"/>
        <item m="1" x="2016"/>
        <item m="1" x="1199"/>
        <item m="1" x="2015"/>
        <item m="1" x="1993"/>
        <item m="1" x="2098"/>
        <item m="1" x="2001"/>
        <item m="1" x="2099"/>
        <item m="1" x="1512"/>
        <item m="1" x="1528"/>
        <item m="1" x="43"/>
        <item m="1" x="371"/>
        <item m="1" x="934"/>
        <item m="1" x="2055"/>
        <item m="1" x="907"/>
        <item m="1" x="956"/>
        <item m="1" x="887"/>
        <item m="1" x="1849"/>
        <item m="1" x="61"/>
        <item m="1" x="1660"/>
        <item m="1" x="1850"/>
        <item m="1" x="1855"/>
        <item m="1" x="1839"/>
        <item m="1" x="463"/>
        <item m="1" x="1845"/>
        <item m="1" x="1838"/>
        <item m="1" x="475"/>
        <item m="1" x="1844"/>
        <item m="1" x="462"/>
        <item m="1" x="1073"/>
        <item m="1" x="1841"/>
        <item m="1" x="1814"/>
        <item m="1" x="1852"/>
        <item m="1" x="1842"/>
        <item m="1" x="1853"/>
        <item m="1" x="1661"/>
        <item m="1" x="634"/>
        <item m="1" x="636"/>
        <item m="1" x="635"/>
        <item m="1" x="330"/>
        <item m="1" x="1384"/>
        <item m="1" x="1385"/>
        <item m="1" x="1386"/>
        <item m="1" x="261"/>
        <item m="1" x="1462"/>
        <item m="1" x="288"/>
        <item m="1" x="1395"/>
        <item m="1" x="1213"/>
        <item m="1" x="1608"/>
        <item m="1" x="204"/>
        <item m="1" x="363"/>
        <item m="1" x="1313"/>
        <item m="1" x="1311"/>
        <item m="1" x="112"/>
        <item m="1" x="1576"/>
        <item m="1" x="128"/>
        <item m="1" x="992"/>
        <item m="1" x="997"/>
        <item m="1" x="998"/>
        <item m="1" x="999"/>
        <item m="1" x="1000"/>
        <item m="1" x="1002"/>
        <item m="1" x="1003"/>
        <item m="1" x="1004"/>
        <item m="1" x="1005"/>
        <item m="1" x="1006"/>
        <item m="1" x="1007"/>
        <item m="1" x="78"/>
        <item m="1" x="2128"/>
        <item m="1" x="2150"/>
        <item m="1" x="1185"/>
        <item m="1" x="2085"/>
        <item m="1" x="2010"/>
        <item m="1" x="1477"/>
        <item m="1" x="1485"/>
        <item m="1" x="1513"/>
        <item m="1" x="306"/>
        <item m="1" x="881"/>
        <item m="1" x="1881"/>
        <item m="1" x="1793"/>
        <item m="1" x="431"/>
        <item m="1" x="432"/>
        <item m="1" x="458"/>
        <item m="1" x="460"/>
        <item m="1" x="461"/>
        <item m="1" x="1843"/>
        <item m="1" x="1930"/>
        <item m="1" x="1928"/>
        <item m="1" x="451"/>
        <item m="1" x="450"/>
        <item m="1" x="661"/>
        <item m="1" x="668"/>
        <item m="1" x="637"/>
        <item m="1" x="627"/>
        <item m="1" x="612"/>
        <item m="1" x="621"/>
        <item m="1" x="1545"/>
        <item m="1" x="1546"/>
        <item m="1" x="1548"/>
        <item m="1" x="1544"/>
        <item m="1" x="406"/>
        <item m="1" x="1467"/>
        <item m="1" x="1134"/>
        <item m="1" x="1417"/>
        <item m="1" x="751"/>
        <item m="1" x="1454"/>
        <item m="1" x="1424"/>
        <item m="1" x="1421"/>
        <item m="1" x="1292"/>
        <item m="1" x="1299"/>
        <item m="1" x="194"/>
        <item m="1" x="195"/>
        <item m="1" x="201"/>
        <item m="1" x="1379"/>
        <item m="1" x="1265"/>
        <item m="1" x="1286"/>
        <item m="1" x="1374"/>
        <item m="1" x="1221"/>
        <item m="1" x="1219"/>
        <item m="1" x="1273"/>
        <item m="1" x="1224"/>
        <item m="1" x="1222"/>
        <item m="1" x="1223"/>
        <item m="1" x="1584"/>
        <item m="1" x="1577"/>
        <item m="1" x="1076"/>
        <item m="1" x="129"/>
        <item m="1" x="1099"/>
        <item m="1" x="1098"/>
        <item m="1" x="2088"/>
        <item m="1" x="2151"/>
        <item m="1" x="2156"/>
        <item m="1" x="708"/>
        <item m="1" x="2090"/>
        <item m="1" x="1991"/>
        <item m="1" x="2007"/>
        <item m="1" x="2142"/>
        <item m="1" x="2086"/>
        <item m="1" x="2083"/>
        <item m="1" x="2005"/>
        <item m="1" x="251"/>
        <item m="1" x="402"/>
        <item m="1" x="33"/>
        <item m="1" x="405"/>
        <item m="1" x="1503"/>
        <item m="1" x="401"/>
        <item m="1" x="1531"/>
        <item m="1" x="1521"/>
        <item m="1" x="1522"/>
        <item m="1" x="222"/>
        <item m="1" x="944"/>
        <item m="1" x="928"/>
        <item m="1" x="1114"/>
        <item m="1" x="1113"/>
        <item m="1" x="1112"/>
        <item m="1" x="957"/>
        <item m="1" x="962"/>
        <item m="1" x="891"/>
        <item m="1" x="1067"/>
        <item m="1" x="1068"/>
        <item m="1" x="1064"/>
        <item m="1" x="1878"/>
        <item m="1" x="1065"/>
        <item m="1" x="1627"/>
        <item m="1" x="59"/>
        <item m="1" x="1851"/>
        <item m="1" x="60"/>
        <item m="1" x="1751"/>
        <item m="1" x="1685"/>
        <item m="1" x="1886"/>
        <item m="1" x="1679"/>
        <item m="1" x="1925"/>
        <item m="1" x="611"/>
        <item m="1" x="605"/>
        <item m="1" x="628"/>
        <item m="1" x="408"/>
        <item m="1" x="732"/>
        <item m="1" x="777"/>
        <item m="1" x="1430"/>
        <item m="1" x="1402"/>
        <item m="1" x="1468"/>
        <item m="1" x="1135"/>
        <item m="1" x="1469"/>
        <item m="1" x="1136"/>
        <item m="1" x="1409"/>
        <item m="1" x="1444"/>
        <item m="1" x="1420"/>
        <item m="1" x="289"/>
        <item m="1" x="1387"/>
        <item m="1" x="1388"/>
        <item m="1" x="1389"/>
        <item m="1" x="1410"/>
        <item m="1" x="1442"/>
        <item m="1" x="1441"/>
        <item m="1" x="291"/>
        <item m="1" x="292"/>
        <item m="1" x="293"/>
        <item m="1" x="294"/>
        <item m="1" x="283"/>
        <item m="1" x="284"/>
        <item m="1" x="285"/>
        <item m="1" x="286"/>
        <item m="1" x="287"/>
        <item m="1" x="1443"/>
        <item m="1" x="1392"/>
        <item m="1" x="1440"/>
        <item m="1" x="1464"/>
        <item m="1" x="772"/>
        <item m="1" x="1463"/>
        <item m="1" x="771"/>
        <item m="1" x="1466"/>
        <item m="1" x="774"/>
        <item m="1" x="1465"/>
        <item m="1" x="773"/>
        <item m="1" x="776"/>
        <item m="1" x="764"/>
        <item m="1" x="1391"/>
        <item m="1" x="737"/>
        <item m="1" x="1404"/>
        <item m="1" x="770"/>
        <item m="1" x="1403"/>
        <item m="1" x="290"/>
        <item m="1" x="1405"/>
        <item m="1" x="1400"/>
        <item m="1" x="1401"/>
        <item m="1" x="1350"/>
        <item m="1" x="1201"/>
        <item m="1" x="1323"/>
        <item m="1" x="863"/>
        <item m="1" x="1280"/>
        <item m="1" x="1256"/>
        <item m="1" x="364"/>
        <item m="1" x="206"/>
        <item m="1" x="1206"/>
        <item m="1" x="1208"/>
        <item m="1" x="1210"/>
        <item m="1" x="1211"/>
        <item m="1" x="193"/>
        <item m="1" x="1217"/>
        <item m="1" x="1408"/>
        <item m="1" x="1321"/>
        <item m="1" x="1296"/>
        <item m="1" x="1380"/>
        <item m="1" x="1274"/>
        <item m="1" x="209"/>
        <item m="1" x="367"/>
        <item m="1" x="210"/>
        <item m="1" x="368"/>
        <item m="1" x="211"/>
        <item m="1" x="1319"/>
        <item m="1" x="1322"/>
        <item m="1" x="860"/>
        <item m="1" x="1278"/>
        <item m="1" x="861"/>
        <item m="1" x="1279"/>
        <item m="1" x="862"/>
        <item m="1" x="792"/>
        <item m="1" x="848"/>
        <item m="1" x="1270"/>
        <item m="1" x="849"/>
        <item m="1" x="1271"/>
        <item m="1" x="850"/>
        <item m="1" x="1272"/>
        <item m="1" x="1320"/>
        <item m="1" x="365"/>
        <item m="1" x="207"/>
        <item m="1" x="1373"/>
        <item m="1" x="856"/>
        <item m="1" x="857"/>
        <item m="1" x="858"/>
        <item m="1" x="859"/>
        <item m="1" x="1129"/>
        <item m="1" x="1376"/>
        <item m="1" x="564"/>
        <item m="1" x="1128"/>
        <item m="1" x="1375"/>
        <item m="1" x="563"/>
        <item m="1" x="1131"/>
        <item m="1" x="1378"/>
        <item m="1" x="566"/>
        <item m="1" x="1130"/>
        <item m="1" x="1377"/>
        <item m="1" x="565"/>
        <item m="1" x="1216"/>
        <item m="1" x="791"/>
        <item m="1" x="199"/>
        <item m="1" x="362"/>
        <item m="1" x="507"/>
        <item m="1" x="1277"/>
        <item m="1" x="1276"/>
        <item m="1" x="208"/>
        <item m="1" x="366"/>
        <item m="1" x="522"/>
        <item m="1" x="1352"/>
        <item m="1" x="1357"/>
        <item m="1" x="1361"/>
        <item m="1" x="1305"/>
        <item m="1" x="1362"/>
        <item m="1" x="1364"/>
        <item m="1" x="1308"/>
        <item m="1" x="1366"/>
        <item m="1" x="1572"/>
        <item m="1" x="63"/>
        <item m="1" x="1083"/>
        <item m="1" x="66"/>
        <item m="1" x="1605"/>
        <item m="1" x="86"/>
        <item m="1" x="1100"/>
        <item m="1" x="67"/>
        <item m="1" x="79"/>
        <item m="1" x="74"/>
        <item m="1" x="64"/>
        <item m="1" x="75"/>
        <item m="1" x="82"/>
        <item m="1" x="1078"/>
        <item m="1" x="70"/>
        <item m="1" x="1103"/>
        <item m="1" x="1104"/>
        <item m="1" x="1105"/>
        <item m="1" x="993"/>
        <item m="1" x="994"/>
        <item m="1" x="995"/>
        <item m="1" x="996"/>
        <item m="1" x="1001"/>
        <item m="1" x="84"/>
        <item m="1" x="85"/>
        <item m="1" x="77"/>
        <item m="1" x="1587"/>
        <item m="1" x="1101"/>
        <item m="1" x="132"/>
        <item m="1" x="1601"/>
        <item m="1" x="131"/>
        <item m="1" x="1600"/>
        <item m="1" x="134"/>
        <item m="1" x="1603"/>
        <item m="1" x="133"/>
        <item m="1" x="1602"/>
        <item m="1" x="1606"/>
        <item m="1" x="69"/>
        <item m="1" x="1096"/>
        <item m="1" x="1568"/>
        <item m="1" x="1569"/>
        <item m="1" x="1570"/>
        <item m="1" x="1571"/>
        <item m="1" x="127"/>
        <item m="1" x="1599"/>
        <item m="1" x="83"/>
        <item m="1" x="1102"/>
        <item m="1" x="1581"/>
        <item m="1" x="1586"/>
        <item m="1" x="1589"/>
        <item m="1" x="1591"/>
        <item m="1" x="1997"/>
        <item m="1" x="1165"/>
        <item m="1" x="2109"/>
        <item m="1" x="2107"/>
        <item m="1" x="2037"/>
        <item m="1" x="711"/>
        <item m="1" x="1988"/>
        <item m="1" x="2002"/>
        <item m="1" x="706"/>
        <item m="1" x="2019"/>
        <item m="1" x="2020"/>
        <item m="1" x="1990"/>
        <item m="1" x="703"/>
        <item m="1" x="2108"/>
        <item m="1" x="2017"/>
        <item m="1" x="714"/>
        <item m="1" x="715"/>
        <item m="1" x="716"/>
        <item m="1" x="717"/>
        <item m="1" x="2035"/>
        <item m="1" x="2036"/>
        <item m="1" x="2140"/>
        <item m="1" x="1200"/>
        <item m="1" x="1994"/>
        <item m="1" x="2003"/>
        <item m="1" x="2004"/>
        <item m="1" x="2011"/>
        <item m="1" x="2012"/>
        <item m="1" x="2013"/>
        <item m="1" x="712"/>
        <item m="1" x="2029"/>
        <item m="1" x="2030"/>
        <item m="1" x="2031"/>
        <item m="1" x="2032"/>
        <item m="1" x="2021"/>
        <item m="1" x="2153"/>
        <item m="1" x="1196"/>
        <item m="1" x="2152"/>
        <item m="1" x="1195"/>
        <item m="1" x="2155"/>
        <item m="1" x="1198"/>
        <item m="1" x="2154"/>
        <item m="1" x="1197"/>
        <item m="1" x="1187"/>
        <item m="1" x="1989"/>
        <item m="1" x="1156"/>
        <item m="1" x="2025"/>
        <item m="1" x="2026"/>
        <item m="1" x="2033"/>
        <item m="1" x="2034"/>
        <item m="1" x="1617"/>
        <item m="1" x="2023"/>
        <item m="1" x="2094"/>
        <item m="1" x="2022"/>
        <item m="1" x="713"/>
        <item m="1" x="2148"/>
        <item m="1" x="2149"/>
        <item m="1" x="2027"/>
        <item m="1" x="2028"/>
        <item m="1" x="2008"/>
        <item m="1" x="2009"/>
        <item m="1" x="2024"/>
        <item m="1" x="391"/>
        <item m="1" x="1484"/>
        <item m="1" x="1486"/>
        <item m="1" x="311"/>
        <item m="1" x="403"/>
        <item m="1" x="252"/>
        <item m="1" x="404"/>
        <item m="1" x="253"/>
        <item m="1" x="1534"/>
        <item m="1" x="1481"/>
        <item m="1" x="1482"/>
        <item m="1" x="1483"/>
        <item m="1" x="1506"/>
        <item m="1" x="1507"/>
        <item m="1" x="1508"/>
        <item m="1" x="1509"/>
        <item m="1" x="1510"/>
        <item m="1" x="1511"/>
        <item m="1" x="297"/>
        <item m="1" x="303"/>
        <item m="1" x="304"/>
        <item m="1" x="1536"/>
        <item m="1" x="1537"/>
        <item m="1" x="1538"/>
        <item m="1" x="1539"/>
        <item m="1" x="1515"/>
        <item m="1" x="1516"/>
        <item m="1" x="1517"/>
        <item m="1" x="1518"/>
        <item m="1" x="1519"/>
        <item m="1" x="1520"/>
        <item m="1" x="1525"/>
        <item m="1" x="1530"/>
        <item m="1" x="377"/>
        <item m="1" x="376"/>
        <item m="1" x="1535"/>
        <item m="1" x="40"/>
        <item m="1" x="39"/>
        <item m="1" x="42"/>
        <item m="1" x="41"/>
        <item m="1" x="302"/>
        <item m="1" x="37"/>
        <item m="1" x="1496"/>
        <item m="1" x="312"/>
        <item m="1" x="316"/>
        <item m="1" x="314"/>
        <item m="1" x="315"/>
        <item m="1" x="1533"/>
        <item m="1" x="313"/>
        <item m="1" x="908"/>
        <item m="1" x="942"/>
        <item m="1" x="2047"/>
        <item m="1" x="876"/>
        <item m="1" x="877"/>
        <item m="1" x="878"/>
        <item m="1" x="2050"/>
        <item m="1" x="918"/>
        <item m="1" x="897"/>
        <item m="1" x="926"/>
        <item m="1" x="927"/>
        <item m="1" x="2080"/>
        <item m="1" x="892"/>
        <item m="1" x="893"/>
        <item m="1" x="916"/>
        <item m="1" x="917"/>
        <item m="1" x="951"/>
        <item m="1" x="574"/>
        <item m="1" x="888"/>
        <item m="1" x="912"/>
        <item m="1" x="913"/>
        <item m="1" x="914"/>
        <item m="1" x="915"/>
        <item m="1" x="959"/>
        <item m="1" x="233"/>
        <item m="1" x="958"/>
        <item m="1" x="232"/>
        <item m="1" x="961"/>
        <item m="1" x="235"/>
        <item m="1" x="960"/>
        <item m="1" x="234"/>
        <item m="1" x="886"/>
        <item m="1" x="910"/>
        <item m="1" x="911"/>
        <item m="1" x="909"/>
        <item m="1" x="438"/>
        <item m="1" x="1914"/>
        <item m="1" x="468"/>
        <item m="1" x="423"/>
        <item m="1" x="1854"/>
        <item m="1" x="1916"/>
        <item m="1" x="1856"/>
        <item m="1" x="1879"/>
        <item m="1" x="1880"/>
        <item m="1" x="1618"/>
        <item m="1" x="1619"/>
        <item m="1" x="1620"/>
        <item m="1" x="1622"/>
        <item m="1" x="419"/>
        <item m="1" x="1629"/>
        <item m="1" x="421"/>
        <item m="1" x="422"/>
        <item m="1" x="435"/>
        <item m="1" x="436"/>
        <item m="1" x="1649"/>
        <item m="1" x="1892"/>
        <item m="1" x="1642"/>
        <item m="1" x="1643"/>
        <item m="1" x="484"/>
        <item m="1" x="452"/>
        <item m="1" x="1632"/>
        <item m="1" x="1980"/>
        <item m="1" x="1652"/>
        <item m="1" x="1981"/>
        <item m="1" x="1982"/>
        <item m="1" x="1983"/>
        <item m="1" x="1984"/>
        <item m="1" x="466"/>
        <item m="1" x="1637"/>
        <item m="1" x="446"/>
        <item m="1" x="427"/>
        <item m="1" x="1860"/>
        <item m="1" x="1861"/>
        <item m="1" x="1670"/>
        <item m="1" x="429"/>
        <item m="1" x="424"/>
        <item m="1" x="464"/>
        <item m="1" x="1772"/>
        <item m="1" x="1891"/>
        <item m="1" x="1890"/>
        <item m="1" x="486"/>
        <item m="1" x="1706"/>
        <item m="1" x="1707"/>
        <item m="1" x="1801"/>
        <item m="1" x="1802"/>
        <item m="1" x="1867"/>
        <item m="1" x="1868"/>
        <item m="1" x="1683"/>
        <item m="1" x="1876"/>
        <item m="1" x="1662"/>
        <item m="1" x="1749"/>
        <item m="1" x="1750"/>
        <item m="1" x="455"/>
        <item m="1" x="483"/>
        <item m="1" x="1831"/>
        <item m="1" x="1832"/>
        <item m="1" x="1833"/>
        <item m="1" x="449"/>
        <item m="1" x="485"/>
        <item m="1" x="1870"/>
        <item m="1" x="1871"/>
        <item m="1" x="1872"/>
        <item m="1" x="1862"/>
        <item m="1" x="1863"/>
        <item m="1" x="1857"/>
        <item m="1" x="1858"/>
        <item m="1" x="1859"/>
        <item m="1" x="1932"/>
        <item m="1" x="1070"/>
        <item m="1" x="1931"/>
        <item m="1" x="1069"/>
        <item m="1" x="1934"/>
        <item m="1" x="1072"/>
        <item m="1" x="1933"/>
        <item m="1" x="1071"/>
        <item m="1" x="1026"/>
        <item m="1" x="1864"/>
        <item m="1" x="1873"/>
        <item m="1" x="1874"/>
        <item m="1" x="1929"/>
        <item m="1" x="1865"/>
        <item m="1" x="1074"/>
        <item m="1" x="1075"/>
        <item m="1" x="1875"/>
        <item m="1" x="439"/>
        <item m="1" x="441"/>
        <item m="1" x="448"/>
        <item m="1" x="1762"/>
        <item m="1" x="1763"/>
        <item m="1" x="1764"/>
        <item m="1" x="1765"/>
        <item m="1" x="1766"/>
        <item m="1" x="1926"/>
        <item m="1" x="481"/>
        <item m="1" x="1866"/>
        <item m="1" x="1869"/>
        <item m="1" x="482"/>
        <item m="1" x="594"/>
        <item m="1" x="641"/>
        <item m="1" x="671"/>
        <item m="1" x="168"/>
        <item m="1" x="1948"/>
        <item m="1" x="587"/>
        <item m="1" x="678"/>
        <item m="1" x="1976"/>
        <item m="1" x="1977"/>
        <item m="1" x="1978"/>
        <item m="1" x="1979"/>
        <item m="1" x="638"/>
        <item m="1" x="640"/>
        <item m="1" x="595"/>
        <item m="1" x="596"/>
        <item m="1" x="684"/>
        <item m="1" x="585"/>
        <item m="1" x="639"/>
        <item m="1" x="680"/>
        <item m="1" x="174"/>
        <item m="1" x="679"/>
        <item m="1" x="173"/>
        <item m="1" x="682"/>
        <item m="1" x="176"/>
        <item m="1" x="681"/>
        <item m="1" x="175"/>
        <item m="1" x="1949"/>
        <item m="1" x="1950"/>
        <item m="1" x="1952"/>
        <item m="1" x="1953"/>
        <item m="1" x="1956"/>
        <item m="1" x="602"/>
        <item m="1" x="148"/>
        <item m="1" x="603"/>
        <item m="1" x="1951"/>
        <item m="1" x="1958"/>
        <item m="1" x="1969"/>
        <item m="1" x="1974"/>
        <item m="1" x="1954"/>
        <item m="1" x="1959"/>
        <item m="1" x="1975"/>
        <item m="1" x="410"/>
        <item m="1" x="1552"/>
        <item m="1" x="1542"/>
        <item m="1" x="873"/>
        <item m="1" x="1553"/>
        <item m="1" x="1554"/>
        <item m="1" x="1555"/>
        <item m="1" x="352"/>
        <item m="1" x="353"/>
        <item m="1" x="354"/>
        <item m="1" x="355"/>
        <item m="1" x="1551"/>
        <item m="1" x="1556"/>
        <item m="1" x="331"/>
        <item m="1" x="345"/>
        <item m="1" x="346"/>
        <item m="1" x="347"/>
        <item m="1" x="409"/>
        <item m="1" x="348"/>
        <item m="1" x="349"/>
        <item m="1" x="350"/>
        <item m="1" x="35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879">
        <item m="1" x="403"/>
        <item m="1" x="408"/>
        <item m="1" x="548"/>
        <item m="1" x="549"/>
        <item m="1" x="625"/>
        <item m="1" x="308"/>
        <item m="1" x="611"/>
        <item m="1" x="644"/>
        <item m="1" x="151"/>
        <item m="1" x="318"/>
        <item m="1" x="411"/>
        <item m="1" x="372"/>
        <item m="1" x="613"/>
        <item m="1" x="669"/>
        <item m="1" x="797"/>
        <item m="1" x="51"/>
        <item m="1" x="123"/>
        <item m="1" x="100"/>
        <item m="1" x="319"/>
        <item m="1" x="647"/>
        <item m="1" x="687"/>
        <item m="1" x="601"/>
        <item m="1" x="673"/>
        <item m="1" x="54"/>
        <item m="1" x="325"/>
        <item m="1" x="371"/>
        <item m="1" x="185"/>
        <item m="1" x="244"/>
        <item m="1" x="477"/>
        <item m="1" x="214"/>
        <item m="1" x="375"/>
        <item m="1" x="417"/>
        <item m="1" x="455"/>
        <item m="1" x="553"/>
        <item m="1" x="287"/>
        <item m="1" x="338"/>
        <item m="1" x="459"/>
        <item m="1" x="483"/>
        <item m="1" x="596"/>
        <item m="1" x="614"/>
        <item m="1" x="488"/>
        <item m="1" x="522"/>
        <item m="1" x="615"/>
        <item m="1" x="527"/>
        <item m="1" x="581"/>
        <item m="1" x="648"/>
        <item m="1" x="618"/>
        <item m="1" x="650"/>
        <item m="1" x="674"/>
        <item m="1" x="631"/>
        <item m="1" x="677"/>
        <item m="1" x="738"/>
        <item m="1" x="762"/>
        <item m="1" x="776"/>
        <item m="1" x="802"/>
        <item m="1" x="55"/>
        <item m="1" x="82"/>
        <item m="1" x="103"/>
        <item m="1" x="134"/>
        <item m="1" x="154"/>
        <item m="1" x="183"/>
        <item m="1" x="186"/>
        <item m="1" x="211"/>
        <item m="1" x="245"/>
        <item m="1" x="280"/>
        <item m="1" x="215"/>
        <item m="1" x="283"/>
        <item m="1" x="334"/>
        <item m="1" x="756"/>
        <item m="1" x="820"/>
        <item m="1" x="843"/>
        <item m="1" x="74"/>
        <item m="1" x="822"/>
        <item m="1" x="587"/>
        <item m="1" x="726"/>
        <item m="1" x="502"/>
        <item m="1" x="366"/>
        <item m="1" x="87"/>
        <item m="1" x="436"/>
        <item m="1" x="764"/>
        <item m="1" x="199"/>
        <item m="1" x="400"/>
        <item m="1" x="507"/>
        <item m="1" x="116"/>
        <item m="1" x="406"/>
        <item m="1" x="443"/>
        <item m="1" x="409"/>
        <item m="1" x="273"/>
        <item m="1" x="627"/>
        <item m="1" x="47"/>
        <item m="1" x="775"/>
        <item m="1" x="798"/>
        <item m="1" x="23"/>
        <item m="1" x="799"/>
        <item m="1" x="101"/>
        <item m="1" x="262"/>
        <item m="1" x="703"/>
        <item m="1" x="543"/>
        <item m="1" x="360"/>
        <item m="1" x="810"/>
        <item m="1" x="12"/>
        <item m="1" x="274"/>
        <item m="1" x="320"/>
        <item m="1" x="509"/>
        <item m="1" x="384"/>
        <item x="0"/>
        <item m="1" x="216"/>
        <item m="1" x="525"/>
        <item m="1" x="846"/>
        <item m="1" x="874"/>
        <item m="1" x="664"/>
        <item m="1" x="864"/>
        <item m="1" x="686"/>
        <item m="1" x="745"/>
        <item m="1" x="853"/>
        <item m="1" x="27"/>
        <item m="1" x="61"/>
        <item m="1" x="765"/>
        <item m="1" x="834"/>
        <item m="1" x="856"/>
        <item m="1" x="233"/>
        <item m="1" x="94"/>
        <item m="1" x="697"/>
        <item m="1" x="465"/>
        <item m="1" x="751"/>
        <item m="1" x="791"/>
        <item m="1" x="50"/>
        <item m="1" x="326"/>
        <item m="1" x="796"/>
        <item m="1" x="247"/>
        <item m="1" x="380"/>
        <item m="1" x="345"/>
        <item m="1" x="847"/>
        <item m="1" x="258"/>
        <item m="1" x="296"/>
        <item m="1" x="391"/>
        <item m="1" x="431"/>
        <item m="1" x="463"/>
        <item m="1" x="306"/>
        <item m="1" x="607"/>
        <item m="1" x="663"/>
        <item m="1" x="666"/>
        <item m="1" x="711"/>
        <item m="1" x="737"/>
        <item m="1" x="56"/>
        <item m="1" x="512"/>
        <item m="1" x="291"/>
        <item m="1" x="356"/>
        <item m="1" x="832"/>
        <item m="1" x="855"/>
        <item m="1" x="501"/>
        <item m="1" x="662"/>
        <item m="1" x="857"/>
        <item m="1" x="365"/>
        <item m="1" x="368"/>
        <item m="1" x="476"/>
        <item m="1" x="43"/>
        <item m="1" x="867"/>
        <item m="1" x="16"/>
        <item m="1" x="46"/>
        <item m="1" x="49"/>
        <item m="1" x="146"/>
        <item m="1" x="504"/>
        <item m="1" x="415"/>
        <item m="1" x="452"/>
        <item m="1" x="612"/>
        <item m="1" x="586"/>
        <item m="1" x="653"/>
        <item m="1" x="676"/>
        <item m="1" x="557"/>
        <item m="1" x="599"/>
        <item m="1" x="635"/>
        <item m="1" x="621"/>
        <item m="1" x="530"/>
        <item m="1" x="749"/>
        <item m="1" x="437"/>
        <item m="1" x="860"/>
        <item m="1" x="148"/>
        <item m="1" x="179"/>
        <item m="1" x="207"/>
        <item m="1" x="757"/>
        <item m="1" x="42"/>
        <item m="1" x="240"/>
        <item m="1" x="374"/>
        <item m="1" x="335"/>
        <item m="1" x="376"/>
        <item m="1" x="868"/>
        <item m="1" x="48"/>
        <item m="1" x="158"/>
        <item m="1" x="385"/>
        <item m="1" x="460"/>
        <item m="1" x="485"/>
        <item m="1" x="518"/>
        <item m="1" x="78"/>
        <item m="1" x="730"/>
        <item m="1" x="519"/>
        <item m="1" x="875"/>
        <item m="1" x="220"/>
        <item m="1" x="193"/>
        <item m="1" x="294"/>
        <item m="1" x="260"/>
        <item m="1" x="298"/>
        <item m="1" x="361"/>
        <item m="1" x="397"/>
        <item m="1" x="202"/>
        <item m="1" x="229"/>
        <item m="1" x="264"/>
        <item m="1" x="302"/>
        <item m="1" x="358"/>
        <item m="1" x="395"/>
        <item m="1" x="438"/>
        <item m="1" x="467"/>
        <item m="1" x="495"/>
        <item m="1" x="538"/>
        <item m="1" x="267"/>
        <item m="1" x="305"/>
        <item m="1" x="362"/>
        <item m="1" x="398"/>
        <item m="1" x="440"/>
        <item m="1" x="471"/>
        <item m="1" x="498"/>
        <item m="1" x="469"/>
        <item m="1" x="497"/>
        <item m="1" x="544"/>
        <item m="1" x="573"/>
        <item m="1" x="591"/>
        <item m="1" x="722"/>
        <item m="1" x="814"/>
        <item m="1" x="789"/>
        <item m="1" x="839"/>
        <item m="1" x="862"/>
        <item m="1" x="13"/>
        <item m="1" x="41"/>
        <item m="1" x="572"/>
        <item m="1" x="590"/>
        <item m="1" x="639"/>
        <item m="1" x="473"/>
        <item m="1" x="608"/>
        <item m="1" x="624"/>
        <item m="1" x="641"/>
        <item m="1" x="665"/>
        <item m="1" x="684"/>
        <item m="1" x="609"/>
        <item m="1" x="771"/>
        <item m="1" x="17"/>
        <item m="1" x="95"/>
        <item m="1" x="474"/>
        <item m="1" x="503"/>
        <item m="1" x="755"/>
        <item m="1" x="759"/>
        <item m="1" x="594"/>
        <item m="1" x="734"/>
        <item m="1" x="327"/>
        <item m="1" x="551"/>
        <item m="1" x="667"/>
        <item m="1" x="671"/>
        <item m="1" x="870"/>
        <item m="1" x="646"/>
        <item m="1" x="801"/>
        <item m="1" x="679"/>
        <item m="1" x="534"/>
        <item m="1" x="196"/>
        <item m="1" x="261"/>
        <item m="1" x="300"/>
        <item m="1" x="353"/>
        <item m="1" x="354"/>
        <item m="1" x="266"/>
        <item m="1" x="442"/>
        <item m="1" x="605"/>
        <item m="1" x="701"/>
        <item m="1" x="34"/>
        <item m="1" x="835"/>
        <item m="1" x="363"/>
        <item m="1" x="37"/>
        <item m="1" x="815"/>
        <item m="1" x="39"/>
        <item m="1" x="309"/>
        <item m="1" x="407"/>
        <item m="1" x="444"/>
        <item m="1" x="174"/>
        <item m="1" x="203"/>
        <item m="1" x="310"/>
        <item m="1" x="72"/>
        <item m="1" x="115"/>
        <item m="1" x="270"/>
        <item m="1" x="859"/>
        <item m="1" x="204"/>
        <item m="1" x="312"/>
        <item m="1" x="147"/>
        <item m="1" x="178"/>
        <item m="1" x="235"/>
        <item m="1" x="410"/>
        <item m="1" x="323"/>
        <item m="1" x="412"/>
        <item m="1" x="446"/>
        <item m="1" x="510"/>
        <item m="1" x="575"/>
        <item m="1" x="816"/>
        <item m="1" x="840"/>
        <item m="1" x="863"/>
        <item m="1" x="772"/>
        <item m="1" x="794"/>
        <item m="1" x="819"/>
        <item m="1" x="842"/>
        <item m="1" x="205"/>
        <item m="1" x="177"/>
        <item m="1" x="828"/>
        <item m="1" x="850"/>
        <item m="1" x="550"/>
        <item m="1" x="480"/>
        <item m="1" x="511"/>
        <item m="1" x="645"/>
        <item m="1" x="670"/>
        <item m="1" x="523"/>
        <item m="1" x="558"/>
        <item m="1" x="709"/>
        <item m="1" x="735"/>
        <item m="1" x="761"/>
        <item m="1" x="825"/>
        <item m="1" x="528"/>
        <item m="1" x="560"/>
        <item m="1" x="616"/>
        <item m="1" x="649"/>
        <item m="1" x="690"/>
        <item m="1" x="708"/>
        <item m="1" x="583"/>
        <item m="1" x="602"/>
        <item m="1" x="619"/>
        <item m="1" x="628"/>
        <item m="1" x="651"/>
        <item m="1" x="675"/>
        <item m="1" x="691"/>
        <item m="1" x="632"/>
        <item m="1" x="654"/>
        <item m="1" x="712"/>
        <item m="1" x="777"/>
        <item m="1" x="656"/>
        <item m="1" x="680"/>
        <item m="1" x="695"/>
        <item m="1" x="713"/>
        <item m="1" x="741"/>
        <item m="1" x="763"/>
        <item m="1" x="779"/>
        <item m="1" x="803"/>
        <item m="1" x="829"/>
        <item m="1" x="851"/>
        <item m="1" x="698"/>
        <item m="1" x="714"/>
        <item m="1" x="744"/>
        <item m="1" x="831"/>
        <item m="1" x="2"/>
        <item m="1" x="746"/>
        <item m="1" x="766"/>
        <item m="1" x="783"/>
        <item m="1" x="807"/>
        <item m="1" x="514"/>
        <item m="1" x="382"/>
        <item m="1" x="584"/>
        <item m="1" x="629"/>
        <item m="1" x="603"/>
        <item m="1" x="657"/>
        <item m="1" x="681"/>
        <item m="1" x="383"/>
        <item m="1" x="422"/>
        <item m="1" x="564"/>
        <item m="1" x="588"/>
        <item m="1" x="694"/>
        <item m="1" x="748"/>
        <item m="1" x="7"/>
        <item m="1" x="33"/>
        <item m="1" x="344"/>
        <item m="1" x="524"/>
        <item m="1" x="559"/>
        <item m="1" x="582"/>
        <item m="1" x="390"/>
        <item m="1" x="561"/>
        <item m="1" x="464"/>
        <item m="1" x="494"/>
        <item m="1" x="535"/>
        <item m="1" x="565"/>
        <item m="1" x="589"/>
        <item m="1" x="604"/>
        <item m="1" x="633"/>
        <item m="1" x="682"/>
        <item m="1" x="623"/>
        <item m="1" x="637"/>
        <item m="1" x="699"/>
        <item m="1" x="715"/>
        <item m="1" x="700"/>
        <item m="1" x="659"/>
        <item m="1" x="683"/>
        <item m="1" x="787"/>
        <item m="1" x="808"/>
        <item m="1" x="529"/>
        <item m="1" x="350"/>
        <item m="1" x="585"/>
        <item m="1" x="394"/>
        <item m="1" x="539"/>
        <item m="1" x="568"/>
        <item m="1" x="747"/>
        <item m="1" x="660"/>
        <item m="1" x="719"/>
        <item m="1" x="562"/>
        <item m="1" x="642"/>
        <item m="1" x="750"/>
        <item m="1" x="813"/>
        <item m="1" x="540"/>
        <item m="1" x="441"/>
        <item m="1" x="472"/>
        <item m="1" x="499"/>
        <item m="1" x="541"/>
        <item m="1" x="570"/>
        <item m="1" x="638"/>
        <item m="1" x="11"/>
        <item m="1" x="556"/>
        <item m="1" x="836"/>
        <item m="1" x="725"/>
        <item m="1" x="373"/>
        <item m="1" x="595"/>
        <item m="1" x="355"/>
        <item m="1" x="727"/>
        <item m="1" x="578"/>
        <item m="1" x="322"/>
        <item m="1" x="379"/>
        <item m="1" x="419"/>
        <item m="1" x="170"/>
        <item m="1" x="542"/>
        <item m="1" x="792"/>
        <item m="1" x="705"/>
        <item m="1" x="566"/>
        <item m="1" x="536"/>
        <item m="1" x="75"/>
        <item m="1" x="90"/>
        <item m="1" x="405"/>
        <item m="1" x="545"/>
        <item m="1" x="239"/>
        <item m="1" x="275"/>
        <item m="1" x="770"/>
        <item m="1" x="758"/>
        <item m="1" x="610"/>
        <item m="1" x="250"/>
        <item m="1" x="707"/>
        <item m="1" x="208"/>
        <item m="1" x="580"/>
        <item m="1" x="182"/>
        <item m="1" x="145"/>
        <item m="1" x="754"/>
        <item m="1" x="241"/>
        <item m="1" x="313"/>
        <item m="1" x="740"/>
        <item m="1" x="176"/>
        <item m="1" x="127"/>
        <item m="1" x="593"/>
        <item m="1" x="837"/>
        <item m="1" x="861"/>
        <item m="1" x="496"/>
        <item m="1" x="453"/>
        <item m="1" x="571"/>
        <item m="1" x="597"/>
        <item m="1" x="399"/>
        <item m="1" x="818"/>
        <item m="1" x="717"/>
        <item m="1" x="40"/>
        <item m="1" x="130"/>
        <item m="1" x="152"/>
        <item m="1" x="370"/>
        <item m="1" x="102"/>
        <item m="1" x="317"/>
        <item m="1" x="743"/>
        <item m="1" x="328"/>
        <item m="1" x="307"/>
        <item m="1" x="479"/>
        <item m="1" x="456"/>
        <item m="1" x="845"/>
        <item m="1" x="795"/>
        <item m="1" x="77"/>
        <item m="1" x="175"/>
        <item m="1" x="96"/>
        <item m="1" x="52"/>
        <item m="1" x="70"/>
        <item m="1" x="35"/>
        <item m="1" x="640"/>
        <item m="1" x="661"/>
        <item m="1" x="554"/>
        <item m="1" x="329"/>
        <item m="1" x="15"/>
        <item m="1" x="304"/>
        <item m="1" x="97"/>
        <item m="1" x="242"/>
        <item m="1" x="506"/>
        <item m="1" x="117"/>
        <item m="1" x="30"/>
        <item m="1" x="576"/>
        <item m="1" x="18"/>
        <item m="1" x="838"/>
        <item m="1" x="773"/>
        <item m="1" x="668"/>
        <item m="1" x="448"/>
        <item m="1" x="21"/>
        <item m="1" x="508"/>
        <item m="1" x="516"/>
        <item m="1" x="118"/>
        <item m="1" x="92"/>
        <item m="1" x="120"/>
        <item m="1" x="271"/>
        <item m="1" x="234"/>
        <item m="1" x="144"/>
        <item m="1" x="381"/>
        <item m="1" x="278"/>
        <item m="1" x="330"/>
        <item m="1" x="420"/>
        <item m="1" x="484"/>
        <item m="1" x="121"/>
        <item m="1" x="617"/>
        <item m="1" x="5"/>
        <item m="1" x="209"/>
        <item m="1" x="841"/>
        <item m="1" x="790"/>
        <item m="1" x="821"/>
        <item m="1" x="238"/>
        <item m="1" x="505"/>
        <item m="1" x="217"/>
        <item m="1" x="866"/>
        <item m="1" x="281"/>
        <item m="1" x="774"/>
        <item m="1" x="817"/>
        <item m="1" x="753"/>
        <item m="1" x="369"/>
        <item m="1" x="236"/>
        <item m="1" x="73"/>
        <item m="1" x="367"/>
        <item m="1" x="702"/>
        <item m="1" x="364"/>
        <item m="1" x="579"/>
        <item m="1" x="768"/>
        <item m="1" x="482"/>
        <item m="1" x="513"/>
        <item m="1" x="449"/>
        <item m="1" x="129"/>
        <item m="1" x="76"/>
        <item m="1" x="555"/>
        <item m="1" x="486"/>
        <item m="1" x="812"/>
        <item m="1" x="434"/>
        <item m="1" x="729"/>
        <item m="1" x="164"/>
        <item m="1" x="404"/>
        <item m="1" x="414"/>
        <item m="1" x="340"/>
        <item m="1" x="157"/>
        <item m="1" x="451"/>
        <item m="1" x="720"/>
        <item m="1" x="226"/>
        <item m="1" x="721"/>
        <item m="1" x="332"/>
        <item m="1" x="848"/>
        <item m="1" x="869"/>
        <item m="1" x="688"/>
        <item m="1" x="149"/>
        <item m="1" x="416"/>
        <item m="1" x="723"/>
        <item m="1" x="160"/>
        <item m="1" x="450"/>
        <item m="1" x="521"/>
        <item m="1" x="626"/>
        <item m="1" x="475"/>
        <item m="1" x="122"/>
        <item m="1" x="79"/>
        <item m="1" x="99"/>
        <item m="1" x="91"/>
        <item m="1" x="133"/>
        <item m="1" x="288"/>
        <item m="1" x="284"/>
        <item m="1" x="269"/>
        <item m="1" x="128"/>
        <item m="1" x="341"/>
        <item m="1" x="45"/>
        <item m="1" x="844"/>
        <item m="1" x="14"/>
        <item m="1" x="63"/>
        <item m="1" x="93"/>
        <item m="1" x="113"/>
        <item m="1" x="865"/>
        <item m="1" x="155"/>
        <item m="1" x="636"/>
        <item m="1" x="19"/>
        <item m="1" x="793"/>
        <item m="1" x="598"/>
        <item m="1" x="622"/>
        <item m="1" x="248"/>
        <item m="1" x="552"/>
        <item m="1" x="800"/>
        <item m="1" x="105"/>
        <item m="1" x="824"/>
        <item m="1" x="279"/>
        <item m="1" x="243"/>
        <item m="1" x="331"/>
        <item m="1" x="809"/>
        <item m="1" x="600"/>
        <item m="1" x="377"/>
        <item m="1" x="732"/>
        <item m="1" x="387"/>
        <item m="1" x="24"/>
        <item m="1" x="433"/>
        <item m="1" x="268"/>
        <item m="1" x="132"/>
        <item m="1" x="153"/>
        <item m="1" x="210"/>
        <item m="1" x="457"/>
        <item m="1" x="336"/>
        <item m="1" x="285"/>
        <item m="1" x="731"/>
        <item m="1" x="180"/>
        <item m="1" x="788"/>
        <item m="1" x="98"/>
        <item m="1" x="333"/>
        <item m="1" x="212"/>
        <item m="1" x="53"/>
        <item m="1" x="418"/>
        <item m="1" x="424"/>
        <item m="1" x="386"/>
        <item m="1" x="188"/>
        <item m="1" x="487"/>
        <item m="1" x="342"/>
        <item m="1" x="706"/>
        <item m="1" x="272"/>
        <item m="1" x="81"/>
        <item m="1" x="823"/>
        <item m="1" x="316"/>
        <item m="1" x="830"/>
        <item m="1" x="454"/>
        <item m="1" x="852"/>
        <item m="1" x="161"/>
        <item m="1" x="421"/>
        <item m="1" x="221"/>
        <item m="1" x="289"/>
        <item m="1" x="252"/>
        <item m="1" x="427"/>
        <item m="1" x="858"/>
        <item m="1" x="80"/>
        <item m="1" x="388"/>
        <item m="1" x="769"/>
        <item m="1" x="811"/>
        <item m="1" x="489"/>
        <item m="1" x="526"/>
        <item m="1" x="426"/>
        <item m="1" x="520"/>
        <item m="1" x="458"/>
        <item m="1" x="292"/>
        <item m="1" x="710"/>
        <item m="1" x="138"/>
        <item m="1" x="849"/>
        <item m="1" x="150"/>
        <item m="1" x="156"/>
        <item m="1" x="135"/>
        <item m="1" x="184"/>
        <item m="1" x="872"/>
        <item m="1" x="348"/>
        <item m="1" x="114"/>
        <item m="1" x="724"/>
        <item m="1" x="423"/>
        <item m="1" x="413"/>
        <item m="1" x="311"/>
        <item m="1" x="692"/>
        <item m="1" x="83"/>
        <item m="1" x="192"/>
        <item m="1" x="826"/>
        <item m="1" x="139"/>
        <item m="1" x="136"/>
        <item m="1" x="876"/>
        <item m="1" x="337"/>
        <item m="1" x="515"/>
        <item m="1" x="781"/>
        <item m="1" x="25"/>
        <item m="1" x="166"/>
        <item m="1" x="428"/>
        <item m="1" x="490"/>
        <item m="1" x="461"/>
        <item m="1" x="32"/>
        <item m="1" x="752"/>
        <item m="1" x="59"/>
        <item m="1" x="736"/>
        <item m="1" x="742"/>
        <item m="1" x="290"/>
        <item m="1" x="739"/>
        <item m="1" x="3"/>
        <item m="1" x="630"/>
        <item m="1" x="652"/>
        <item m="1" x="237"/>
        <item m="1" x="44"/>
        <item m="1" x="277"/>
        <item m="1" x="500"/>
        <item m="1" x="716"/>
        <item m="1" x="785"/>
        <item m="1" x="9"/>
        <item m="1" x="620"/>
        <item m="1" x="218"/>
        <item m="1" x="546"/>
        <item m="1" x="189"/>
        <item m="1" x="85"/>
        <item m="1" x="66"/>
        <item m="1" x="22"/>
        <item m="1" x="162"/>
        <item m="1" x="60"/>
        <item m="1" x="67"/>
        <item m="1" x="854"/>
        <item m="1" x="57"/>
        <item m="1" x="696"/>
        <item m="1" x="191"/>
        <item m="1" x="805"/>
        <item m="1" x="253"/>
        <item m="1" x="222"/>
        <item m="1" x="547"/>
        <item m="1" x="827"/>
        <item m="1" x="86"/>
        <item m="1" x="107"/>
        <item m="1" x="194"/>
        <item m="1" x="165"/>
        <item m="1" x="347"/>
        <item m="1" x="69"/>
        <item m="1" x="28"/>
        <item m="1" x="346"/>
        <item m="1" x="89"/>
        <item m="1" x="468"/>
        <item m="1" x="871"/>
        <item m="1" x="804"/>
        <item m="1" x="58"/>
        <item m="1" x="29"/>
        <item m="1" x="65"/>
        <item m="1" x="8"/>
        <item m="1" x="126"/>
        <item m="1" x="26"/>
        <item m="1" x="303"/>
        <item m="1" x="171"/>
        <item m="1" x="190"/>
        <item m="1" x="606"/>
        <item m="1" x="224"/>
        <item m="1" x="255"/>
        <item m="1" x="293"/>
        <item m="1" x="574"/>
        <item m="1" x="4"/>
        <item m="1" x="314"/>
        <item m="1" x="181"/>
        <item m="1" x="478"/>
        <item m="1" x="533"/>
        <item m="1" x="213"/>
        <item m="1" x="246"/>
        <item m="1" x="286"/>
        <item m="1" x="833"/>
        <item m="1" x="445"/>
        <item m="1" x="163"/>
        <item m="1" x="112"/>
        <item m="1" x="231"/>
        <item m="1" x="401"/>
        <item m="1" x="131"/>
        <item m="1" x="197"/>
        <item m="1" x="343"/>
        <item m="1" x="20"/>
        <item m="1" x="321"/>
        <item m="1" x="784"/>
        <item m="1" x="111"/>
        <item m="1" x="1"/>
        <item m="1" x="71"/>
        <item m="1" x="778"/>
        <item m="1" x="38"/>
        <item m="1" x="301"/>
        <item m="1" x="251"/>
        <item m="1" x="109"/>
        <item m="1" x="142"/>
        <item m="1" x="577"/>
        <item m="1" x="201"/>
        <item m="1" x="760"/>
        <item m="1" x="569"/>
        <item m="1" x="198"/>
        <item m="1" x="432"/>
        <item m="1" x="491"/>
        <item m="1" x="532"/>
        <item m="1" x="263"/>
        <item m="1" x="84"/>
        <item m="1" x="104"/>
        <item m="1" x="137"/>
        <item m="1" x="159"/>
        <item m="1" x="187"/>
        <item m="1" x="537"/>
        <item m="1" x="167"/>
        <item m="1" x="88"/>
        <item m="1" x="68"/>
        <item m="1" x="141"/>
        <item m="1" x="108"/>
        <item m="1" x="297"/>
        <item m="1" x="878"/>
        <item m="1" x="265"/>
        <item m="1" x="531"/>
        <item m="1" x="782"/>
        <item m="1" x="392"/>
        <item m="1" x="658"/>
        <item m="1" x="470"/>
        <item m="1" x="425"/>
        <item m="1" x="169"/>
        <item m="1" x="339"/>
        <item m="1" x="140"/>
        <item m="1" x="228"/>
        <item m="1" x="259"/>
        <item m="1" x="439"/>
        <item m="1" x="351"/>
        <item m="1" x="349"/>
        <item m="1" x="389"/>
        <item m="1" x="430"/>
        <item m="1" x="173"/>
        <item m="1" x="718"/>
        <item m="1" x="728"/>
        <item m="1" x="143"/>
        <item m="1" x="634"/>
        <item m="1" x="378"/>
        <item m="1" x="655"/>
        <item m="1" x="352"/>
        <item m="1" x="106"/>
        <item m="1" x="466"/>
        <item m="1" x="393"/>
        <item m="1" x="357"/>
        <item m="1" x="567"/>
        <item m="1" x="435"/>
        <item m="1" x="195"/>
        <item m="1" x="225"/>
        <item m="1" x="230"/>
        <item m="1" x="877"/>
        <item m="1" x="227"/>
        <item m="1" x="257"/>
        <item m="1" x="324"/>
        <item m="1" x="256"/>
        <item m="1" x="64"/>
        <item m="1" x="249"/>
        <item m="1" x="62"/>
        <item m="1" x="492"/>
        <item m="1" x="685"/>
        <item m="1" x="206"/>
        <item m="1" x="517"/>
        <item m="1" x="563"/>
        <item m="1" x="733"/>
        <item m="1" x="678"/>
        <item m="1" x="295"/>
        <item m="1" x="592"/>
        <item m="1" x="232"/>
        <item m="1" x="119"/>
        <item m="1" x="643"/>
        <item m="1" x="168"/>
        <item m="1" x="672"/>
        <item m="1" x="786"/>
        <item m="1" x="219"/>
        <item m="1" x="276"/>
        <item m="1" x="447"/>
        <item m="1" x="689"/>
        <item m="1" x="693"/>
        <item m="1" x="282"/>
        <item m="1" x="110"/>
        <item m="1" x="6"/>
        <item m="1" x="31"/>
        <item m="1" x="125"/>
        <item m="1" x="172"/>
        <item m="1" x="806"/>
        <item m="1" x="493"/>
        <item m="1" x="429"/>
        <item m="1" x="462"/>
        <item m="1" x="299"/>
        <item m="1" x="200"/>
        <item m="1" x="124"/>
        <item m="1" x="481"/>
        <item m="1" x="10"/>
        <item m="1" x="36"/>
        <item m="1" x="223"/>
        <item m="1" x="254"/>
        <item m="1" x="704"/>
        <item m="1" x="780"/>
        <item m="1" x="767"/>
        <item m="1" x="873"/>
        <item m="1" x="402"/>
        <item m="1" x="315"/>
        <item m="1" x="359"/>
        <item m="1" x="396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3">
        <item m="1" x="1"/>
        <item m="1" x="2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7"/>
  </rowFields>
  <rowItems count="2">
    <i>
      <x v="1011"/>
      <x v="105"/>
    </i>
    <i t="grand">
      <x/>
    </i>
  </rowItems>
  <colItems count="1">
    <i/>
  </colItems>
  <pageFields count="1">
    <pageField fld="20" hier="-1"/>
  </pageFields>
  <dataFields count="1">
    <dataField name="Suma de cantidad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INICIATIVA" sourceName="INICIATIVA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TIPO" sourceName="TIPO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INICIATIVA1" sourceName="INICIATIVA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TIPO1" sourceName="TIPO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INICIATIVA11" sourceName="INICIATIVA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TIPO11" sourceName="TIPO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3">
        <i x="0" s="1"/>
        <i x="1" s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INICIATIVA 2" cache="SegmentaciónDeDatos_INICIATIVA11" caption="INICIATIVA" rowHeight="241300"/>
  <slicer name="TIPO 2" cache="SegmentaciónDeDatos_TIPO11" caption="TIP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INICIATIVA 1" cache="SegmentaciónDeDatos_INICIATIVA1" caption="INICIATIVA" rowHeight="241300"/>
  <slicer name="TIPO 1" cache="SegmentaciónDeDatos_TIPO1" caption="TIP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INICIATIVA" cache="SegmentaciónDeDatos_INICIATIVA" caption="INICIATIVA" rowHeight="241300"/>
  <slicer name="TIPO" cache="SegmentaciónDeDatos_TIPO" caption="TIPO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pivotTable" Target="../pivotTables/pivotTable5.xml"/><Relationship Id="rId7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pivotTable" Target="../pivotTables/pivotTable8.xml"/><Relationship Id="rId5" Type="http://schemas.openxmlformats.org/officeDocument/2006/relationships/pivotTable" Target="../pivotTables/pivotTable7.xml"/><Relationship Id="rId4" Type="http://schemas.openxmlformats.org/officeDocument/2006/relationships/pivotTable" Target="../pivotTables/pivotTable6.xml"/><Relationship Id="rId9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xml"/><Relationship Id="rId7" Type="http://schemas.microsoft.com/office/2007/relationships/slicer" Target="../slicers/slicer2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1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2.xml"/><Relationship Id="rId13" Type="http://schemas.microsoft.com/office/2007/relationships/slicer" Target="../slicers/slicer3.xml"/><Relationship Id="rId3" Type="http://schemas.openxmlformats.org/officeDocument/2006/relationships/pivotTable" Target="../pivotTables/pivotTable17.xml"/><Relationship Id="rId7" Type="http://schemas.openxmlformats.org/officeDocument/2006/relationships/pivotTable" Target="../pivotTables/pivotTable21.xml"/><Relationship Id="rId12" Type="http://schemas.openxmlformats.org/officeDocument/2006/relationships/drawing" Target="../drawings/drawing6.xml"/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Relationship Id="rId6" Type="http://schemas.openxmlformats.org/officeDocument/2006/relationships/pivotTable" Target="../pivotTables/pivotTable20.xml"/><Relationship Id="rId11" Type="http://schemas.openxmlformats.org/officeDocument/2006/relationships/printerSettings" Target="../printerSettings/printerSettings7.bin"/><Relationship Id="rId5" Type="http://schemas.openxmlformats.org/officeDocument/2006/relationships/pivotTable" Target="../pivotTables/pivotTable19.xml"/><Relationship Id="rId10" Type="http://schemas.openxmlformats.org/officeDocument/2006/relationships/pivotTable" Target="../pivotTables/pivotTable24.xml"/><Relationship Id="rId4" Type="http://schemas.openxmlformats.org/officeDocument/2006/relationships/pivotTable" Target="../pivotTables/pivotTable18.xml"/><Relationship Id="rId9" Type="http://schemas.openxmlformats.org/officeDocument/2006/relationships/pivotTable" Target="../pivotTables/pivot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2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2:K26"/>
  <sheetViews>
    <sheetView topLeftCell="A10" workbookViewId="0">
      <selection activeCell="F108" sqref="F108:XFD108"/>
    </sheetView>
  </sheetViews>
  <sheetFormatPr baseColWidth="10" defaultRowHeight="15" x14ac:dyDescent="0.25"/>
  <cols>
    <col min="2" max="2" width="11" customWidth="1"/>
    <col min="3" max="3" width="1.7109375" customWidth="1"/>
    <col min="4" max="4" width="12.85546875" customWidth="1"/>
    <col min="5" max="5" width="2.85546875" customWidth="1"/>
    <col min="11" max="11" width="8" customWidth="1"/>
  </cols>
  <sheetData>
    <row r="2" spans="2:11" x14ac:dyDescent="0.25">
      <c r="B2" s="131" t="s">
        <v>42</v>
      </c>
      <c r="C2" s="131"/>
      <c r="D2" s="131"/>
      <c r="E2" s="131"/>
      <c r="F2" s="131"/>
      <c r="G2" s="131"/>
      <c r="H2" s="131"/>
      <c r="I2" s="131"/>
      <c r="J2" s="131"/>
      <c r="K2" s="131"/>
    </row>
    <row r="3" spans="2:11" x14ac:dyDescent="0.25">
      <c r="B3" s="131"/>
      <c r="C3" s="131"/>
      <c r="D3" s="131"/>
      <c r="E3" s="131"/>
      <c r="F3" s="131"/>
      <c r="G3" s="131"/>
      <c r="H3" s="131"/>
      <c r="I3" s="131"/>
      <c r="J3" s="131"/>
      <c r="K3" s="131"/>
    </row>
    <row r="4" spans="2:11" x14ac:dyDescent="0.25">
      <c r="B4" s="131"/>
      <c r="C4" s="131"/>
      <c r="D4" s="131"/>
      <c r="E4" s="131"/>
      <c r="F4" s="131"/>
      <c r="G4" s="131"/>
      <c r="H4" s="131"/>
      <c r="I4" s="131"/>
      <c r="J4" s="131"/>
      <c r="K4" s="131"/>
    </row>
    <row r="6" spans="2:11" x14ac:dyDescent="0.25">
      <c r="B6" t="s">
        <v>14</v>
      </c>
      <c r="D6" s="5"/>
      <c r="F6" t="s">
        <v>15</v>
      </c>
    </row>
    <row r="8" spans="2:11" x14ac:dyDescent="0.25">
      <c r="B8" t="s">
        <v>14</v>
      </c>
      <c r="D8" s="4"/>
      <c r="F8" t="s">
        <v>30</v>
      </c>
    </row>
    <row r="9" spans="2:11" x14ac:dyDescent="0.25">
      <c r="B9" s="3"/>
      <c r="C9" s="3"/>
      <c r="D9" s="3"/>
      <c r="E9" s="3"/>
      <c r="F9" s="3"/>
      <c r="G9" s="3"/>
      <c r="H9" s="3"/>
      <c r="I9" s="3"/>
      <c r="J9" s="3"/>
      <c r="K9" s="3"/>
    </row>
    <row r="10" spans="2:11" x14ac:dyDescent="0.25">
      <c r="B10" s="129" t="s">
        <v>21</v>
      </c>
      <c r="C10" s="129"/>
      <c r="D10" s="129"/>
      <c r="E10" s="3"/>
      <c r="F10" s="129" t="s">
        <v>31</v>
      </c>
      <c r="G10" s="129"/>
      <c r="H10" s="129"/>
      <c r="I10" s="129"/>
      <c r="J10" s="129"/>
      <c r="K10" s="129"/>
    </row>
    <row r="11" spans="2:11" x14ac:dyDescent="0.25">
      <c r="B11" s="129" t="s">
        <v>22</v>
      </c>
      <c r="C11" s="129"/>
      <c r="D11" s="129"/>
      <c r="E11" s="3"/>
      <c r="F11" s="129" t="s">
        <v>32</v>
      </c>
      <c r="G11" s="129"/>
      <c r="H11" s="129"/>
      <c r="I11" s="129"/>
      <c r="J11" s="129"/>
      <c r="K11" s="129"/>
    </row>
    <row r="12" spans="2:11" x14ac:dyDescent="0.25">
      <c r="B12" s="129" t="s">
        <v>28</v>
      </c>
      <c r="C12" s="129"/>
      <c r="D12" s="129"/>
      <c r="E12" s="3"/>
      <c r="F12" s="129" t="s">
        <v>34</v>
      </c>
      <c r="G12" s="129"/>
      <c r="H12" s="129"/>
      <c r="I12" s="129"/>
      <c r="J12" s="129"/>
      <c r="K12" s="129"/>
    </row>
    <row r="13" spans="2:11" x14ac:dyDescent="0.25">
      <c r="B13" s="129" t="s">
        <v>11</v>
      </c>
      <c r="C13" s="129"/>
      <c r="D13" s="129"/>
      <c r="E13" s="3"/>
      <c r="F13" s="129" t="s">
        <v>35</v>
      </c>
      <c r="G13" s="129"/>
      <c r="H13" s="129"/>
      <c r="I13" s="129"/>
      <c r="J13" s="129"/>
      <c r="K13" s="129"/>
    </row>
    <row r="14" spans="2:11" x14ac:dyDescent="0.25">
      <c r="B14" s="129" t="s">
        <v>23</v>
      </c>
      <c r="C14" s="129"/>
      <c r="D14" s="129"/>
      <c r="E14" s="3"/>
      <c r="F14" s="129" t="s">
        <v>36</v>
      </c>
      <c r="G14" s="129"/>
      <c r="H14" s="129"/>
      <c r="I14" s="129"/>
      <c r="J14" s="129"/>
      <c r="K14" s="129"/>
    </row>
    <row r="15" spans="2:11" x14ac:dyDescent="0.25">
      <c r="B15" s="129" t="s">
        <v>24</v>
      </c>
      <c r="C15" s="129"/>
      <c r="D15" s="129"/>
      <c r="E15" s="3"/>
      <c r="F15" s="129" t="s">
        <v>38</v>
      </c>
      <c r="G15" s="129"/>
      <c r="H15" s="129"/>
      <c r="I15" s="129"/>
      <c r="J15" s="129"/>
      <c r="K15" s="129"/>
    </row>
    <row r="16" spans="2:11" x14ac:dyDescent="0.25">
      <c r="B16" s="129" t="s">
        <v>25</v>
      </c>
      <c r="C16" s="129"/>
      <c r="D16" s="129"/>
      <c r="E16" s="3"/>
      <c r="F16" s="129" t="s">
        <v>33</v>
      </c>
      <c r="G16" s="129"/>
      <c r="H16" s="129"/>
      <c r="I16" s="129"/>
      <c r="J16" s="129"/>
      <c r="K16" s="129"/>
    </row>
    <row r="17" spans="2:11" x14ac:dyDescent="0.25">
      <c r="B17" s="129" t="s">
        <v>29</v>
      </c>
      <c r="C17" s="129"/>
      <c r="D17" s="129"/>
      <c r="E17" s="3"/>
      <c r="F17" s="129" t="s">
        <v>40</v>
      </c>
      <c r="G17" s="129"/>
      <c r="H17" s="129"/>
      <c r="I17" s="129"/>
      <c r="J17" s="129"/>
      <c r="K17" s="129"/>
    </row>
    <row r="18" spans="2:11" x14ac:dyDescent="0.25">
      <c r="B18" s="129" t="s">
        <v>26</v>
      </c>
      <c r="C18" s="129"/>
      <c r="D18" s="129"/>
      <c r="E18" s="3"/>
      <c r="F18" s="129" t="s">
        <v>37</v>
      </c>
      <c r="G18" s="129"/>
      <c r="H18" s="129"/>
      <c r="I18" s="129"/>
      <c r="J18" s="129"/>
      <c r="K18" s="129"/>
    </row>
    <row r="19" spans="2:11" x14ac:dyDescent="0.25">
      <c r="B19" s="129" t="s">
        <v>27</v>
      </c>
      <c r="C19" s="129"/>
      <c r="D19" s="129"/>
      <c r="E19" s="3"/>
      <c r="F19" s="129" t="s">
        <v>39</v>
      </c>
      <c r="G19" s="129"/>
      <c r="H19" s="129"/>
      <c r="I19" s="129"/>
      <c r="J19" s="129"/>
      <c r="K19" s="129"/>
    </row>
    <row r="21" spans="2:11" x14ac:dyDescent="0.25">
      <c r="B21" s="130" t="s">
        <v>43</v>
      </c>
      <c r="C21" s="130"/>
      <c r="D21" s="130"/>
      <c r="E21" s="130"/>
      <c r="F21" s="130"/>
      <c r="G21" s="130"/>
      <c r="H21" s="130"/>
      <c r="I21" s="130"/>
      <c r="J21" s="130"/>
      <c r="K21" s="130"/>
    </row>
    <row r="22" spans="2:11" x14ac:dyDescent="0.25">
      <c r="B22" s="130"/>
      <c r="C22" s="130"/>
      <c r="D22" s="130"/>
      <c r="E22" s="130"/>
      <c r="F22" s="130"/>
      <c r="G22" s="130"/>
      <c r="H22" s="130"/>
      <c r="I22" s="130"/>
      <c r="J22" s="130"/>
      <c r="K22" s="130"/>
    </row>
    <row r="23" spans="2:11" x14ac:dyDescent="0.25">
      <c r="B23" s="130"/>
      <c r="C23" s="130"/>
      <c r="D23" s="130"/>
      <c r="E23" s="130"/>
      <c r="F23" s="130"/>
      <c r="G23" s="130"/>
      <c r="H23" s="130"/>
      <c r="I23" s="130"/>
      <c r="J23" s="130"/>
      <c r="K23" s="130"/>
    </row>
    <row r="24" spans="2:11" x14ac:dyDescent="0.25">
      <c r="B24" s="130"/>
      <c r="C24" s="130"/>
      <c r="D24" s="130"/>
      <c r="E24" s="130"/>
      <c r="F24" s="130"/>
      <c r="G24" s="130"/>
      <c r="H24" s="130"/>
      <c r="I24" s="130"/>
      <c r="J24" s="130"/>
      <c r="K24" s="130"/>
    </row>
    <row r="25" spans="2:11" x14ac:dyDescent="0.25">
      <c r="B25" s="130"/>
      <c r="C25" s="130"/>
      <c r="D25" s="130"/>
      <c r="E25" s="130"/>
      <c r="F25" s="130"/>
      <c r="G25" s="130"/>
      <c r="H25" s="130"/>
      <c r="I25" s="130"/>
      <c r="J25" s="130"/>
      <c r="K25" s="130"/>
    </row>
    <row r="26" spans="2:11" x14ac:dyDescent="0.25">
      <c r="B26" s="130"/>
      <c r="C26" s="130"/>
      <c r="D26" s="130"/>
      <c r="E26" s="130"/>
      <c r="F26" s="130"/>
      <c r="G26" s="130"/>
      <c r="H26" s="130"/>
      <c r="I26" s="130"/>
      <c r="J26" s="130"/>
      <c r="K26" s="130"/>
    </row>
  </sheetData>
  <mergeCells count="22">
    <mergeCell ref="B2:K4"/>
    <mergeCell ref="F16:K16"/>
    <mergeCell ref="F17:K17"/>
    <mergeCell ref="F18:K18"/>
    <mergeCell ref="F19:K19"/>
    <mergeCell ref="F10:K10"/>
    <mergeCell ref="F11:K11"/>
    <mergeCell ref="F12:K12"/>
    <mergeCell ref="F13:K13"/>
    <mergeCell ref="F14:K14"/>
    <mergeCell ref="B10:D10"/>
    <mergeCell ref="B11:D11"/>
    <mergeCell ref="B12:D12"/>
    <mergeCell ref="B13:D13"/>
    <mergeCell ref="B14:D14"/>
    <mergeCell ref="B15:D15"/>
    <mergeCell ref="F15:K15"/>
    <mergeCell ref="B21:K26"/>
    <mergeCell ref="B16:D16"/>
    <mergeCell ref="B17:D17"/>
    <mergeCell ref="B18:D18"/>
    <mergeCell ref="B19:D19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4">
    <tabColor rgb="FF00B050"/>
  </sheetPr>
  <dimension ref="A1:Q14"/>
  <sheetViews>
    <sheetView showGridLines="0" workbookViewId="0">
      <selection sqref="A1:K2"/>
    </sheetView>
  </sheetViews>
  <sheetFormatPr baseColWidth="10" defaultRowHeight="15" x14ac:dyDescent="0.25"/>
  <sheetData>
    <row r="1" spans="1:17" ht="15" customHeight="1" x14ac:dyDescent="0.3">
      <c r="A1" s="132" t="s">
        <v>107</v>
      </c>
      <c r="B1" s="132"/>
      <c r="C1" s="132"/>
      <c r="D1" s="132"/>
      <c r="E1" s="132"/>
      <c r="F1" s="132"/>
      <c r="G1" s="132"/>
      <c r="H1" s="132"/>
      <c r="I1" s="132"/>
      <c r="J1" s="132"/>
      <c r="K1" s="132"/>
      <c r="L1" s="111"/>
      <c r="M1" s="111"/>
      <c r="N1" s="112"/>
      <c r="O1" s="112"/>
      <c r="P1" s="112"/>
      <c r="Q1" s="112"/>
    </row>
    <row r="2" spans="1:17" ht="15" customHeight="1" x14ac:dyDescent="0.3">
      <c r="A2" s="132"/>
      <c r="B2" s="132"/>
      <c r="C2" s="132"/>
      <c r="D2" s="132"/>
      <c r="E2" s="132"/>
      <c r="F2" s="132"/>
      <c r="G2" s="132"/>
      <c r="H2" s="132"/>
      <c r="I2" s="132"/>
      <c r="J2" s="132"/>
      <c r="K2" s="132"/>
      <c r="L2" s="111"/>
      <c r="M2" s="111"/>
      <c r="N2" s="112"/>
      <c r="O2" s="112"/>
      <c r="P2" s="112"/>
      <c r="Q2" s="112"/>
    </row>
    <row r="3" spans="1:17" x14ac:dyDescent="0.25">
      <c r="A3" s="113"/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</row>
    <row r="4" spans="1:17" x14ac:dyDescent="0.25">
      <c r="A4" s="113"/>
      <c r="B4" s="113"/>
      <c r="C4" s="113"/>
      <c r="D4" s="113"/>
      <c r="E4" s="113"/>
      <c r="F4" s="113"/>
      <c r="G4" s="113"/>
      <c r="H4" s="113"/>
      <c r="I4" s="113"/>
      <c r="J4" s="113"/>
      <c r="K4" s="113"/>
      <c r="L4" s="113"/>
      <c r="M4" s="113"/>
    </row>
    <row r="5" spans="1:17" x14ac:dyDescent="0.25">
      <c r="A5" s="113"/>
      <c r="B5" s="113"/>
      <c r="C5" s="113"/>
      <c r="D5" s="113"/>
      <c r="E5" s="113"/>
      <c r="F5" s="113"/>
      <c r="G5" s="113"/>
      <c r="H5" s="113"/>
      <c r="I5" s="113"/>
      <c r="J5" s="113"/>
      <c r="K5" s="113"/>
      <c r="L5" s="113"/>
      <c r="M5" s="113"/>
    </row>
    <row r="6" spans="1:17" x14ac:dyDescent="0.25">
      <c r="A6" s="113"/>
      <c r="B6" s="113"/>
      <c r="C6" s="113"/>
      <c r="D6" s="113"/>
      <c r="E6" s="113"/>
      <c r="F6" s="113"/>
      <c r="G6" s="113"/>
      <c r="H6" s="113"/>
      <c r="I6" s="113"/>
      <c r="J6" s="113"/>
      <c r="K6" s="113"/>
      <c r="L6" s="113"/>
      <c r="M6" s="113"/>
    </row>
    <row r="7" spans="1:17" x14ac:dyDescent="0.25">
      <c r="A7" s="113"/>
      <c r="B7" s="113"/>
      <c r="C7" s="113"/>
      <c r="D7" s="113"/>
      <c r="E7" s="113"/>
      <c r="F7" s="113"/>
      <c r="G7" s="113"/>
      <c r="H7" s="113"/>
      <c r="I7" s="113"/>
      <c r="J7" s="113"/>
      <c r="K7" s="113"/>
      <c r="L7" s="113"/>
      <c r="M7" s="113"/>
    </row>
    <row r="8" spans="1:17" x14ac:dyDescent="0.25">
      <c r="A8" s="113"/>
      <c r="B8" s="113"/>
      <c r="C8" s="113"/>
      <c r="D8" s="113"/>
      <c r="E8" s="113"/>
      <c r="F8" s="113"/>
      <c r="G8" s="113"/>
      <c r="H8" s="113"/>
      <c r="I8" s="113"/>
      <c r="J8" s="113"/>
      <c r="K8" s="113"/>
      <c r="L8" s="113"/>
      <c r="M8" s="113"/>
    </row>
    <row r="9" spans="1:17" x14ac:dyDescent="0.25">
      <c r="A9" s="113"/>
      <c r="B9" s="113"/>
      <c r="C9" s="113"/>
      <c r="D9" s="113"/>
      <c r="E9" s="113"/>
      <c r="F9" s="113"/>
      <c r="G9" s="113"/>
      <c r="H9" s="113"/>
      <c r="I9" s="113"/>
      <c r="J9" s="113"/>
      <c r="K9" s="113"/>
      <c r="L9" s="113"/>
      <c r="M9" s="113"/>
    </row>
    <row r="10" spans="1:17" x14ac:dyDescent="0.25">
      <c r="A10" s="113"/>
      <c r="B10" s="113"/>
      <c r="C10" s="113"/>
      <c r="D10" s="113"/>
      <c r="E10" s="113"/>
      <c r="F10" s="113"/>
      <c r="G10" s="113"/>
      <c r="H10" s="113"/>
      <c r="I10" s="113"/>
      <c r="J10" s="113"/>
      <c r="K10" s="113"/>
      <c r="L10" s="113"/>
      <c r="M10" s="113"/>
    </row>
    <row r="11" spans="1:17" ht="15.75" x14ac:dyDescent="0.25">
      <c r="A11" s="114"/>
      <c r="B11" s="115" t="s">
        <v>417</v>
      </c>
      <c r="C11" s="115"/>
      <c r="D11" s="115"/>
      <c r="E11" s="115"/>
      <c r="F11" s="116"/>
      <c r="G11" s="116"/>
      <c r="H11" s="114"/>
      <c r="I11" s="114"/>
      <c r="J11" s="114"/>
      <c r="K11" s="114"/>
      <c r="L11" s="114"/>
      <c r="M11" s="114"/>
    </row>
    <row r="12" spans="1:17" ht="15.75" x14ac:dyDescent="0.25">
      <c r="A12" s="114"/>
      <c r="B12" s="115" t="s">
        <v>418</v>
      </c>
      <c r="C12" s="115"/>
      <c r="D12" s="115"/>
      <c r="E12" s="115"/>
      <c r="F12" s="116"/>
      <c r="G12" s="116"/>
      <c r="H12" s="114"/>
      <c r="I12" s="114"/>
      <c r="J12" s="114"/>
      <c r="K12" s="114"/>
      <c r="L12" s="114"/>
      <c r="M12" s="114"/>
    </row>
    <row r="13" spans="1:17" ht="15.75" x14ac:dyDescent="0.25">
      <c r="A13" s="114"/>
      <c r="B13" s="115" t="s">
        <v>420</v>
      </c>
      <c r="C13" s="115"/>
      <c r="D13" s="115"/>
      <c r="E13" s="115"/>
      <c r="F13" s="116"/>
      <c r="G13" s="116"/>
      <c r="H13" s="114"/>
      <c r="I13" s="114"/>
      <c r="J13" s="114"/>
      <c r="K13" s="114"/>
      <c r="L13" s="114"/>
      <c r="M13" s="114"/>
    </row>
    <row r="14" spans="1:17" ht="15.75" x14ac:dyDescent="0.25">
      <c r="A14" s="114"/>
      <c r="B14" s="115" t="s">
        <v>419</v>
      </c>
      <c r="C14" s="115"/>
      <c r="D14" s="115"/>
      <c r="E14" s="115"/>
      <c r="F14" s="116"/>
      <c r="G14" s="116"/>
      <c r="H14" s="114"/>
      <c r="I14" s="114"/>
      <c r="J14" s="114"/>
      <c r="K14" s="114"/>
      <c r="L14" s="114"/>
      <c r="M14" s="114"/>
    </row>
  </sheetData>
  <mergeCells count="1">
    <mergeCell ref="A1:K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H204"/>
  <sheetViews>
    <sheetView showGridLines="0" topLeftCell="A10" zoomScale="85" zoomScaleNormal="85" workbookViewId="0">
      <selection activeCell="C11" sqref="C11:I11"/>
    </sheetView>
  </sheetViews>
  <sheetFormatPr baseColWidth="10" defaultRowHeight="15" x14ac:dyDescent="0.25"/>
  <cols>
    <col min="1" max="1" width="1.140625" style="6" customWidth="1"/>
    <col min="2" max="2" width="10.5703125" style="6" customWidth="1"/>
    <col min="3" max="3" width="46.42578125" customWidth="1"/>
    <col min="4" max="4" width="16" customWidth="1"/>
    <col min="5" max="5" width="17" customWidth="1"/>
    <col min="6" max="6" width="14" customWidth="1"/>
    <col min="7" max="7" width="8.42578125" customWidth="1"/>
    <col min="8" max="8" width="9.140625" style="6" customWidth="1"/>
    <col min="9" max="9" width="10.42578125" style="6" customWidth="1"/>
    <col min="10" max="10" width="26.42578125" customWidth="1"/>
    <col min="11" max="11" width="14.140625" bestFit="1" customWidth="1"/>
    <col min="12" max="12" width="14.140625" style="46" customWidth="1"/>
    <col min="13" max="13" width="10.42578125" customWidth="1"/>
    <col min="14" max="14" width="12.42578125" customWidth="1"/>
    <col min="15" max="15" width="10.42578125" bestFit="1" customWidth="1"/>
    <col min="16" max="16" width="12.5703125" bestFit="1" customWidth="1"/>
    <col min="17" max="18" width="5.42578125" customWidth="1"/>
    <col min="19" max="19" width="18.140625" customWidth="1"/>
    <col min="20" max="20" width="46.5703125" customWidth="1"/>
    <col min="21" max="21" width="14.5703125" bestFit="1" customWidth="1"/>
    <col min="22" max="22" width="17" customWidth="1"/>
    <col min="23" max="23" width="8.42578125" customWidth="1"/>
    <col min="24" max="24" width="9.140625" customWidth="1"/>
    <col min="25" max="25" width="10.42578125" customWidth="1"/>
    <col min="26" max="86" width="3" customWidth="1"/>
    <col min="87" max="154" width="4" customWidth="1"/>
    <col min="155" max="174" width="5" customWidth="1"/>
    <col min="175" max="184" width="6" customWidth="1"/>
    <col min="185" max="185" width="12.5703125" bestFit="1" customWidth="1"/>
  </cols>
  <sheetData>
    <row r="1" spans="1:56" s="6" customFormat="1" x14ac:dyDescent="0.25">
      <c r="A1" s="6" t="s">
        <v>144</v>
      </c>
      <c r="L1" s="46"/>
    </row>
    <row r="2" spans="1:56" s="6" customFormat="1" ht="25.5" x14ac:dyDescent="0.25">
      <c r="C2" s="135" t="s">
        <v>107</v>
      </c>
      <c r="D2" s="135"/>
      <c r="E2" s="135"/>
      <c r="F2" s="135"/>
      <c r="K2" s="51"/>
      <c r="L2" s="51"/>
    </row>
    <row r="3" spans="1:56" s="6" customFormat="1" ht="25.5" x14ac:dyDescent="0.25">
      <c r="C3" s="134" t="s">
        <v>143</v>
      </c>
      <c r="D3" s="134"/>
      <c r="E3" s="134"/>
      <c r="F3" s="134"/>
      <c r="G3" s="21"/>
      <c r="H3" s="21"/>
      <c r="I3" s="21"/>
      <c r="J3" s="21"/>
      <c r="K3" s="51"/>
      <c r="L3" s="51"/>
      <c r="M3" s="21"/>
      <c r="N3" s="21"/>
    </row>
    <row r="4" spans="1:56" s="6" customFormat="1" x14ac:dyDescent="0.25">
      <c r="K4" s="51"/>
      <c r="L4" s="51"/>
    </row>
    <row r="5" spans="1:56" s="6" customFormat="1" x14ac:dyDescent="0.25">
      <c r="C5" s="46"/>
      <c r="D5" s="46"/>
      <c r="E5" s="46"/>
      <c r="F5" s="46"/>
      <c r="G5" s="46"/>
      <c r="H5" s="46"/>
      <c r="K5" s="51"/>
      <c r="L5" s="51"/>
    </row>
    <row r="6" spans="1:56" s="6" customFormat="1" ht="18.75" x14ac:dyDescent="0.3">
      <c r="C6" s="133"/>
      <c r="D6" s="133"/>
      <c r="E6" s="133"/>
      <c r="F6" s="133"/>
      <c r="G6" s="133"/>
      <c r="H6" s="133"/>
      <c r="L6" s="46"/>
    </row>
    <row r="7" spans="1:56" s="6" customFormat="1" ht="18.75" x14ac:dyDescent="0.3">
      <c r="L7" s="46"/>
      <c r="S7" s="46"/>
      <c r="T7" s="133"/>
      <c r="U7" s="133"/>
      <c r="V7" s="133"/>
      <c r="W7" s="133"/>
      <c r="X7" s="133"/>
      <c r="Y7" s="133"/>
    </row>
    <row r="8" spans="1:56" ht="18.75" x14ac:dyDescent="0.3">
      <c r="B8" s="63"/>
      <c r="C8" s="133" t="s">
        <v>403</v>
      </c>
      <c r="D8" s="133"/>
      <c r="E8" s="133"/>
      <c r="F8" s="133"/>
      <c r="G8" s="133"/>
      <c r="H8" s="133"/>
      <c r="I8" s="40"/>
      <c r="J8" s="6"/>
      <c r="P8" s="3"/>
      <c r="Q8" s="87"/>
      <c r="R8" s="88"/>
      <c r="S8" s="46"/>
      <c r="T8" s="46"/>
      <c r="U8" s="46"/>
      <c r="V8" s="46"/>
      <c r="W8" s="46"/>
      <c r="X8" s="46"/>
      <c r="Y8" s="46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</row>
    <row r="9" spans="1:56" x14ac:dyDescent="0.25">
      <c r="B9" s="63"/>
      <c r="C9" s="75"/>
      <c r="D9" s="61"/>
      <c r="E9" s="74"/>
      <c r="F9" s="57"/>
      <c r="G9" s="62"/>
      <c r="H9" s="65"/>
      <c r="I9" s="73"/>
      <c r="J9" s="22" t="s">
        <v>121</v>
      </c>
      <c r="K9" s="16" t="s">
        <v>108</v>
      </c>
      <c r="L9" s="16"/>
      <c r="P9" s="3"/>
      <c r="Q9" s="75"/>
      <c r="R9" s="74"/>
      <c r="S9" s="63"/>
      <c r="T9" s="64"/>
      <c r="U9" s="81"/>
      <c r="V9" s="82"/>
      <c r="W9" s="64"/>
      <c r="X9" s="64"/>
      <c r="Y9" s="64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x14ac:dyDescent="0.25">
      <c r="B10"/>
      <c r="C10" s="93" t="s">
        <v>18</v>
      </c>
      <c r="D10" s="94" t="s">
        <v>20</v>
      </c>
      <c r="E10" s="95" t="s">
        <v>223</v>
      </c>
      <c r="F10" s="119" t="s">
        <v>45</v>
      </c>
      <c r="G10" s="93" t="s">
        <v>48</v>
      </c>
      <c r="H10" s="93" t="s">
        <v>47</v>
      </c>
      <c r="I10" s="93" t="s">
        <v>49</v>
      </c>
      <c r="J10" s="6"/>
      <c r="P10" s="3"/>
      <c r="Q10" s="75"/>
      <c r="R10" s="74"/>
      <c r="S10" s="63"/>
      <c r="T10" s="75"/>
      <c r="U10" s="74"/>
      <c r="V10" s="74"/>
      <c r="W10" s="57"/>
      <c r="X10" s="62"/>
      <c r="Y10" s="60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</row>
    <row r="11" spans="1:56" x14ac:dyDescent="0.25">
      <c r="B11"/>
      <c r="C11" s="96" t="s">
        <v>283</v>
      </c>
      <c r="D11" s="120">
        <v>44517</v>
      </c>
      <c r="E11" s="120">
        <v>44517</v>
      </c>
      <c r="F11" s="117" t="s">
        <v>139</v>
      </c>
      <c r="G11" s="97"/>
      <c r="H11" s="98">
        <v>1</v>
      </c>
      <c r="I11" s="99">
        <v>0</v>
      </c>
      <c r="J11" s="22" t="s">
        <v>112</v>
      </c>
      <c r="K11" s="16" t="s">
        <v>108</v>
      </c>
      <c r="L11" s="16"/>
      <c r="P11" s="3"/>
      <c r="Q11" s="75"/>
      <c r="R11" s="74"/>
      <c r="S11" s="63"/>
      <c r="T11" s="75"/>
      <c r="U11" s="74"/>
      <c r="V11" s="74"/>
      <c r="W11" s="57"/>
      <c r="X11" s="62"/>
      <c r="Y11" s="60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</row>
    <row r="12" spans="1:56" x14ac:dyDescent="0.25">
      <c r="B12"/>
      <c r="H12"/>
      <c r="I12"/>
      <c r="J12" s="39"/>
      <c r="K12" s="39"/>
      <c r="L12" s="39"/>
      <c r="P12" s="3"/>
      <c r="Q12" s="75"/>
      <c r="R12" s="74"/>
      <c r="S12" s="63"/>
      <c r="T12" s="75"/>
      <c r="U12" s="74"/>
      <c r="V12" s="74"/>
      <c r="W12" s="57"/>
      <c r="X12" s="62"/>
      <c r="Y12" s="60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</row>
    <row r="13" spans="1:56" s="6" customFormat="1" x14ac:dyDescent="0.25">
      <c r="B13"/>
      <c r="C13"/>
      <c r="D13"/>
      <c r="E13"/>
      <c r="F13"/>
      <c r="G13"/>
      <c r="H13"/>
      <c r="I13"/>
      <c r="J13" s="39"/>
      <c r="K13" s="39"/>
      <c r="L13" s="39"/>
      <c r="M13" s="55"/>
      <c r="N13" s="55"/>
      <c r="O13" s="39"/>
      <c r="P13" s="3"/>
      <c r="Q13" s="75"/>
      <c r="R13" s="74"/>
      <c r="S13" s="63"/>
      <c r="T13" s="75"/>
      <c r="U13" s="74"/>
      <c r="V13" s="74"/>
      <c r="W13" s="57"/>
      <c r="X13" s="62"/>
      <c r="Y13" s="60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</row>
    <row r="14" spans="1:56" s="6" customFormat="1" x14ac:dyDescent="0.25">
      <c r="B14"/>
      <c r="C14"/>
      <c r="D14"/>
      <c r="E14"/>
      <c r="F14"/>
      <c r="G14"/>
      <c r="H14"/>
      <c r="I14"/>
      <c r="J14" s="67" t="s">
        <v>404</v>
      </c>
      <c r="K14" s="68"/>
      <c r="L14" s="68"/>
      <c r="M14" s="68"/>
      <c r="N14" s="69"/>
      <c r="O14" s="58"/>
      <c r="P14" s="3"/>
      <c r="Q14" s="75"/>
      <c r="R14" s="61"/>
      <c r="S14" s="63"/>
      <c r="T14" s="75"/>
      <c r="U14" s="74"/>
      <c r="V14" s="74"/>
      <c r="W14" s="57"/>
      <c r="X14" s="62"/>
      <c r="Y14" s="60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56" s="6" customFormat="1" x14ac:dyDescent="0.25">
      <c r="B15"/>
      <c r="C15"/>
      <c r="D15"/>
      <c r="E15"/>
      <c r="F15"/>
      <c r="G15"/>
      <c r="H15"/>
      <c r="I15"/>
      <c r="J15" s="70"/>
      <c r="K15" s="70"/>
      <c r="L15" s="70"/>
      <c r="M15" s="70"/>
      <c r="N15" s="70"/>
      <c r="O15" s="56"/>
      <c r="P15" s="3"/>
      <c r="Q15" s="75"/>
      <c r="R15" s="63"/>
      <c r="S15" s="63"/>
      <c r="T15" s="75"/>
      <c r="U15" s="74"/>
      <c r="V15" s="74"/>
      <c r="W15" s="57"/>
      <c r="X15" s="62"/>
      <c r="Y15" s="60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</row>
    <row r="16" spans="1:56" s="6" customFormat="1" x14ac:dyDescent="0.25">
      <c r="B16"/>
      <c r="C16"/>
      <c r="D16"/>
      <c r="E16"/>
      <c r="F16"/>
      <c r="G16"/>
      <c r="H16"/>
      <c r="I16"/>
      <c r="J16" s="71" t="s">
        <v>18</v>
      </c>
      <c r="K16" s="71" t="s">
        <v>20</v>
      </c>
      <c r="L16" s="79" t="s">
        <v>222</v>
      </c>
      <c r="M16" s="71" t="s">
        <v>48</v>
      </c>
      <c r="N16" s="71" t="s">
        <v>47</v>
      </c>
      <c r="O16" s="72" t="s">
        <v>185</v>
      </c>
      <c r="P16" s="3"/>
      <c r="Q16" s="75"/>
      <c r="R16" s="63"/>
      <c r="S16" s="63"/>
      <c r="T16" s="75"/>
      <c r="U16" s="74"/>
      <c r="V16" s="74"/>
      <c r="W16" s="57"/>
      <c r="X16" s="62"/>
      <c r="Y16" s="60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</row>
    <row r="17" spans="2:86" s="6" customFormat="1" x14ac:dyDescent="0.25">
      <c r="B17"/>
      <c r="C17"/>
      <c r="D17"/>
      <c r="E17"/>
      <c r="F17"/>
      <c r="G17"/>
      <c r="H17"/>
      <c r="I17"/>
      <c r="J17" s="50"/>
      <c r="K17" s="66"/>
      <c r="L17" s="66"/>
      <c r="M17" s="57"/>
      <c r="N17" s="57"/>
      <c r="O17" s="60"/>
      <c r="P17" s="54"/>
      <c r="Q17" s="75"/>
      <c r="R17" s="63"/>
      <c r="S17" s="63"/>
      <c r="T17" s="75"/>
      <c r="U17" s="74"/>
      <c r="V17" s="74"/>
      <c r="W17" s="57"/>
      <c r="X17" s="62"/>
      <c r="Y17" s="60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</row>
    <row r="18" spans="2:86" x14ac:dyDescent="0.25">
      <c r="B18"/>
      <c r="H18"/>
      <c r="I18"/>
      <c r="J18" s="103"/>
      <c r="K18" s="102"/>
      <c r="L18" s="100"/>
      <c r="M18" s="97"/>
      <c r="N18" s="97"/>
      <c r="O18" s="101"/>
      <c r="P18" s="54"/>
      <c r="Q18" s="75"/>
      <c r="R18" s="63"/>
      <c r="S18" s="63"/>
      <c r="T18" s="75"/>
      <c r="U18" s="74"/>
      <c r="V18" s="74"/>
      <c r="W18" s="57"/>
      <c r="X18" s="62"/>
      <c r="Y18" s="60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</row>
    <row r="19" spans="2:86" x14ac:dyDescent="0.25">
      <c r="B19"/>
      <c r="H19"/>
      <c r="I19"/>
      <c r="J19" s="103"/>
      <c r="K19" s="102"/>
      <c r="L19" s="100"/>
      <c r="M19" s="97"/>
      <c r="N19" s="97"/>
      <c r="O19" s="101"/>
      <c r="P19" s="54"/>
      <c r="Q19" s="75"/>
      <c r="R19" s="63"/>
      <c r="S19" s="63"/>
      <c r="T19" s="75"/>
      <c r="U19" s="74"/>
      <c r="V19" s="74"/>
      <c r="W19" s="57"/>
      <c r="X19" s="62"/>
      <c r="Y19" s="60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</row>
    <row r="20" spans="2:86" x14ac:dyDescent="0.25">
      <c r="B20"/>
      <c r="H20"/>
      <c r="I20"/>
      <c r="J20" s="103"/>
      <c r="K20" s="102"/>
      <c r="L20" s="100"/>
      <c r="M20" s="97"/>
      <c r="N20" s="97"/>
      <c r="O20" s="101"/>
      <c r="P20" s="54"/>
      <c r="Q20" s="75"/>
      <c r="R20" s="63"/>
      <c r="S20" s="63"/>
      <c r="T20" s="75"/>
      <c r="U20" s="74"/>
      <c r="V20" s="74"/>
      <c r="W20" s="57"/>
      <c r="X20" s="62"/>
      <c r="Y20" s="60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</row>
    <row r="21" spans="2:86" x14ac:dyDescent="0.25">
      <c r="B21"/>
      <c r="H21"/>
      <c r="I21"/>
      <c r="J21" s="103"/>
      <c r="K21" s="102"/>
      <c r="L21" s="100"/>
      <c r="M21" s="97"/>
      <c r="N21" s="97"/>
      <c r="O21" s="101"/>
      <c r="P21" s="54"/>
      <c r="Q21" s="75"/>
      <c r="R21" s="63"/>
      <c r="S21" s="63"/>
      <c r="T21" s="75"/>
      <c r="U21" s="74"/>
      <c r="V21" s="74"/>
      <c r="W21" s="57"/>
      <c r="X21" s="62"/>
      <c r="Y21" s="60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</row>
    <row r="22" spans="2:86" x14ac:dyDescent="0.25">
      <c r="B22"/>
      <c r="H22"/>
      <c r="I22"/>
      <c r="J22" s="103"/>
      <c r="K22" s="102"/>
      <c r="L22" s="100"/>
      <c r="M22" s="97"/>
      <c r="N22" s="97"/>
      <c r="O22" s="101"/>
      <c r="P22" s="54"/>
      <c r="Q22" s="75"/>
      <c r="R22" s="63"/>
      <c r="S22" s="63"/>
      <c r="T22" s="75"/>
      <c r="U22" s="74"/>
      <c r="V22" s="74"/>
      <c r="W22" s="57"/>
      <c r="X22" s="62"/>
      <c r="Y22" s="60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</row>
    <row r="23" spans="2:86" x14ac:dyDescent="0.25">
      <c r="B23"/>
      <c r="H23"/>
      <c r="I23"/>
      <c r="J23" s="103"/>
      <c r="K23" s="102"/>
      <c r="L23" s="100"/>
      <c r="M23" s="97"/>
      <c r="N23" s="97"/>
      <c r="O23" s="101"/>
      <c r="P23" s="54"/>
      <c r="Q23" s="75"/>
      <c r="R23" s="63"/>
      <c r="S23" s="63"/>
      <c r="T23" s="75"/>
      <c r="U23" s="74"/>
      <c r="V23" s="74"/>
      <c r="W23" s="57"/>
      <c r="X23" s="62"/>
      <c r="Y23" s="60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</row>
    <row r="24" spans="2:86" ht="15" customHeight="1" x14ac:dyDescent="0.25">
      <c r="B24"/>
      <c r="H24"/>
      <c r="I24"/>
      <c r="J24" s="103"/>
      <c r="K24" s="102"/>
      <c r="L24" s="100"/>
      <c r="M24" s="97"/>
      <c r="N24" s="97"/>
      <c r="O24" s="101"/>
      <c r="P24" s="53"/>
      <c r="Q24" s="75"/>
      <c r="R24" s="63"/>
      <c r="S24" s="63"/>
      <c r="T24" s="46"/>
      <c r="U24" s="47"/>
      <c r="V24" s="47"/>
      <c r="W24" s="46"/>
      <c r="X24" s="46"/>
      <c r="Y24" s="60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</row>
    <row r="25" spans="2:86" x14ac:dyDescent="0.25">
      <c r="B25"/>
      <c r="H25"/>
      <c r="I25"/>
      <c r="J25" s="103"/>
      <c r="K25" s="102"/>
      <c r="L25" s="100"/>
      <c r="M25" s="97"/>
      <c r="N25" s="97"/>
      <c r="O25" s="101"/>
      <c r="P25" s="53"/>
      <c r="Q25" s="75"/>
      <c r="R25" s="63"/>
      <c r="S25" s="63"/>
      <c r="T25" s="46"/>
      <c r="U25" s="47"/>
      <c r="V25" s="47"/>
      <c r="W25" s="46"/>
      <c r="X25" s="46"/>
      <c r="Y25" s="60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</row>
    <row r="26" spans="2:86" x14ac:dyDescent="0.25">
      <c r="B26"/>
      <c r="H26"/>
      <c r="I26"/>
      <c r="J26" s="103"/>
      <c r="K26" s="104"/>
      <c r="L26" s="100"/>
      <c r="M26" s="97"/>
      <c r="N26" s="97"/>
      <c r="O26" s="101"/>
      <c r="P26" s="59"/>
      <c r="Q26" s="75"/>
      <c r="R26" s="63"/>
      <c r="S26" s="63"/>
      <c r="T26" s="75"/>
      <c r="U26" s="74"/>
      <c r="V26" s="74"/>
      <c r="W26" s="57"/>
      <c r="X26" s="62"/>
      <c r="Y26" s="60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</row>
    <row r="27" spans="2:86" x14ac:dyDescent="0.25">
      <c r="B27"/>
      <c r="H27"/>
      <c r="I27"/>
      <c r="J27" s="103"/>
      <c r="K27" s="102"/>
      <c r="L27" s="100"/>
      <c r="M27" s="97"/>
      <c r="N27" s="97"/>
      <c r="O27" s="101"/>
      <c r="P27" s="61"/>
      <c r="Q27" s="75"/>
      <c r="R27" s="63"/>
      <c r="S27" s="63"/>
      <c r="T27" s="75"/>
      <c r="U27" s="74"/>
      <c r="V27" s="74"/>
      <c r="W27" s="57"/>
      <c r="X27" s="62"/>
      <c r="Y27" s="60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</row>
    <row r="28" spans="2:86" x14ac:dyDescent="0.25">
      <c r="B28"/>
      <c r="H28"/>
      <c r="I28"/>
      <c r="J28" s="103"/>
      <c r="K28" s="102"/>
      <c r="L28" s="100"/>
      <c r="M28" s="97"/>
      <c r="N28" s="97"/>
      <c r="O28" s="101"/>
      <c r="P28" s="3"/>
      <c r="Q28" s="75"/>
      <c r="R28" s="63"/>
      <c r="S28" s="63"/>
      <c r="T28" s="75"/>
      <c r="U28" s="74"/>
      <c r="V28" s="74"/>
      <c r="W28" s="57"/>
      <c r="X28" s="62"/>
      <c r="Y28" s="60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</row>
    <row r="29" spans="2:86" x14ac:dyDescent="0.25">
      <c r="B29"/>
      <c r="H29"/>
      <c r="I29"/>
      <c r="J29" s="103"/>
      <c r="K29" s="102"/>
      <c r="L29" s="100"/>
      <c r="M29" s="97"/>
      <c r="N29" s="97"/>
      <c r="O29" s="101"/>
      <c r="P29" s="3"/>
      <c r="Q29" s="75"/>
      <c r="R29" s="63"/>
      <c r="S29" s="63"/>
      <c r="T29" s="75"/>
      <c r="U29" s="74"/>
      <c r="V29" s="74"/>
      <c r="W29" s="57"/>
      <c r="X29" s="62"/>
      <c r="Y29" s="60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</row>
    <row r="30" spans="2:86" x14ac:dyDescent="0.25">
      <c r="B30"/>
      <c r="H30"/>
      <c r="I30"/>
      <c r="J30" s="103"/>
      <c r="K30" s="102"/>
      <c r="L30" s="100"/>
      <c r="M30" s="97"/>
      <c r="N30" s="97"/>
      <c r="O30" s="101"/>
      <c r="P30" s="3"/>
      <c r="Q30" s="75"/>
      <c r="R30" s="63"/>
      <c r="S30" s="63"/>
      <c r="T30" s="75"/>
      <c r="U30" s="74"/>
      <c r="V30" s="74"/>
      <c r="W30" s="57"/>
      <c r="X30" s="62"/>
      <c r="Y30" s="60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</row>
    <row r="31" spans="2:86" x14ac:dyDescent="0.25">
      <c r="B31"/>
      <c r="H31"/>
      <c r="I31"/>
      <c r="J31" s="103"/>
      <c r="K31" s="102"/>
      <c r="L31" s="100"/>
      <c r="M31" s="97"/>
      <c r="N31" s="97"/>
      <c r="O31" s="101"/>
      <c r="P31" s="3"/>
      <c r="Q31" s="75"/>
      <c r="R31" s="63"/>
      <c r="S31" s="63"/>
      <c r="T31" s="75"/>
      <c r="U31" s="74"/>
      <c r="V31" s="74"/>
      <c r="W31" s="57"/>
      <c r="X31" s="62"/>
      <c r="Y31" s="60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</row>
    <row r="32" spans="2:86" x14ac:dyDescent="0.25">
      <c r="B32"/>
      <c r="H32"/>
      <c r="I32"/>
      <c r="J32" s="103"/>
      <c r="K32" s="102"/>
      <c r="L32" s="105"/>
      <c r="M32" s="97"/>
      <c r="N32" s="97"/>
      <c r="O32" s="101"/>
      <c r="P32" s="3"/>
      <c r="Q32" s="75"/>
      <c r="R32" s="63"/>
      <c r="S32" s="63"/>
      <c r="T32" s="75"/>
      <c r="U32" s="74"/>
      <c r="V32" s="74"/>
      <c r="W32" s="57"/>
      <c r="X32" s="62"/>
      <c r="Y32" s="60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</row>
    <row r="33" spans="2:86" x14ac:dyDescent="0.25">
      <c r="B33"/>
      <c r="H33"/>
      <c r="I33"/>
      <c r="J33" s="103"/>
      <c r="K33" s="102"/>
      <c r="L33" s="100"/>
      <c r="M33" s="97"/>
      <c r="N33" s="97"/>
      <c r="O33" s="101"/>
      <c r="P33" s="3"/>
      <c r="Q33" s="75"/>
      <c r="R33" s="63"/>
      <c r="S33" s="63"/>
      <c r="T33" s="75"/>
      <c r="U33" s="74"/>
      <c r="V33" s="74"/>
      <c r="W33" s="57"/>
      <c r="X33" s="62"/>
      <c r="Y33" s="60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</row>
    <row r="34" spans="2:86" x14ac:dyDescent="0.25">
      <c r="B34"/>
      <c r="H34"/>
      <c r="I34"/>
      <c r="J34" s="103"/>
      <c r="K34" s="102"/>
      <c r="L34" s="105"/>
      <c r="M34" s="97"/>
      <c r="N34" s="97"/>
      <c r="O34" s="101"/>
      <c r="P34" s="3"/>
      <c r="Q34" s="75"/>
      <c r="R34" s="63"/>
      <c r="S34" s="63"/>
      <c r="T34" s="75"/>
      <c r="U34" s="74"/>
      <c r="V34" s="74"/>
      <c r="W34" s="57"/>
      <c r="X34" s="62"/>
      <c r="Y34" s="60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</row>
    <row r="35" spans="2:86" x14ac:dyDescent="0.25">
      <c r="B35"/>
      <c r="H35"/>
      <c r="I35"/>
      <c r="J35" s="103"/>
      <c r="K35" s="102"/>
      <c r="L35" s="100"/>
      <c r="M35" s="97"/>
      <c r="N35" s="97"/>
      <c r="O35" s="101"/>
      <c r="P35" s="3"/>
      <c r="Q35" s="75"/>
      <c r="R35" s="63"/>
      <c r="S35" s="63"/>
      <c r="T35" s="75"/>
      <c r="U35" s="74"/>
      <c r="V35" s="74"/>
      <c r="W35" s="57"/>
      <c r="X35" s="62"/>
      <c r="Y35" s="60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</row>
    <row r="36" spans="2:86" x14ac:dyDescent="0.25">
      <c r="B36"/>
      <c r="H36"/>
      <c r="I36"/>
      <c r="J36" s="103"/>
      <c r="K36" s="102"/>
      <c r="L36" s="100"/>
      <c r="M36" s="97"/>
      <c r="N36" s="97"/>
      <c r="O36" s="101"/>
      <c r="P36" s="3"/>
      <c r="Q36" s="75"/>
      <c r="R36" s="63"/>
      <c r="S36" s="63"/>
      <c r="T36" s="75"/>
      <c r="U36" s="74"/>
      <c r="V36" s="74"/>
      <c r="W36" s="57"/>
      <c r="X36" s="62"/>
      <c r="Y36" s="60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</row>
    <row r="37" spans="2:86" x14ac:dyDescent="0.25">
      <c r="B37"/>
      <c r="H37"/>
      <c r="I37"/>
      <c r="J37" s="103"/>
      <c r="K37" s="104"/>
      <c r="L37" s="100"/>
      <c r="M37" s="97"/>
      <c r="N37" s="97"/>
      <c r="O37" s="101"/>
      <c r="P37" s="3"/>
      <c r="Q37" s="75"/>
      <c r="R37" s="63"/>
      <c r="S37" s="63"/>
      <c r="T37" s="75"/>
      <c r="U37" s="74"/>
      <c r="V37" s="74"/>
      <c r="W37" s="57"/>
      <c r="X37" s="62"/>
      <c r="Y37" s="60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</row>
    <row r="38" spans="2:86" x14ac:dyDescent="0.25">
      <c r="B38"/>
      <c r="H38"/>
      <c r="I38"/>
      <c r="J38" s="103"/>
      <c r="K38" s="104"/>
      <c r="L38" s="100"/>
      <c r="M38" s="97"/>
      <c r="N38" s="97"/>
      <c r="O38" s="101"/>
      <c r="P38" s="3"/>
      <c r="Q38" s="75"/>
      <c r="R38" s="63"/>
      <c r="S38" s="63"/>
      <c r="T38" s="75"/>
      <c r="U38" s="74"/>
      <c r="V38" s="74"/>
      <c r="W38" s="57"/>
      <c r="X38" s="62"/>
      <c r="Y38" s="60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</row>
    <row r="39" spans="2:86" x14ac:dyDescent="0.25">
      <c r="B39"/>
      <c r="H39"/>
      <c r="I39"/>
      <c r="J39" s="103"/>
      <c r="K39" s="102"/>
      <c r="L39" s="100"/>
      <c r="M39" s="97"/>
      <c r="N39" s="97"/>
      <c r="O39" s="101"/>
      <c r="P39" s="3"/>
      <c r="Q39" s="75"/>
      <c r="R39" s="63"/>
      <c r="S39" s="63"/>
      <c r="T39" s="75"/>
      <c r="U39" s="74"/>
      <c r="V39" s="74"/>
      <c r="W39" s="57"/>
      <c r="X39" s="62"/>
      <c r="Y39" s="60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</row>
    <row r="40" spans="2:86" x14ac:dyDescent="0.25">
      <c r="B40"/>
      <c r="H40"/>
      <c r="I40"/>
      <c r="J40" s="103"/>
      <c r="K40" s="102"/>
      <c r="L40" s="100"/>
      <c r="M40" s="97"/>
      <c r="N40" s="97"/>
      <c r="O40" s="101"/>
      <c r="P40" s="3"/>
      <c r="Q40" s="75"/>
      <c r="R40" s="63"/>
      <c r="S40" s="63"/>
      <c r="T40" s="75"/>
      <c r="U40" s="74"/>
      <c r="V40" s="74"/>
      <c r="W40" s="57"/>
      <c r="X40" s="62"/>
      <c r="Y40" s="60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</row>
    <row r="41" spans="2:86" x14ac:dyDescent="0.25">
      <c r="B41"/>
      <c r="H41"/>
      <c r="I41"/>
      <c r="J41" s="90"/>
      <c r="K41" s="77"/>
      <c r="L41" s="78"/>
      <c r="M41" s="57"/>
      <c r="N41" s="57"/>
      <c r="O41" s="60"/>
      <c r="P41" s="3"/>
      <c r="Q41" s="75"/>
      <c r="R41" s="63"/>
      <c r="S41" s="63"/>
      <c r="T41" s="75"/>
      <c r="U41" s="74"/>
      <c r="V41" s="74"/>
      <c r="W41" s="57"/>
      <c r="X41" s="62"/>
      <c r="Y41" s="60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</row>
    <row r="42" spans="2:86" x14ac:dyDescent="0.25">
      <c r="B42"/>
      <c r="H42"/>
      <c r="I42"/>
      <c r="J42" s="90"/>
      <c r="K42" s="92"/>
      <c r="L42" s="78"/>
      <c r="M42" s="57"/>
      <c r="N42" s="57"/>
      <c r="O42" s="60"/>
      <c r="P42" s="3"/>
      <c r="Q42" s="75"/>
      <c r="R42" s="63"/>
      <c r="S42" s="63"/>
      <c r="T42" s="75"/>
      <c r="U42" s="74"/>
      <c r="V42" s="74"/>
      <c r="W42" s="57"/>
      <c r="X42" s="62"/>
      <c r="Y42" s="60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</row>
    <row r="43" spans="2:86" x14ac:dyDescent="0.25">
      <c r="H43"/>
      <c r="I43"/>
      <c r="J43" s="90"/>
      <c r="K43" s="91"/>
      <c r="L43" s="78"/>
      <c r="M43" s="57"/>
      <c r="N43" s="57"/>
      <c r="O43" s="60"/>
      <c r="P43" s="3"/>
      <c r="Q43" s="75"/>
      <c r="R43" s="63"/>
      <c r="S43" s="63"/>
      <c r="T43" s="75"/>
      <c r="U43" s="74"/>
      <c r="V43" s="74"/>
      <c r="W43" s="57"/>
      <c r="X43" s="62"/>
      <c r="Y43" s="60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</row>
    <row r="44" spans="2:86" x14ac:dyDescent="0.25">
      <c r="H44"/>
      <c r="I44"/>
      <c r="J44" s="90"/>
      <c r="K44" s="77"/>
      <c r="L44" s="78"/>
      <c r="M44" s="57"/>
      <c r="N44" s="57"/>
      <c r="O44" s="60"/>
      <c r="P44" s="3"/>
      <c r="Q44" s="75"/>
      <c r="R44" s="63"/>
      <c r="S44" s="63"/>
      <c r="U44" s="47"/>
      <c r="V44" s="47"/>
      <c r="Y44" s="60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</row>
    <row r="45" spans="2:86" x14ac:dyDescent="0.25">
      <c r="H45"/>
      <c r="I45"/>
      <c r="M45" s="3"/>
      <c r="N45" s="3"/>
      <c r="O45" s="3"/>
      <c r="P45" s="3"/>
      <c r="Q45" s="75"/>
      <c r="R45" s="63"/>
      <c r="S45" s="63"/>
      <c r="U45" s="47"/>
      <c r="V45" s="47"/>
      <c r="Y45" s="60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</row>
    <row r="46" spans="2:86" x14ac:dyDescent="0.25">
      <c r="H46"/>
      <c r="I46"/>
      <c r="M46" s="3"/>
      <c r="N46" s="3"/>
      <c r="O46" s="3"/>
      <c r="P46" s="3"/>
      <c r="Q46" s="75"/>
      <c r="R46" s="63"/>
      <c r="S46" s="63"/>
      <c r="U46" s="47"/>
      <c r="V46" s="47"/>
      <c r="Y46" s="60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</row>
    <row r="47" spans="2:86" x14ac:dyDescent="0.25">
      <c r="H47"/>
      <c r="I47"/>
      <c r="M47" s="3"/>
      <c r="N47" s="3"/>
      <c r="O47" s="3"/>
      <c r="P47" s="3"/>
      <c r="Q47" s="75"/>
      <c r="R47" s="63"/>
      <c r="S47" s="63"/>
      <c r="U47" s="47"/>
      <c r="V47" s="47"/>
      <c r="Y47" s="60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</row>
    <row r="48" spans="2:86" x14ac:dyDescent="0.25">
      <c r="H48"/>
      <c r="I48"/>
      <c r="M48" s="3"/>
      <c r="N48" s="3"/>
      <c r="O48" s="3"/>
      <c r="P48" s="3"/>
      <c r="Q48" s="75"/>
      <c r="R48" s="63"/>
      <c r="U48" s="47"/>
      <c r="V48" s="47"/>
      <c r="Y48" s="60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</row>
    <row r="49" spans="8:86" x14ac:dyDescent="0.25">
      <c r="H49"/>
      <c r="I49"/>
      <c r="M49" s="3"/>
      <c r="N49" s="3"/>
      <c r="O49" s="3"/>
      <c r="P49" s="3"/>
      <c r="Q49" s="75"/>
      <c r="R49" s="63"/>
      <c r="U49" s="47"/>
      <c r="V49" s="47"/>
      <c r="Y49" s="60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</row>
    <row r="50" spans="8:86" x14ac:dyDescent="0.25">
      <c r="H50"/>
      <c r="I50"/>
      <c r="M50" s="3"/>
      <c r="N50" s="3"/>
      <c r="O50" s="3"/>
      <c r="P50" s="3"/>
      <c r="Q50" s="75"/>
      <c r="R50" s="63"/>
      <c r="U50" s="47"/>
      <c r="V50" s="47"/>
      <c r="Y50" s="60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</row>
    <row r="51" spans="8:86" x14ac:dyDescent="0.25">
      <c r="H51"/>
      <c r="I51"/>
      <c r="M51" s="3"/>
      <c r="N51" s="3"/>
      <c r="O51" s="3"/>
      <c r="P51" s="3"/>
      <c r="Q51" s="75"/>
      <c r="R51" s="63"/>
      <c r="U51" s="47"/>
      <c r="V51" s="47"/>
      <c r="Y51" s="60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</row>
    <row r="52" spans="8:86" x14ac:dyDescent="0.25">
      <c r="H52"/>
      <c r="I52"/>
      <c r="M52" s="3"/>
      <c r="N52" s="3"/>
      <c r="O52" s="3"/>
      <c r="P52" s="3"/>
      <c r="Q52" s="3"/>
      <c r="R52" s="63"/>
      <c r="U52" s="47"/>
      <c r="V52" s="47"/>
      <c r="Y52" s="60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</row>
    <row r="53" spans="8:86" x14ac:dyDescent="0.25">
      <c r="H53"/>
      <c r="I53"/>
      <c r="M53" s="3"/>
      <c r="N53" s="3"/>
      <c r="O53" s="3"/>
      <c r="P53" s="3"/>
      <c r="Q53" s="3"/>
      <c r="R53" s="63"/>
      <c r="U53" s="47"/>
      <c r="V53" s="47"/>
      <c r="Y53" s="60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</row>
    <row r="54" spans="8:86" x14ac:dyDescent="0.25">
      <c r="H54"/>
      <c r="I54"/>
      <c r="M54" s="3"/>
      <c r="N54" s="3"/>
      <c r="O54" s="3"/>
      <c r="P54" s="3"/>
      <c r="Q54" s="3"/>
      <c r="R54" s="63"/>
      <c r="U54" s="47"/>
      <c r="V54" s="47"/>
      <c r="Y54" s="60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</row>
    <row r="55" spans="8:86" x14ac:dyDescent="0.25">
      <c r="H55"/>
      <c r="I55" s="75"/>
      <c r="M55" s="3"/>
      <c r="N55" s="3"/>
      <c r="O55" s="3"/>
      <c r="P55" s="3"/>
      <c r="Q55" s="3"/>
      <c r="R55" s="63"/>
      <c r="U55" s="47"/>
      <c r="V55" s="47"/>
      <c r="Y55" s="60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</row>
    <row r="56" spans="8:86" x14ac:dyDescent="0.25">
      <c r="H56"/>
      <c r="I56" s="107"/>
      <c r="M56" s="3"/>
      <c r="N56" s="3"/>
      <c r="O56" s="3"/>
      <c r="P56" s="3"/>
      <c r="Q56" s="3"/>
      <c r="R56" s="6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</row>
    <row r="57" spans="8:86" x14ac:dyDescent="0.25">
      <c r="H57"/>
      <c r="I57" s="106"/>
      <c r="M57" s="3"/>
      <c r="N57" s="3"/>
      <c r="O57" s="3"/>
      <c r="P57" s="3"/>
      <c r="Q57" s="3"/>
      <c r="R57" s="6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</row>
    <row r="58" spans="8:86" x14ac:dyDescent="0.25">
      <c r="H58"/>
      <c r="I58" s="106"/>
      <c r="M58" s="3"/>
      <c r="N58" s="3"/>
      <c r="O58" s="3"/>
      <c r="P58" s="3"/>
      <c r="Q58" s="3"/>
      <c r="R58" s="63"/>
      <c r="S58" s="90"/>
      <c r="T58" s="86"/>
      <c r="U58" s="86"/>
      <c r="V58" s="3"/>
      <c r="W58" s="3"/>
      <c r="X58" s="89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</row>
    <row r="59" spans="8:86" x14ac:dyDescent="0.25">
      <c r="H59"/>
      <c r="I59" s="107"/>
      <c r="M59" s="3"/>
      <c r="N59" s="3"/>
      <c r="O59" s="3"/>
      <c r="P59" s="3"/>
      <c r="Q59" s="3"/>
      <c r="R59" s="63"/>
      <c r="S59" s="90"/>
      <c r="T59" s="86"/>
      <c r="U59" s="86"/>
      <c r="V59" s="3"/>
      <c r="W59" s="3"/>
      <c r="X59" s="89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</row>
    <row r="60" spans="8:86" x14ac:dyDescent="0.25">
      <c r="H60"/>
      <c r="I60" s="108"/>
      <c r="M60" s="3"/>
      <c r="N60" s="3"/>
      <c r="O60" s="3"/>
      <c r="P60" s="3"/>
      <c r="Q60" s="3"/>
      <c r="R60" s="63"/>
      <c r="S60" s="90"/>
      <c r="T60" s="86"/>
      <c r="U60" s="86"/>
      <c r="V60" s="3"/>
      <c r="W60" s="3"/>
      <c r="X60" s="89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</row>
    <row r="61" spans="8:86" x14ac:dyDescent="0.25">
      <c r="H61"/>
      <c r="I61" s="107"/>
      <c r="M61" s="3"/>
      <c r="N61" s="3"/>
      <c r="O61" s="3"/>
      <c r="P61" s="3"/>
      <c r="Q61" s="3"/>
      <c r="R61" s="63"/>
      <c r="S61" s="90"/>
      <c r="T61" s="86"/>
      <c r="U61" s="86"/>
      <c r="V61" s="3"/>
      <c r="W61" s="3"/>
      <c r="X61" s="89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</row>
    <row r="62" spans="8:86" x14ac:dyDescent="0.25">
      <c r="H62"/>
      <c r="I62" s="75"/>
      <c r="M62" s="3"/>
      <c r="N62" s="3"/>
      <c r="O62" s="3"/>
      <c r="P62" s="3"/>
      <c r="Q62" s="3"/>
      <c r="R62" s="63"/>
      <c r="S62" s="90"/>
      <c r="T62" s="86"/>
      <c r="U62" s="86"/>
      <c r="V62" s="3"/>
      <c r="W62" s="3"/>
      <c r="X62" s="89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</row>
    <row r="63" spans="8:86" x14ac:dyDescent="0.25">
      <c r="H63"/>
      <c r="I63" s="75"/>
      <c r="M63" s="3"/>
      <c r="N63" s="3"/>
      <c r="O63" s="3"/>
      <c r="P63" s="3"/>
      <c r="Q63" s="3"/>
      <c r="R63" s="63"/>
      <c r="S63" s="90"/>
      <c r="T63" s="86"/>
      <c r="U63" s="86"/>
      <c r="V63" s="3"/>
      <c r="W63" s="3"/>
      <c r="X63" s="89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</row>
    <row r="64" spans="8:86" x14ac:dyDescent="0.25">
      <c r="H64"/>
      <c r="I64" s="75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</row>
    <row r="65" spans="2:86" x14ac:dyDescent="0.25">
      <c r="H65"/>
      <c r="I65" s="106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</row>
    <row r="66" spans="2:86" x14ac:dyDescent="0.25">
      <c r="H66"/>
      <c r="I66" s="75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</row>
    <row r="67" spans="2:86" x14ac:dyDescent="0.25">
      <c r="H67"/>
      <c r="I67" s="106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</row>
    <row r="68" spans="2:86" x14ac:dyDescent="0.25">
      <c r="H68"/>
      <c r="I68" s="75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</row>
    <row r="69" spans="2:86" x14ac:dyDescent="0.25">
      <c r="H69"/>
      <c r="I69" s="75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</row>
    <row r="70" spans="2:86" x14ac:dyDescent="0.25">
      <c r="H70"/>
      <c r="I70" s="75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</row>
    <row r="71" spans="2:86" x14ac:dyDescent="0.25">
      <c r="H71"/>
      <c r="I71" s="75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</row>
    <row r="72" spans="2:86" x14ac:dyDescent="0.25">
      <c r="H72"/>
      <c r="I72" s="75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</row>
    <row r="73" spans="2:86" x14ac:dyDescent="0.25">
      <c r="H73"/>
      <c r="I73" s="75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</row>
    <row r="74" spans="2:86" x14ac:dyDescent="0.25">
      <c r="H74"/>
      <c r="I74" s="75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</row>
    <row r="75" spans="2:86" x14ac:dyDescent="0.25">
      <c r="H75"/>
      <c r="I75" s="75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</row>
    <row r="76" spans="2:86" x14ac:dyDescent="0.25">
      <c r="H76"/>
      <c r="I76" s="75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</row>
    <row r="77" spans="2:86" x14ac:dyDescent="0.25">
      <c r="H77"/>
      <c r="I77" s="75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</row>
    <row r="78" spans="2:86" x14ac:dyDescent="0.25">
      <c r="H78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</row>
    <row r="79" spans="2:86" x14ac:dyDescent="0.25">
      <c r="B79" s="63"/>
      <c r="H79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</row>
    <row r="80" spans="2:86" x14ac:dyDescent="0.25">
      <c r="B80" s="63"/>
      <c r="H80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</row>
    <row r="81" spans="2:86" x14ac:dyDescent="0.25">
      <c r="B81" s="63"/>
      <c r="H81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</row>
    <row r="82" spans="2:86" x14ac:dyDescent="0.25">
      <c r="B82" s="63"/>
      <c r="H82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</row>
    <row r="83" spans="2:86" x14ac:dyDescent="0.25">
      <c r="B83" s="63"/>
      <c r="H8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</row>
    <row r="84" spans="2:86" x14ac:dyDescent="0.25">
      <c r="H84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</row>
    <row r="85" spans="2:86" x14ac:dyDescent="0.25">
      <c r="H85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</row>
    <row r="86" spans="2:86" x14ac:dyDescent="0.25">
      <c r="H86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</row>
    <row r="87" spans="2:86" x14ac:dyDescent="0.25">
      <c r="H87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</row>
    <row r="88" spans="2:86" x14ac:dyDescent="0.25">
      <c r="H88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</row>
    <row r="89" spans="2:86" x14ac:dyDescent="0.25">
      <c r="H89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</row>
    <row r="90" spans="2:86" x14ac:dyDescent="0.25">
      <c r="H90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</row>
    <row r="91" spans="2:86" x14ac:dyDescent="0.25">
      <c r="H91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</row>
    <row r="92" spans="2:86" x14ac:dyDescent="0.25">
      <c r="H92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</row>
    <row r="93" spans="2:86" x14ac:dyDescent="0.25">
      <c r="H9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</row>
    <row r="94" spans="2:86" x14ac:dyDescent="0.25">
      <c r="H94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</row>
    <row r="95" spans="2:86" x14ac:dyDescent="0.25">
      <c r="H95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</row>
    <row r="96" spans="2:86" x14ac:dyDescent="0.25">
      <c r="H96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</row>
    <row r="97" spans="8:86" x14ac:dyDescent="0.25">
      <c r="H97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</row>
    <row r="98" spans="8:86" x14ac:dyDescent="0.25">
      <c r="H98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</row>
    <row r="99" spans="8:86" x14ac:dyDescent="0.25">
      <c r="H99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</row>
    <row r="100" spans="8:86" x14ac:dyDescent="0.25">
      <c r="H100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</row>
    <row r="101" spans="8:86" x14ac:dyDescent="0.25">
      <c r="H101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</row>
    <row r="102" spans="8:86" x14ac:dyDescent="0.25">
      <c r="H102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</row>
    <row r="103" spans="8:86" x14ac:dyDescent="0.25">
      <c r="H10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</row>
    <row r="104" spans="8:86" x14ac:dyDescent="0.25">
      <c r="H104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</row>
    <row r="105" spans="8:86" x14ac:dyDescent="0.25">
      <c r="H105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</row>
    <row r="106" spans="8:86" x14ac:dyDescent="0.25"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</row>
    <row r="107" spans="8:86" x14ac:dyDescent="0.25"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</row>
    <row r="108" spans="8:86" x14ac:dyDescent="0.25"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</row>
    <row r="109" spans="8:86" x14ac:dyDescent="0.25"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</row>
    <row r="110" spans="8:86" x14ac:dyDescent="0.25"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</row>
    <row r="111" spans="8:86" x14ac:dyDescent="0.25"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</row>
    <row r="112" spans="8:86" x14ac:dyDescent="0.25"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</row>
    <row r="113" spans="13:86" x14ac:dyDescent="0.25"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</row>
    <row r="114" spans="13:86" x14ac:dyDescent="0.25"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</row>
    <row r="115" spans="13:86" x14ac:dyDescent="0.25"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</row>
    <row r="116" spans="13:86" x14ac:dyDescent="0.25"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</row>
    <row r="117" spans="13:86" x14ac:dyDescent="0.25"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</row>
    <row r="118" spans="13:86" x14ac:dyDescent="0.25"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</row>
    <row r="119" spans="13:86" x14ac:dyDescent="0.25"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</row>
    <row r="120" spans="13:86" x14ac:dyDescent="0.25"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</row>
    <row r="121" spans="13:86" x14ac:dyDescent="0.25"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</row>
    <row r="122" spans="13:86" x14ac:dyDescent="0.25"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</row>
    <row r="123" spans="13:86" x14ac:dyDescent="0.25"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</row>
    <row r="124" spans="13:86" x14ac:dyDescent="0.25"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</row>
    <row r="125" spans="13:86" x14ac:dyDescent="0.25"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</row>
    <row r="126" spans="13:86" x14ac:dyDescent="0.25"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</row>
    <row r="127" spans="13:86" x14ac:dyDescent="0.25"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</row>
    <row r="128" spans="13:86" x14ac:dyDescent="0.25"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</row>
    <row r="129" spans="13:86" x14ac:dyDescent="0.25"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</row>
    <row r="130" spans="13:86" x14ac:dyDescent="0.25"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</row>
    <row r="131" spans="13:86" x14ac:dyDescent="0.25"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</row>
    <row r="132" spans="13:86" x14ac:dyDescent="0.25"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</row>
    <row r="133" spans="13:86" x14ac:dyDescent="0.25"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</row>
    <row r="134" spans="13:86" x14ac:dyDescent="0.25"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</row>
    <row r="135" spans="13:86" x14ac:dyDescent="0.25"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</row>
    <row r="136" spans="13:86" x14ac:dyDescent="0.25"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</row>
    <row r="137" spans="13:86" x14ac:dyDescent="0.25"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</row>
    <row r="138" spans="13:86" x14ac:dyDescent="0.25"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</row>
    <row r="139" spans="13:86" x14ac:dyDescent="0.25"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</row>
    <row r="140" spans="13:86" x14ac:dyDescent="0.25"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</row>
    <row r="141" spans="13:86" x14ac:dyDescent="0.25"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</row>
    <row r="142" spans="13:86" x14ac:dyDescent="0.25"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</row>
    <row r="143" spans="13:86" x14ac:dyDescent="0.25"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</row>
    <row r="144" spans="13:86" x14ac:dyDescent="0.25"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</row>
    <row r="145" spans="13:86" x14ac:dyDescent="0.25"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</row>
    <row r="146" spans="13:86" x14ac:dyDescent="0.25"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</row>
    <row r="147" spans="13:86" x14ac:dyDescent="0.25"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</row>
    <row r="148" spans="13:86" x14ac:dyDescent="0.25"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</row>
    <row r="149" spans="13:86" x14ac:dyDescent="0.25"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</row>
    <row r="150" spans="13:86" x14ac:dyDescent="0.25"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</row>
    <row r="151" spans="13:86" x14ac:dyDescent="0.25"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</row>
    <row r="152" spans="13:86" x14ac:dyDescent="0.25"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</row>
    <row r="153" spans="13:86" x14ac:dyDescent="0.25"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</row>
    <row r="154" spans="13:86" x14ac:dyDescent="0.25"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</row>
    <row r="155" spans="13:86" x14ac:dyDescent="0.25"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</row>
    <row r="156" spans="13:86" x14ac:dyDescent="0.25"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</row>
    <row r="157" spans="13:86" x14ac:dyDescent="0.25"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</row>
    <row r="158" spans="13:86" x14ac:dyDescent="0.25"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</row>
    <row r="159" spans="13:86" x14ac:dyDescent="0.25"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</row>
    <row r="160" spans="13:86" x14ac:dyDescent="0.25"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</row>
    <row r="161" spans="13:86" x14ac:dyDescent="0.25"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</row>
    <row r="162" spans="13:86" x14ac:dyDescent="0.25"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</row>
    <row r="163" spans="13:86" x14ac:dyDescent="0.25"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</row>
    <row r="164" spans="13:86" x14ac:dyDescent="0.25"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</row>
    <row r="165" spans="13:86" x14ac:dyDescent="0.25"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</row>
    <row r="166" spans="13:86" x14ac:dyDescent="0.25"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</row>
    <row r="167" spans="13:86" x14ac:dyDescent="0.25"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</row>
    <row r="168" spans="13:86" x14ac:dyDescent="0.25"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</row>
    <row r="169" spans="13:86" x14ac:dyDescent="0.25"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</row>
    <row r="170" spans="13:86" x14ac:dyDescent="0.25"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</row>
    <row r="171" spans="13:86" x14ac:dyDescent="0.25"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</row>
    <row r="172" spans="13:86" x14ac:dyDescent="0.25"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</row>
    <row r="173" spans="13:86" x14ac:dyDescent="0.25"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</row>
    <row r="174" spans="13:86" x14ac:dyDescent="0.25"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</row>
    <row r="175" spans="13:86" x14ac:dyDescent="0.25"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</row>
    <row r="176" spans="13:86" x14ac:dyDescent="0.25"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</row>
    <row r="177" spans="6:86" x14ac:dyDescent="0.25"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</row>
    <row r="178" spans="6:86" x14ac:dyDescent="0.25"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</row>
    <row r="179" spans="6:86" x14ac:dyDescent="0.25"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</row>
    <row r="180" spans="6:86" x14ac:dyDescent="0.25"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</row>
    <row r="181" spans="6:86" x14ac:dyDescent="0.25"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</row>
    <row r="182" spans="6:86" x14ac:dyDescent="0.25"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</row>
    <row r="183" spans="6:86" x14ac:dyDescent="0.25"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</row>
    <row r="184" spans="6:86" x14ac:dyDescent="0.25"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</row>
    <row r="185" spans="6:86" x14ac:dyDescent="0.25"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</row>
    <row r="186" spans="6:86" x14ac:dyDescent="0.25"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</row>
    <row r="187" spans="6:86" x14ac:dyDescent="0.25"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</row>
    <row r="188" spans="6:86" x14ac:dyDescent="0.25"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</row>
    <row r="189" spans="6:86" x14ac:dyDescent="0.25"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</row>
    <row r="190" spans="6:86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</row>
    <row r="191" spans="6:86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</row>
    <row r="192" spans="6:86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</row>
    <row r="193" spans="6:86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</row>
    <row r="194" spans="6:86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</row>
    <row r="195" spans="6:86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</row>
    <row r="196" spans="6:86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</row>
    <row r="197" spans="6:86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</row>
    <row r="198" spans="6:86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</row>
    <row r="199" spans="6:86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</row>
    <row r="200" spans="6:86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</row>
    <row r="201" spans="6:86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</row>
    <row r="202" spans="6:86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</row>
    <row r="203" spans="6:86" x14ac:dyDescent="0.25"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</row>
    <row r="204" spans="6:86" x14ac:dyDescent="0.25"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</row>
  </sheetData>
  <sortState ref="T10:Y55">
    <sortCondition descending="1" ref="Y10:Y55"/>
  </sortState>
  <mergeCells count="5">
    <mergeCell ref="C8:H8"/>
    <mergeCell ref="C3:F3"/>
    <mergeCell ref="C2:F2"/>
    <mergeCell ref="C6:H6"/>
    <mergeCell ref="T7:Y7"/>
  </mergeCells>
  <conditionalFormatting sqref="O17">
    <cfRule type="cellIs" dxfId="49" priority="980" operator="equal">
      <formula>1</formula>
    </cfRule>
  </conditionalFormatting>
  <conditionalFormatting sqref="O17">
    <cfRule type="cellIs" dxfId="48" priority="979" operator="greaterThan">
      <formula>1</formula>
    </cfRule>
  </conditionalFormatting>
  <conditionalFormatting pivot="1" sqref="I11">
    <cfRule type="cellIs" dxfId="47" priority="408" operator="equal">
      <formula>1</formula>
    </cfRule>
  </conditionalFormatting>
  <conditionalFormatting pivot="1" sqref="I11">
    <cfRule type="cellIs" dxfId="46" priority="407" operator="greaterThan">
      <formula>1</formula>
    </cfRule>
  </conditionalFormatting>
  <conditionalFormatting sqref="Y10:Y55">
    <cfRule type="cellIs" dxfId="45" priority="396" operator="equal">
      <formula>1</formula>
    </cfRule>
  </conditionalFormatting>
  <conditionalFormatting sqref="Y10:Y55">
    <cfRule type="cellIs" dxfId="44" priority="395" operator="greaterThan">
      <formula>1</formula>
    </cfRule>
  </conditionalFormatting>
  <conditionalFormatting sqref="O42">
    <cfRule type="cellIs" dxfId="43" priority="352" operator="equal">
      <formula>1</formula>
    </cfRule>
  </conditionalFormatting>
  <conditionalFormatting sqref="O42">
    <cfRule type="cellIs" dxfId="42" priority="351" operator="greaterThan">
      <formula>1</formula>
    </cfRule>
  </conditionalFormatting>
  <conditionalFormatting sqref="O41">
    <cfRule type="cellIs" dxfId="41" priority="354" operator="equal">
      <formula>1</formula>
    </cfRule>
  </conditionalFormatting>
  <conditionalFormatting sqref="O41">
    <cfRule type="cellIs" dxfId="40" priority="353" operator="greaterThan">
      <formula>1</formula>
    </cfRule>
  </conditionalFormatting>
  <conditionalFormatting sqref="O43">
    <cfRule type="cellIs" dxfId="39" priority="350" operator="equal">
      <formula>1</formula>
    </cfRule>
  </conditionalFormatting>
  <conditionalFormatting sqref="O43">
    <cfRule type="cellIs" dxfId="38" priority="349" operator="greaterThan">
      <formula>1</formula>
    </cfRule>
  </conditionalFormatting>
  <conditionalFormatting sqref="O44">
    <cfRule type="cellIs" dxfId="37" priority="348" operator="equal">
      <formula>1</formula>
    </cfRule>
  </conditionalFormatting>
  <conditionalFormatting sqref="O44">
    <cfRule type="cellIs" dxfId="36" priority="347" operator="greaterThan">
      <formula>1</formula>
    </cfRule>
  </conditionalFormatting>
  <conditionalFormatting sqref="O39">
    <cfRule type="cellIs" dxfId="35" priority="92" operator="equal">
      <formula>1</formula>
    </cfRule>
  </conditionalFormatting>
  <conditionalFormatting sqref="O39">
    <cfRule type="cellIs" dxfId="34" priority="91" operator="greaterThan">
      <formula>1</formula>
    </cfRule>
  </conditionalFormatting>
  <conditionalFormatting sqref="O37">
    <cfRule type="cellIs" dxfId="33" priority="96" operator="equal">
      <formula>1</formula>
    </cfRule>
  </conditionalFormatting>
  <conditionalFormatting sqref="O37">
    <cfRule type="cellIs" dxfId="32" priority="95" operator="greaterThan">
      <formula>1</formula>
    </cfRule>
  </conditionalFormatting>
  <conditionalFormatting sqref="O38">
    <cfRule type="cellIs" dxfId="31" priority="94" operator="equal">
      <formula>1</formula>
    </cfRule>
  </conditionalFormatting>
  <conditionalFormatting sqref="O38">
    <cfRule type="cellIs" dxfId="30" priority="93" operator="greaterThan">
      <formula>1</formula>
    </cfRule>
  </conditionalFormatting>
  <conditionalFormatting sqref="O40">
    <cfRule type="cellIs" dxfId="29" priority="90" operator="equal">
      <formula>1</formula>
    </cfRule>
  </conditionalFormatting>
  <conditionalFormatting sqref="O40">
    <cfRule type="cellIs" dxfId="28" priority="89" operator="greaterThan">
      <formula>1</formula>
    </cfRule>
  </conditionalFormatting>
  <conditionalFormatting sqref="O19">
    <cfRule type="cellIs" dxfId="27" priority="16" operator="equal">
      <formula>1</formula>
    </cfRule>
  </conditionalFormatting>
  <conditionalFormatting sqref="O19">
    <cfRule type="cellIs" dxfId="26" priority="15" operator="greaterThan">
      <formula>1</formula>
    </cfRule>
  </conditionalFormatting>
  <conditionalFormatting sqref="O31:O35">
    <cfRule type="cellIs" dxfId="25" priority="44" operator="equal">
      <formula>1</formula>
    </cfRule>
  </conditionalFormatting>
  <conditionalFormatting sqref="O31:O35">
    <cfRule type="cellIs" dxfId="24" priority="43" operator="greaterThan">
      <formula>1</formula>
    </cfRule>
  </conditionalFormatting>
  <conditionalFormatting sqref="O36">
    <cfRule type="cellIs" dxfId="23" priority="42" operator="equal">
      <formula>1</formula>
    </cfRule>
  </conditionalFormatting>
  <conditionalFormatting sqref="O36">
    <cfRule type="cellIs" dxfId="22" priority="41" operator="greaterThan">
      <formula>1</formula>
    </cfRule>
  </conditionalFormatting>
  <conditionalFormatting sqref="O18">
    <cfRule type="cellIs" dxfId="21" priority="18" operator="equal">
      <formula>1</formula>
    </cfRule>
  </conditionalFormatting>
  <conditionalFormatting sqref="O18">
    <cfRule type="cellIs" dxfId="20" priority="17" operator="greaterThan">
      <formula>1</formula>
    </cfRule>
  </conditionalFormatting>
  <conditionalFormatting sqref="O20">
    <cfRule type="cellIs" dxfId="19" priority="14" operator="equal">
      <formula>1</formula>
    </cfRule>
  </conditionalFormatting>
  <conditionalFormatting sqref="O20">
    <cfRule type="cellIs" dxfId="18" priority="13" operator="greaterThan">
      <formula>1</formula>
    </cfRule>
  </conditionalFormatting>
  <conditionalFormatting sqref="O21:O22">
    <cfRule type="cellIs" dxfId="17" priority="12" operator="equal">
      <formula>1</formula>
    </cfRule>
  </conditionalFormatting>
  <conditionalFormatting sqref="O21:O22">
    <cfRule type="cellIs" dxfId="16" priority="11" operator="greaterThan">
      <formula>1</formula>
    </cfRule>
  </conditionalFormatting>
  <conditionalFormatting sqref="O23">
    <cfRule type="cellIs" dxfId="15" priority="10" operator="equal">
      <formula>1</formula>
    </cfRule>
  </conditionalFormatting>
  <conditionalFormatting sqref="O23">
    <cfRule type="cellIs" dxfId="14" priority="9" operator="greaterThan">
      <formula>1</formula>
    </cfRule>
  </conditionalFormatting>
  <conditionalFormatting sqref="O24">
    <cfRule type="cellIs" dxfId="13" priority="8" operator="equal">
      <formula>1</formula>
    </cfRule>
  </conditionalFormatting>
  <conditionalFormatting sqref="O24">
    <cfRule type="cellIs" dxfId="12" priority="7" operator="greaterThan">
      <formula>1</formula>
    </cfRule>
  </conditionalFormatting>
  <conditionalFormatting sqref="O25:O27">
    <cfRule type="cellIs" dxfId="11" priority="6" operator="equal">
      <formula>1</formula>
    </cfRule>
  </conditionalFormatting>
  <conditionalFormatting sqref="O25:O27">
    <cfRule type="cellIs" dxfId="10" priority="5" operator="greaterThan">
      <formula>1</formula>
    </cfRule>
  </conditionalFormatting>
  <conditionalFormatting sqref="O28">
    <cfRule type="cellIs" dxfId="9" priority="4" operator="equal">
      <formula>1</formula>
    </cfRule>
  </conditionalFormatting>
  <conditionalFormatting sqref="O28">
    <cfRule type="cellIs" dxfId="8" priority="3" operator="greaterThan">
      <formula>1</formula>
    </cfRule>
  </conditionalFormatting>
  <conditionalFormatting sqref="O29:O30">
    <cfRule type="cellIs" dxfId="7" priority="2" operator="equal">
      <formula>1</formula>
    </cfRule>
  </conditionalFormatting>
  <conditionalFormatting sqref="O29:O30">
    <cfRule type="cellIs" dxfId="6" priority="1" operator="greaterThan">
      <formula>1</formula>
    </cfRule>
  </conditionalFormatting>
  <hyperlinks>
    <hyperlink ref="K11" location="'Base de Datos'!A1" display="Ver detalles"/>
    <hyperlink ref="K9" location="'Ultimos Ingresos'!A1" display="Ver detalles"/>
  </hyperlinks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2:CD511"/>
  <sheetViews>
    <sheetView showGridLines="0" zoomScaleNormal="100" workbookViewId="0">
      <selection activeCell="AH2" sqref="AH2:AH336"/>
    </sheetView>
  </sheetViews>
  <sheetFormatPr baseColWidth="10" defaultRowHeight="15" x14ac:dyDescent="0.25"/>
  <cols>
    <col min="1" max="1" width="3.28515625" style="6" customWidth="1"/>
    <col min="2" max="2" width="12.5703125" style="6" bestFit="1" customWidth="1"/>
    <col min="3" max="3" width="36.28515625" style="6" bestFit="1" customWidth="1"/>
    <col min="4" max="4" width="39.5703125" style="6" customWidth="1"/>
    <col min="5" max="5" width="18.85546875" style="6" customWidth="1"/>
    <col min="6" max="6" width="18.85546875" style="6" bestFit="1" customWidth="1"/>
    <col min="7" max="9" width="8.42578125" style="6" customWidth="1"/>
    <col min="10" max="10" width="10.42578125" style="6" customWidth="1"/>
    <col min="11" max="11" width="5.7109375" style="6" customWidth="1"/>
    <col min="12" max="12" width="12.5703125" style="6" bestFit="1" customWidth="1"/>
    <col min="13" max="13" width="20.28515625" style="6" bestFit="1" customWidth="1"/>
    <col min="14" max="14" width="8.42578125" style="6" bestFit="1" customWidth="1"/>
    <col min="15" max="15" width="10.42578125" style="6" bestFit="1" customWidth="1"/>
    <col min="16" max="16" width="6.7109375" style="6" customWidth="1"/>
    <col min="17" max="17" width="12.5703125" style="6" bestFit="1" customWidth="1"/>
    <col min="18" max="18" width="28.140625" style="6" bestFit="1" customWidth="1"/>
    <col min="19" max="19" width="8.42578125" style="6" bestFit="1" customWidth="1"/>
    <col min="20" max="20" width="10.42578125" style="6" bestFit="1" customWidth="1"/>
    <col min="21" max="82" width="3" style="6" customWidth="1"/>
    <col min="83" max="150" width="4" style="6" customWidth="1"/>
    <col min="151" max="170" width="5" style="6" customWidth="1"/>
    <col min="171" max="180" width="6" style="6" customWidth="1"/>
    <col min="181" max="181" width="12.5703125" style="6" bestFit="1" customWidth="1"/>
    <col min="182" max="16384" width="11.42578125" style="6"/>
  </cols>
  <sheetData>
    <row r="2" spans="2:52" ht="25.5" x14ac:dyDescent="0.25">
      <c r="B2" s="135" t="s">
        <v>123</v>
      </c>
      <c r="C2" s="135"/>
      <c r="D2" s="135"/>
      <c r="E2" s="135"/>
      <c r="F2" s="135"/>
      <c r="G2" s="135"/>
      <c r="H2" s="21"/>
      <c r="I2" s="21"/>
      <c r="J2" s="21"/>
    </row>
    <row r="3" spans="2:52" ht="18.75" customHeight="1" x14ac:dyDescent="0.25">
      <c r="B3" s="24"/>
      <c r="C3" s="24"/>
      <c r="D3" s="24"/>
      <c r="E3" s="24"/>
      <c r="F3" s="24"/>
      <c r="G3" s="24"/>
      <c r="H3" s="21"/>
      <c r="I3" s="21"/>
      <c r="J3" s="21"/>
    </row>
    <row r="4" spans="2:52" x14ac:dyDescent="0.25">
      <c r="B4" s="9" t="s">
        <v>118</v>
      </c>
      <c r="C4" s="46" t="s">
        <v>50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2:52" x14ac:dyDescent="0.25">
      <c r="B5" s="1" t="s">
        <v>28</v>
      </c>
      <c r="C5" s="46" t="s">
        <v>50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2:52" x14ac:dyDescent="0.25"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</row>
    <row r="7" spans="2:52" x14ac:dyDescent="0.25">
      <c r="B7" s="1" t="s">
        <v>16</v>
      </c>
      <c r="C7" s="1" t="s">
        <v>138</v>
      </c>
      <c r="D7" s="1" t="s">
        <v>18</v>
      </c>
      <c r="E7" s="1" t="s">
        <v>19</v>
      </c>
      <c r="F7" s="1" t="s">
        <v>45</v>
      </c>
      <c r="G7" t="s">
        <v>48</v>
      </c>
      <c r="H7"/>
      <c r="I7"/>
      <c r="J7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</row>
    <row r="8" spans="2:52" x14ac:dyDescent="0.25">
      <c r="B8" s="39" t="s">
        <v>3</v>
      </c>
      <c r="C8" s="39" t="s">
        <v>212</v>
      </c>
      <c r="D8" s="46" t="s">
        <v>395</v>
      </c>
      <c r="E8" s="46" t="s">
        <v>0</v>
      </c>
      <c r="F8" s="46" t="s">
        <v>139</v>
      </c>
      <c r="G8" s="12"/>
      <c r="H8"/>
      <c r="I8"/>
      <c r="J8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</row>
    <row r="9" spans="2:52" x14ac:dyDescent="0.25">
      <c r="B9" s="39"/>
      <c r="C9" s="39" t="s">
        <v>732</v>
      </c>
      <c r="D9" s="46" t="s">
        <v>269</v>
      </c>
      <c r="E9" s="46" t="s">
        <v>1</v>
      </c>
      <c r="F9" s="46" t="s">
        <v>139</v>
      </c>
      <c r="G9" s="12">
        <v>28</v>
      </c>
      <c r="H9"/>
      <c r="I9"/>
      <c r="J9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52" x14ac:dyDescent="0.25">
      <c r="B10" s="39"/>
      <c r="C10" s="39" t="s">
        <v>736</v>
      </c>
      <c r="D10" s="46" t="s">
        <v>269</v>
      </c>
      <c r="E10" s="46" t="s">
        <v>1</v>
      </c>
      <c r="F10" s="46" t="s">
        <v>139</v>
      </c>
      <c r="G10" s="12">
        <v>28</v>
      </c>
      <c r="H10"/>
      <c r="I10"/>
      <c r="J10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52" x14ac:dyDescent="0.25">
      <c r="B11" s="39"/>
      <c r="C11" s="39" t="s">
        <v>737</v>
      </c>
      <c r="D11" s="46" t="s">
        <v>269</v>
      </c>
      <c r="E11" s="46" t="s">
        <v>1</v>
      </c>
      <c r="F11" s="46" t="s">
        <v>139</v>
      </c>
      <c r="G11" s="12">
        <v>1</v>
      </c>
      <c r="H11"/>
      <c r="I11"/>
      <c r="J11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52" x14ac:dyDescent="0.25">
      <c r="B12" s="39"/>
      <c r="C12" s="39" t="s">
        <v>278</v>
      </c>
      <c r="D12" s="46" t="s">
        <v>269</v>
      </c>
      <c r="E12" s="46" t="s">
        <v>1</v>
      </c>
      <c r="F12" s="46" t="s">
        <v>139</v>
      </c>
      <c r="G12" s="12">
        <v>21</v>
      </c>
      <c r="H12"/>
      <c r="I12"/>
      <c r="J12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52" x14ac:dyDescent="0.25">
      <c r="B13" s="39"/>
      <c r="C13" s="39" t="s">
        <v>739</v>
      </c>
      <c r="D13" s="46" t="s">
        <v>269</v>
      </c>
      <c r="E13" s="46" t="s">
        <v>1</v>
      </c>
      <c r="F13" s="46" t="s">
        <v>139</v>
      </c>
      <c r="G13" s="12">
        <v>11</v>
      </c>
      <c r="H13"/>
      <c r="I13"/>
      <c r="J1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52" x14ac:dyDescent="0.25">
      <c r="B14" s="39"/>
      <c r="C14" s="39" t="s">
        <v>740</v>
      </c>
      <c r="D14" s="46" t="s">
        <v>269</v>
      </c>
      <c r="E14" s="46" t="s">
        <v>1</v>
      </c>
      <c r="F14" s="46" t="s">
        <v>139</v>
      </c>
      <c r="G14" s="12">
        <v>3</v>
      </c>
      <c r="H14"/>
      <c r="I14"/>
      <c r="J14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52" x14ac:dyDescent="0.25">
      <c r="B15" s="39"/>
      <c r="C15" s="39" t="s">
        <v>741</v>
      </c>
      <c r="D15" s="46" t="s">
        <v>269</v>
      </c>
      <c r="E15" s="46" t="s">
        <v>1</v>
      </c>
      <c r="F15" s="46" t="s">
        <v>139</v>
      </c>
      <c r="G15" s="12">
        <v>30</v>
      </c>
      <c r="H15"/>
      <c r="I15"/>
      <c r="J15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52" x14ac:dyDescent="0.25">
      <c r="B16" s="39"/>
      <c r="C16" s="39" t="s">
        <v>385</v>
      </c>
      <c r="D16" s="46" t="s">
        <v>386</v>
      </c>
      <c r="E16" s="46" t="s">
        <v>1</v>
      </c>
      <c r="F16" s="46" t="s">
        <v>46</v>
      </c>
      <c r="G16" s="12"/>
      <c r="H16"/>
      <c r="I16"/>
      <c r="J16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39"/>
      <c r="C17" s="39" t="s">
        <v>412</v>
      </c>
      <c r="D17" s="46" t="s">
        <v>413</v>
      </c>
      <c r="E17" s="46" t="s">
        <v>1</v>
      </c>
      <c r="F17" s="46" t="s">
        <v>46</v>
      </c>
      <c r="G17" s="12"/>
      <c r="H17"/>
      <c r="I17"/>
      <c r="J17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9"/>
      <c r="C18" s="39" t="s">
        <v>1170</v>
      </c>
      <c r="D18" s="46" t="s">
        <v>329</v>
      </c>
      <c r="E18" s="46" t="s">
        <v>0</v>
      </c>
      <c r="F18" s="46" t="s">
        <v>46</v>
      </c>
      <c r="G18" s="12"/>
      <c r="H18"/>
      <c r="I18"/>
      <c r="J18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9"/>
      <c r="C19" s="39" t="s">
        <v>1172</v>
      </c>
      <c r="D19" s="46" t="s">
        <v>382</v>
      </c>
      <c r="E19" s="46" t="s">
        <v>2</v>
      </c>
      <c r="F19" s="46" t="s">
        <v>139</v>
      </c>
      <c r="G19" s="12"/>
      <c r="H19"/>
      <c r="I19"/>
      <c r="J19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39"/>
      <c r="C20" s="39" t="s">
        <v>1174</v>
      </c>
      <c r="D20" s="46" t="s">
        <v>382</v>
      </c>
      <c r="E20" s="46" t="s">
        <v>2</v>
      </c>
      <c r="F20" s="46" t="s">
        <v>139</v>
      </c>
      <c r="G20" s="12"/>
      <c r="H20"/>
      <c r="I20"/>
      <c r="J20"/>
      <c r="K20" s="3"/>
      <c r="L20" s="3"/>
      <c r="M20" s="25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39"/>
      <c r="C21" s="39" t="s">
        <v>1175</v>
      </c>
      <c r="D21" s="46" t="s">
        <v>382</v>
      </c>
      <c r="E21" s="46" t="s">
        <v>0</v>
      </c>
      <c r="F21" s="46" t="s">
        <v>46</v>
      </c>
      <c r="G21" s="12"/>
      <c r="H21"/>
      <c r="I21"/>
      <c r="J21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39"/>
      <c r="C22" s="39" t="s">
        <v>435</v>
      </c>
      <c r="D22" s="46" t="s">
        <v>382</v>
      </c>
      <c r="E22" s="46" t="s">
        <v>0</v>
      </c>
      <c r="F22" s="46" t="s">
        <v>46</v>
      </c>
      <c r="G22" s="12"/>
      <c r="H22"/>
      <c r="I22"/>
      <c r="J2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39"/>
      <c r="C23" s="39" t="s">
        <v>437</v>
      </c>
      <c r="D23" s="46" t="s">
        <v>382</v>
      </c>
      <c r="E23" s="46" t="s">
        <v>0</v>
      </c>
      <c r="F23" s="46" t="s">
        <v>139</v>
      </c>
      <c r="G23" s="12"/>
      <c r="H23"/>
      <c r="I23"/>
      <c r="J2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39"/>
      <c r="C24" s="39" t="s">
        <v>439</v>
      </c>
      <c r="D24" s="46" t="s">
        <v>382</v>
      </c>
      <c r="E24" s="46" t="s">
        <v>2</v>
      </c>
      <c r="F24" s="46" t="s">
        <v>139</v>
      </c>
      <c r="G24" s="12"/>
      <c r="H24"/>
      <c r="I24"/>
      <c r="J24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39"/>
      <c r="C25" s="39" t="s">
        <v>1176</v>
      </c>
      <c r="D25" s="46" t="s">
        <v>383</v>
      </c>
      <c r="E25" s="46" t="s">
        <v>1</v>
      </c>
      <c r="F25" s="46" t="s">
        <v>139</v>
      </c>
      <c r="G25" s="12"/>
      <c r="H25"/>
      <c r="I25"/>
      <c r="J25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39"/>
      <c r="C26" s="39" t="s">
        <v>321</v>
      </c>
      <c r="D26" s="46" t="s">
        <v>348</v>
      </c>
      <c r="E26" s="46" t="s">
        <v>1</v>
      </c>
      <c r="F26" s="46" t="s">
        <v>46</v>
      </c>
      <c r="G26" s="12"/>
      <c r="H26"/>
      <c r="I26"/>
      <c r="J26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39"/>
      <c r="C27" s="39" t="s">
        <v>1190</v>
      </c>
      <c r="D27" s="46" t="s">
        <v>405</v>
      </c>
      <c r="E27" s="46" t="s">
        <v>1</v>
      </c>
      <c r="F27" s="46" t="s">
        <v>139</v>
      </c>
      <c r="G27" s="12"/>
      <c r="H27"/>
      <c r="I27"/>
      <c r="J27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39"/>
      <c r="C28" s="39" t="s">
        <v>448</v>
      </c>
      <c r="D28" s="46" t="s">
        <v>405</v>
      </c>
      <c r="E28" s="46" t="s">
        <v>1</v>
      </c>
      <c r="F28" s="46" t="s">
        <v>139</v>
      </c>
      <c r="G28" s="12"/>
      <c r="H28"/>
      <c r="I28"/>
      <c r="J28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39"/>
      <c r="C29" s="39" t="s">
        <v>1191</v>
      </c>
      <c r="D29" s="46" t="s">
        <v>405</v>
      </c>
      <c r="E29" s="46" t="s">
        <v>1</v>
      </c>
      <c r="F29" s="46" t="s">
        <v>139</v>
      </c>
      <c r="G29" s="12"/>
      <c r="H29"/>
      <c r="I29"/>
      <c r="J29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39"/>
      <c r="C30" s="39" t="s">
        <v>410</v>
      </c>
      <c r="D30" s="46" t="s">
        <v>283</v>
      </c>
      <c r="E30" s="46" t="s">
        <v>1</v>
      </c>
      <c r="F30" s="46" t="s">
        <v>139</v>
      </c>
      <c r="G30" s="12"/>
      <c r="H30"/>
      <c r="I30"/>
      <c r="J30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39"/>
      <c r="C31" s="39" t="s">
        <v>1194</v>
      </c>
      <c r="D31" s="46" t="s">
        <v>1195</v>
      </c>
      <c r="E31" s="46" t="s">
        <v>1</v>
      </c>
      <c r="F31" s="46" t="s">
        <v>139</v>
      </c>
      <c r="G31" s="12"/>
      <c r="H31"/>
      <c r="I31"/>
      <c r="J31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39"/>
      <c r="C32" s="39" t="s">
        <v>1201</v>
      </c>
      <c r="D32" s="46" t="s">
        <v>1195</v>
      </c>
      <c r="E32" s="46" t="s">
        <v>0</v>
      </c>
      <c r="F32" s="46" t="s">
        <v>46</v>
      </c>
      <c r="G32" s="12"/>
      <c r="H32"/>
      <c r="I32"/>
      <c r="J32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B33" s="39"/>
      <c r="C33" s="39" t="s">
        <v>1205</v>
      </c>
      <c r="D33" s="46" t="s">
        <v>1195</v>
      </c>
      <c r="E33" s="46" t="s">
        <v>0</v>
      </c>
      <c r="F33" s="46" t="s">
        <v>139</v>
      </c>
      <c r="G33" s="12"/>
      <c r="H33"/>
      <c r="I33"/>
      <c r="J3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 s="39"/>
      <c r="C34" s="39" t="s">
        <v>1207</v>
      </c>
      <c r="D34" s="46" t="s">
        <v>1207</v>
      </c>
      <c r="E34" s="46" t="s">
        <v>2</v>
      </c>
      <c r="F34" s="46" t="s">
        <v>46</v>
      </c>
      <c r="G34" s="12"/>
      <c r="H34"/>
      <c r="I34"/>
      <c r="J34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 s="39" t="s">
        <v>4</v>
      </c>
      <c r="C35" s="39" t="s">
        <v>212</v>
      </c>
      <c r="D35" s="46" t="s">
        <v>395</v>
      </c>
      <c r="E35" s="46" t="s">
        <v>0</v>
      </c>
      <c r="F35" s="46" t="s">
        <v>139</v>
      </c>
      <c r="G35" s="12"/>
      <c r="H35"/>
      <c r="I35"/>
      <c r="J35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 s="39"/>
      <c r="C36" s="39" t="s">
        <v>247</v>
      </c>
      <c r="D36" s="46" t="s">
        <v>395</v>
      </c>
      <c r="E36" s="46" t="s">
        <v>0</v>
      </c>
      <c r="F36" s="46" t="s">
        <v>139</v>
      </c>
      <c r="G36" s="12">
        <v>15000</v>
      </c>
      <c r="H36"/>
      <c r="I36"/>
      <c r="J36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 s="39"/>
      <c r="C37" s="39" t="s">
        <v>249</v>
      </c>
      <c r="D37" s="46" t="s">
        <v>395</v>
      </c>
      <c r="E37" s="46" t="s">
        <v>0</v>
      </c>
      <c r="F37" s="46" t="s">
        <v>139</v>
      </c>
      <c r="G37" s="12">
        <v>30000</v>
      </c>
      <c r="H37"/>
      <c r="I37"/>
      <c r="J37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39"/>
      <c r="C38" s="39" t="s">
        <v>732</v>
      </c>
      <c r="D38" s="46" t="s">
        <v>269</v>
      </c>
      <c r="E38" s="46" t="s">
        <v>1</v>
      </c>
      <c r="F38" s="46" t="s">
        <v>139</v>
      </c>
      <c r="G38" s="12">
        <v>111</v>
      </c>
      <c r="H38"/>
      <c r="I38"/>
      <c r="J38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39"/>
      <c r="C39" s="39" t="s">
        <v>733</v>
      </c>
      <c r="D39" s="46" t="s">
        <v>269</v>
      </c>
      <c r="E39" s="46" t="s">
        <v>1</v>
      </c>
      <c r="F39" s="46" t="s">
        <v>139</v>
      </c>
      <c r="G39" s="12">
        <v>18</v>
      </c>
      <c r="H39"/>
      <c r="I39"/>
      <c r="J39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9"/>
      <c r="C40" s="39" t="s">
        <v>734</v>
      </c>
      <c r="D40" s="46" t="s">
        <v>269</v>
      </c>
      <c r="E40" s="46" t="s">
        <v>1</v>
      </c>
      <c r="F40" s="46" t="s">
        <v>139</v>
      </c>
      <c r="G40" s="12">
        <v>1</v>
      </c>
      <c r="H40"/>
      <c r="I40"/>
      <c r="J40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9"/>
      <c r="C41" s="39" t="s">
        <v>735</v>
      </c>
      <c r="D41" s="46" t="s">
        <v>269</v>
      </c>
      <c r="E41" s="46" t="s">
        <v>1</v>
      </c>
      <c r="F41" s="46" t="s">
        <v>139</v>
      </c>
      <c r="G41" s="12">
        <v>4</v>
      </c>
      <c r="H41"/>
      <c r="I41"/>
      <c r="J41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9"/>
      <c r="C42" s="39" t="s">
        <v>736</v>
      </c>
      <c r="D42" s="46" t="s">
        <v>269</v>
      </c>
      <c r="E42" s="46" t="s">
        <v>1</v>
      </c>
      <c r="F42" s="46" t="s">
        <v>139</v>
      </c>
      <c r="G42" s="12">
        <v>97</v>
      </c>
      <c r="H42"/>
      <c r="I42"/>
      <c r="J42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39"/>
      <c r="C43" s="39" t="s">
        <v>737</v>
      </c>
      <c r="D43" s="46" t="s">
        <v>269</v>
      </c>
      <c r="E43" s="46" t="s">
        <v>1</v>
      </c>
      <c r="F43" s="46" t="s">
        <v>139</v>
      </c>
      <c r="G43" s="12">
        <v>3</v>
      </c>
      <c r="H43"/>
      <c r="I43"/>
      <c r="J4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39"/>
      <c r="C44" s="39" t="s">
        <v>278</v>
      </c>
      <c r="D44" s="46" t="s">
        <v>269</v>
      </c>
      <c r="E44" s="46" t="s">
        <v>1</v>
      </c>
      <c r="F44" s="46" t="s">
        <v>139</v>
      </c>
      <c r="G44" s="12">
        <v>76</v>
      </c>
      <c r="H44"/>
      <c r="I44"/>
      <c r="J44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39"/>
      <c r="C45" s="39" t="s">
        <v>738</v>
      </c>
      <c r="D45" s="46" t="s">
        <v>269</v>
      </c>
      <c r="E45" s="46" t="s">
        <v>1</v>
      </c>
      <c r="F45" s="46" t="s">
        <v>139</v>
      </c>
      <c r="G45" s="12">
        <v>1</v>
      </c>
      <c r="H45"/>
      <c r="I45"/>
      <c r="J45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39"/>
      <c r="C46" s="39" t="s">
        <v>739</v>
      </c>
      <c r="D46" s="46" t="s">
        <v>269</v>
      </c>
      <c r="E46" s="46" t="s">
        <v>1</v>
      </c>
      <c r="F46" s="46" t="s">
        <v>139</v>
      </c>
      <c r="G46" s="12">
        <v>16</v>
      </c>
      <c r="H46"/>
      <c r="I46"/>
      <c r="J46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39"/>
      <c r="C47" s="39" t="s">
        <v>740</v>
      </c>
      <c r="D47" s="46" t="s">
        <v>269</v>
      </c>
      <c r="E47" s="46" t="s">
        <v>1</v>
      </c>
      <c r="F47" s="46" t="s">
        <v>139</v>
      </c>
      <c r="G47" s="12">
        <v>10</v>
      </c>
      <c r="H47"/>
      <c r="I47"/>
      <c r="J47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39"/>
      <c r="C48" s="39" t="s">
        <v>298</v>
      </c>
      <c r="D48" s="46" t="s">
        <v>269</v>
      </c>
      <c r="E48" s="46" t="s">
        <v>1</v>
      </c>
      <c r="F48" s="46" t="s">
        <v>139</v>
      </c>
      <c r="G48" s="12">
        <v>5</v>
      </c>
      <c r="H48"/>
      <c r="I48"/>
      <c r="J48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39"/>
      <c r="C49" s="39" t="s">
        <v>300</v>
      </c>
      <c r="D49" s="46" t="s">
        <v>269</v>
      </c>
      <c r="E49" s="46" t="s">
        <v>1</v>
      </c>
      <c r="F49" s="46" t="s">
        <v>139</v>
      </c>
      <c r="G49" s="12">
        <v>2</v>
      </c>
      <c r="H49"/>
      <c r="I49"/>
      <c r="J49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39"/>
      <c r="C50" s="39" t="s">
        <v>346</v>
      </c>
      <c r="D50" s="46" t="s">
        <v>346</v>
      </c>
      <c r="E50" s="46" t="s">
        <v>1</v>
      </c>
      <c r="F50" s="46" t="s">
        <v>46</v>
      </c>
      <c r="G50" s="12">
        <v>8</v>
      </c>
      <c r="H50"/>
      <c r="I50"/>
      <c r="J50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39"/>
      <c r="C51" s="39" t="s">
        <v>385</v>
      </c>
      <c r="D51" s="46" t="s">
        <v>386</v>
      </c>
      <c r="E51" s="46" t="s">
        <v>1</v>
      </c>
      <c r="F51" s="46" t="s">
        <v>46</v>
      </c>
      <c r="G51" s="12"/>
      <c r="H51"/>
      <c r="I51"/>
      <c r="J51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39"/>
      <c r="C52" s="39" t="s">
        <v>407</v>
      </c>
      <c r="D52" s="46" t="s">
        <v>408</v>
      </c>
      <c r="E52" s="46" t="s">
        <v>1</v>
      </c>
      <c r="F52" s="46" t="s">
        <v>139</v>
      </c>
      <c r="G52" s="12"/>
      <c r="H52"/>
      <c r="I52"/>
      <c r="J52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39"/>
      <c r="C53" s="39" t="s">
        <v>412</v>
      </c>
      <c r="D53" s="46" t="s">
        <v>413</v>
      </c>
      <c r="E53" s="46" t="s">
        <v>1</v>
      </c>
      <c r="F53" s="46" t="s">
        <v>46</v>
      </c>
      <c r="G53" s="12"/>
      <c r="H53"/>
      <c r="I53"/>
      <c r="J5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39"/>
      <c r="C54" s="39" t="s">
        <v>1170</v>
      </c>
      <c r="D54" s="46" t="s">
        <v>329</v>
      </c>
      <c r="E54" s="46" t="s">
        <v>0</v>
      </c>
      <c r="F54" s="46" t="s">
        <v>46</v>
      </c>
      <c r="G54" s="12">
        <v>76</v>
      </c>
      <c r="H54"/>
      <c r="I54"/>
      <c r="J54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 s="39"/>
      <c r="C55" s="39" t="s">
        <v>1172</v>
      </c>
      <c r="D55" s="46" t="s">
        <v>382</v>
      </c>
      <c r="E55" s="46" t="s">
        <v>2</v>
      </c>
      <c r="F55" s="46" t="s">
        <v>139</v>
      </c>
      <c r="G55" s="12"/>
      <c r="H55"/>
      <c r="I55"/>
      <c r="J55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 s="39"/>
      <c r="C56" s="39" t="s">
        <v>1174</v>
      </c>
      <c r="D56" s="46" t="s">
        <v>382</v>
      </c>
      <c r="E56" s="46" t="s">
        <v>2</v>
      </c>
      <c r="F56" s="46" t="s">
        <v>139</v>
      </c>
      <c r="G56" s="12"/>
      <c r="H56"/>
      <c r="I56"/>
      <c r="J56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39"/>
      <c r="C57" s="39" t="s">
        <v>1175</v>
      </c>
      <c r="D57" s="46" t="s">
        <v>382</v>
      </c>
      <c r="E57" s="46" t="s">
        <v>0</v>
      </c>
      <c r="F57" s="46" t="s">
        <v>46</v>
      </c>
      <c r="G57" s="12"/>
      <c r="H57"/>
      <c r="I57"/>
      <c r="J57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39"/>
      <c r="C58" s="39" t="s">
        <v>435</v>
      </c>
      <c r="D58" s="46" t="s">
        <v>382</v>
      </c>
      <c r="E58" s="46" t="s">
        <v>0</v>
      </c>
      <c r="F58" s="46" t="s">
        <v>46</v>
      </c>
      <c r="G58" s="12"/>
      <c r="H58"/>
      <c r="I58"/>
      <c r="J58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 s="39"/>
      <c r="C59" s="39" t="s">
        <v>437</v>
      </c>
      <c r="D59" s="46" t="s">
        <v>382</v>
      </c>
      <c r="E59" s="46" t="s">
        <v>0</v>
      </c>
      <c r="F59" s="46" t="s">
        <v>139</v>
      </c>
      <c r="G59" s="12"/>
      <c r="H59"/>
      <c r="I59"/>
      <c r="J59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 s="39"/>
      <c r="C60" s="39" t="s">
        <v>439</v>
      </c>
      <c r="D60" s="46" t="s">
        <v>382</v>
      </c>
      <c r="E60" s="46" t="s">
        <v>2</v>
      </c>
      <c r="F60" s="46" t="s">
        <v>139</v>
      </c>
      <c r="G60" s="12"/>
      <c r="H60"/>
      <c r="I60"/>
      <c r="J60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 s="39"/>
      <c r="C61" s="39" t="s">
        <v>1176</v>
      </c>
      <c r="D61" s="46" t="s">
        <v>383</v>
      </c>
      <c r="E61" s="46" t="s">
        <v>1</v>
      </c>
      <c r="F61" s="46" t="s">
        <v>139</v>
      </c>
      <c r="G61" s="12"/>
      <c r="H61"/>
      <c r="I61"/>
      <c r="J61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9"/>
      <c r="C62" s="39" t="s">
        <v>321</v>
      </c>
      <c r="D62" s="46" t="s">
        <v>348</v>
      </c>
      <c r="E62" s="46" t="s">
        <v>1</v>
      </c>
      <c r="F62" s="46" t="s">
        <v>46</v>
      </c>
      <c r="G62" s="12"/>
      <c r="H62"/>
      <c r="I62"/>
      <c r="J62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9"/>
      <c r="C63" s="39" t="s">
        <v>745</v>
      </c>
      <c r="D63" s="46" t="s">
        <v>390</v>
      </c>
      <c r="E63" s="46" t="s">
        <v>0</v>
      </c>
      <c r="F63" s="46" t="s">
        <v>46</v>
      </c>
      <c r="G63" s="12"/>
      <c r="H63"/>
      <c r="I63"/>
      <c r="J6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9"/>
      <c r="C64" s="39" t="s">
        <v>753</v>
      </c>
      <c r="D64" s="46" t="s">
        <v>390</v>
      </c>
      <c r="E64" s="46" t="s">
        <v>0</v>
      </c>
      <c r="F64" s="46" t="s">
        <v>46</v>
      </c>
      <c r="G64" s="12"/>
      <c r="H64"/>
      <c r="I64"/>
      <c r="J64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9"/>
      <c r="C65" s="39" t="s">
        <v>754</v>
      </c>
      <c r="D65" s="46" t="s">
        <v>390</v>
      </c>
      <c r="E65" s="46" t="s">
        <v>0</v>
      </c>
      <c r="F65" s="46" t="s">
        <v>46</v>
      </c>
      <c r="G65" s="12"/>
      <c r="H65"/>
      <c r="I65"/>
      <c r="J65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9"/>
      <c r="C66" s="39" t="s">
        <v>445</v>
      </c>
      <c r="D66" s="46" t="s">
        <v>201</v>
      </c>
      <c r="E66" s="46" t="s">
        <v>1</v>
      </c>
      <c r="F66" s="46" t="s">
        <v>139</v>
      </c>
      <c r="G66" s="12"/>
      <c r="H66"/>
      <c r="I66"/>
      <c r="J66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9"/>
      <c r="C67" s="39" t="s">
        <v>264</v>
      </c>
      <c r="D67" s="46" t="s">
        <v>264</v>
      </c>
      <c r="E67" s="46" t="s">
        <v>1</v>
      </c>
      <c r="F67" s="46" t="s">
        <v>46</v>
      </c>
      <c r="G67" s="12"/>
      <c r="H67"/>
      <c r="I67"/>
      <c r="J67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9"/>
      <c r="C68" s="39" t="s">
        <v>1190</v>
      </c>
      <c r="D68" s="46" t="s">
        <v>405</v>
      </c>
      <c r="E68" s="46" t="s">
        <v>1</v>
      </c>
      <c r="F68" s="46" t="s">
        <v>139</v>
      </c>
      <c r="G68" s="12"/>
      <c r="H68"/>
      <c r="I68"/>
      <c r="J68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9"/>
      <c r="C69" s="39" t="s">
        <v>448</v>
      </c>
      <c r="D69" s="46" t="s">
        <v>405</v>
      </c>
      <c r="E69" s="46" t="s">
        <v>1</v>
      </c>
      <c r="F69" s="46" t="s">
        <v>139</v>
      </c>
      <c r="G69" s="12"/>
      <c r="H69"/>
      <c r="I69"/>
      <c r="J69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9"/>
      <c r="C70" s="39" t="s">
        <v>1191</v>
      </c>
      <c r="D70" s="46" t="s">
        <v>405</v>
      </c>
      <c r="E70" s="46" t="s">
        <v>1</v>
      </c>
      <c r="F70" s="46" t="s">
        <v>139</v>
      </c>
      <c r="G70" s="12"/>
      <c r="H70"/>
      <c r="I70"/>
      <c r="J70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9"/>
      <c r="C71" s="39" t="s">
        <v>410</v>
      </c>
      <c r="D71" s="46" t="s">
        <v>283</v>
      </c>
      <c r="E71" s="46" t="s">
        <v>1</v>
      </c>
      <c r="F71" s="46" t="s">
        <v>139</v>
      </c>
      <c r="G71" s="12"/>
      <c r="H71"/>
      <c r="I71"/>
      <c r="J71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9"/>
      <c r="C72" s="39" t="s">
        <v>1194</v>
      </c>
      <c r="D72" s="46" t="s">
        <v>1195</v>
      </c>
      <c r="E72" s="46" t="s">
        <v>0</v>
      </c>
      <c r="F72" s="46" t="s">
        <v>139</v>
      </c>
      <c r="G72" s="12"/>
      <c r="H72"/>
      <c r="I72"/>
      <c r="J72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9"/>
      <c r="C73" s="39"/>
      <c r="D73"/>
      <c r="E73" s="46" t="s">
        <v>1</v>
      </c>
      <c r="F73" s="46" t="s">
        <v>139</v>
      </c>
      <c r="G73" s="12"/>
      <c r="H73"/>
      <c r="I73"/>
      <c r="J7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9"/>
      <c r="C74" s="39" t="s">
        <v>1201</v>
      </c>
      <c r="D74" s="46" t="s">
        <v>1195</v>
      </c>
      <c r="E74" s="46" t="s">
        <v>0</v>
      </c>
      <c r="F74" s="46" t="s">
        <v>46</v>
      </c>
      <c r="G74" s="12"/>
      <c r="H74"/>
      <c r="I74"/>
      <c r="J74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9"/>
      <c r="C75" s="39" t="s">
        <v>1203</v>
      </c>
      <c r="D75" s="46" t="s">
        <v>1195</v>
      </c>
      <c r="E75" s="46" t="s">
        <v>0</v>
      </c>
      <c r="F75" s="46" t="s">
        <v>139</v>
      </c>
      <c r="G75" s="12"/>
      <c r="H75"/>
      <c r="I75"/>
      <c r="J75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9"/>
      <c r="C76" s="39" t="s">
        <v>1205</v>
      </c>
      <c r="D76" s="46" t="s">
        <v>1195</v>
      </c>
      <c r="E76" s="46" t="s">
        <v>0</v>
      </c>
      <c r="F76" s="46" t="s">
        <v>139</v>
      </c>
      <c r="G76" s="12"/>
      <c r="H76"/>
      <c r="I76"/>
      <c r="J76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9"/>
      <c r="C77" s="39" t="s">
        <v>1207</v>
      </c>
      <c r="D77" s="46" t="s">
        <v>1207</v>
      </c>
      <c r="E77" s="46" t="s">
        <v>2</v>
      </c>
      <c r="F77" s="46" t="s">
        <v>46</v>
      </c>
      <c r="G77" s="12"/>
      <c r="H77"/>
      <c r="I77"/>
      <c r="J77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9" t="s">
        <v>724</v>
      </c>
      <c r="C78" s="39" t="s">
        <v>212</v>
      </c>
      <c r="D78" s="46" t="s">
        <v>395</v>
      </c>
      <c r="E78" s="46" t="s">
        <v>0</v>
      </c>
      <c r="F78" s="46" t="s">
        <v>139</v>
      </c>
      <c r="G78" s="12"/>
      <c r="H78"/>
      <c r="I78"/>
      <c r="J78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9"/>
      <c r="C79" s="39" t="s">
        <v>247</v>
      </c>
      <c r="D79" s="46" t="s">
        <v>395</v>
      </c>
      <c r="E79" s="46" t="s">
        <v>0</v>
      </c>
      <c r="F79" s="46" t="s">
        <v>139</v>
      </c>
      <c r="G79" s="12">
        <v>15000</v>
      </c>
      <c r="H79"/>
      <c r="I79"/>
      <c r="J79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9"/>
      <c r="C80" s="39" t="s">
        <v>249</v>
      </c>
      <c r="D80" s="46" t="s">
        <v>395</v>
      </c>
      <c r="E80" s="46" t="s">
        <v>0</v>
      </c>
      <c r="F80" s="46" t="s">
        <v>139</v>
      </c>
      <c r="G80" s="12">
        <v>1500</v>
      </c>
      <c r="H80"/>
      <c r="I80"/>
      <c r="J80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82" x14ac:dyDescent="0.25">
      <c r="B81" s="39"/>
      <c r="C81" s="39" t="s">
        <v>1170</v>
      </c>
      <c r="D81" s="46" t="s">
        <v>329</v>
      </c>
      <c r="E81" s="46" t="s">
        <v>0</v>
      </c>
      <c r="F81" s="46" t="s">
        <v>46</v>
      </c>
      <c r="G81" s="12">
        <v>24</v>
      </c>
      <c r="H81"/>
      <c r="I81"/>
      <c r="J81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82" x14ac:dyDescent="0.25">
      <c r="B82" s="39"/>
      <c r="C82" s="39" t="s">
        <v>1172</v>
      </c>
      <c r="D82" s="46" t="s">
        <v>382</v>
      </c>
      <c r="E82" s="46" t="s">
        <v>2</v>
      </c>
      <c r="F82" s="46" t="s">
        <v>139</v>
      </c>
      <c r="G82" s="12"/>
      <c r="H82"/>
      <c r="I82"/>
      <c r="J82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82" x14ac:dyDescent="0.25">
      <c r="B83" s="39"/>
      <c r="C83" s="39" t="s">
        <v>1175</v>
      </c>
      <c r="D83" s="46" t="s">
        <v>382</v>
      </c>
      <c r="E83" s="46" t="s">
        <v>0</v>
      </c>
      <c r="F83" s="46" t="s">
        <v>46</v>
      </c>
      <c r="G83" s="12"/>
      <c r="H83"/>
      <c r="I83"/>
      <c r="J8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82" x14ac:dyDescent="0.25">
      <c r="B84" s="39"/>
      <c r="C84" s="39" t="s">
        <v>435</v>
      </c>
      <c r="D84" s="46" t="s">
        <v>382</v>
      </c>
      <c r="E84" s="46" t="s">
        <v>0</v>
      </c>
      <c r="F84" s="46" t="s">
        <v>46</v>
      </c>
      <c r="G84" s="12"/>
      <c r="H84"/>
      <c r="I84"/>
      <c r="J84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82" x14ac:dyDescent="0.25">
      <c r="B85" s="39"/>
      <c r="C85" s="39" t="s">
        <v>437</v>
      </c>
      <c r="D85" s="46" t="s">
        <v>382</v>
      </c>
      <c r="E85" s="46" t="s">
        <v>0</v>
      </c>
      <c r="F85" s="46" t="s">
        <v>139</v>
      </c>
      <c r="G85" s="12"/>
      <c r="H85"/>
      <c r="I85"/>
      <c r="J85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82" x14ac:dyDescent="0.25">
      <c r="B86" s="39"/>
      <c r="C86" s="39" t="s">
        <v>439</v>
      </c>
      <c r="D86" s="46" t="s">
        <v>382</v>
      </c>
      <c r="E86" s="46" t="s">
        <v>2</v>
      </c>
      <c r="F86" s="46" t="s">
        <v>139</v>
      </c>
      <c r="G86" s="12"/>
      <c r="H86"/>
      <c r="I86"/>
      <c r="J86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82" x14ac:dyDescent="0.25">
      <c r="B87" s="39"/>
      <c r="C87" s="39" t="s">
        <v>1194</v>
      </c>
      <c r="D87" s="46" t="s">
        <v>1195</v>
      </c>
      <c r="E87" s="46" t="s">
        <v>0</v>
      </c>
      <c r="F87" s="46" t="s">
        <v>139</v>
      </c>
      <c r="G87" s="12"/>
      <c r="H87"/>
      <c r="I87"/>
      <c r="J87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82" x14ac:dyDescent="0.25">
      <c r="B88" s="39"/>
      <c r="C88" s="39" t="s">
        <v>1199</v>
      </c>
      <c r="D88" s="46" t="s">
        <v>1195</v>
      </c>
      <c r="E88" s="46" t="s">
        <v>0</v>
      </c>
      <c r="F88" s="46" t="s">
        <v>46</v>
      </c>
      <c r="G88" s="12"/>
      <c r="H88"/>
      <c r="I88"/>
      <c r="J88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82" x14ac:dyDescent="0.25">
      <c r="B89" s="39"/>
      <c r="C89" s="39" t="s">
        <v>1201</v>
      </c>
      <c r="D89" s="46" t="s">
        <v>1195</v>
      </c>
      <c r="E89" s="46" t="s">
        <v>0</v>
      </c>
      <c r="F89" s="46" t="s">
        <v>46</v>
      </c>
      <c r="G89" s="12"/>
      <c r="H89"/>
      <c r="I89"/>
      <c r="J89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82" x14ac:dyDescent="0.25">
      <c r="B90" s="39"/>
      <c r="C90" s="39" t="s">
        <v>1205</v>
      </c>
      <c r="D90" s="46" t="s">
        <v>1195</v>
      </c>
      <c r="E90" s="46" t="s">
        <v>0</v>
      </c>
      <c r="F90" s="46" t="s">
        <v>139</v>
      </c>
      <c r="G90" s="12"/>
      <c r="H90"/>
      <c r="I90"/>
      <c r="J90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82" x14ac:dyDescent="0.25">
      <c r="B91" s="39"/>
      <c r="C91" s="39" t="s">
        <v>1207</v>
      </c>
      <c r="D91" s="46" t="s">
        <v>1207</v>
      </c>
      <c r="E91" s="46" t="s">
        <v>2</v>
      </c>
      <c r="F91" s="46" t="s">
        <v>46</v>
      </c>
      <c r="G91" s="12"/>
      <c r="H91"/>
      <c r="I91"/>
      <c r="J91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82" x14ac:dyDescent="0.25">
      <c r="B92" s="39" t="s">
        <v>5</v>
      </c>
      <c r="C92" s="39" t="s">
        <v>212</v>
      </c>
      <c r="D92" s="46" t="s">
        <v>395</v>
      </c>
      <c r="E92" s="46" t="s">
        <v>0</v>
      </c>
      <c r="F92" s="46" t="s">
        <v>139</v>
      </c>
      <c r="G92" s="12"/>
      <c r="H92"/>
      <c r="I92"/>
      <c r="J92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82" x14ac:dyDescent="0.25">
      <c r="B93" s="39"/>
      <c r="C93" s="39" t="s">
        <v>247</v>
      </c>
      <c r="D93" s="46" t="s">
        <v>395</v>
      </c>
      <c r="E93" s="46" t="s">
        <v>0</v>
      </c>
      <c r="F93" s="46" t="s">
        <v>139</v>
      </c>
      <c r="G93" s="12"/>
      <c r="H93"/>
      <c r="I93"/>
      <c r="J9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</row>
    <row r="94" spans="2:82" x14ac:dyDescent="0.25">
      <c r="B94" s="39"/>
      <c r="C94" s="39" t="s">
        <v>249</v>
      </c>
      <c r="D94" s="46" t="s">
        <v>395</v>
      </c>
      <c r="E94" s="46" t="s">
        <v>0</v>
      </c>
      <c r="F94" s="46" t="s">
        <v>139</v>
      </c>
      <c r="G94" s="12"/>
      <c r="H94"/>
      <c r="I94"/>
      <c r="J94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</row>
    <row r="95" spans="2:82" x14ac:dyDescent="0.25">
      <c r="B95" s="39"/>
      <c r="C95" s="39" t="s">
        <v>732</v>
      </c>
      <c r="D95" s="46" t="s">
        <v>269</v>
      </c>
      <c r="E95" s="46" t="s">
        <v>1</v>
      </c>
      <c r="F95" s="46" t="s">
        <v>139</v>
      </c>
      <c r="G95" s="12">
        <v>8</v>
      </c>
      <c r="H95"/>
      <c r="I95"/>
      <c r="J95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</row>
    <row r="96" spans="2:82" x14ac:dyDescent="0.25">
      <c r="B96" s="39"/>
      <c r="C96" s="39" t="s">
        <v>733</v>
      </c>
      <c r="D96" s="46" t="s">
        <v>269</v>
      </c>
      <c r="E96" s="46" t="s">
        <v>1</v>
      </c>
      <c r="F96" s="46" t="s">
        <v>139</v>
      </c>
      <c r="G96" s="12">
        <v>2</v>
      </c>
      <c r="H96"/>
      <c r="I96"/>
      <c r="J96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</row>
    <row r="97" spans="2:82" x14ac:dyDescent="0.25">
      <c r="B97" s="39"/>
      <c r="C97" s="39" t="s">
        <v>736</v>
      </c>
      <c r="D97" s="46" t="s">
        <v>269</v>
      </c>
      <c r="E97" s="46" t="s">
        <v>1</v>
      </c>
      <c r="F97" s="46" t="s">
        <v>139</v>
      </c>
      <c r="G97" s="12">
        <v>22</v>
      </c>
      <c r="H97"/>
      <c r="I97"/>
      <c r="J97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</row>
    <row r="98" spans="2:82" x14ac:dyDescent="0.25">
      <c r="B98" s="39"/>
      <c r="C98" s="39" t="s">
        <v>278</v>
      </c>
      <c r="D98" s="46" t="s">
        <v>269</v>
      </c>
      <c r="E98" s="46" t="s">
        <v>1</v>
      </c>
      <c r="F98" s="46" t="s">
        <v>139</v>
      </c>
      <c r="G98" s="12">
        <v>11</v>
      </c>
      <c r="H98"/>
      <c r="I98"/>
      <c r="J98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</row>
    <row r="99" spans="2:82" x14ac:dyDescent="0.25">
      <c r="B99" s="39"/>
      <c r="C99" s="39" t="s">
        <v>739</v>
      </c>
      <c r="D99" s="46" t="s">
        <v>269</v>
      </c>
      <c r="E99" s="46" t="s">
        <v>1</v>
      </c>
      <c r="F99" s="46" t="s">
        <v>139</v>
      </c>
      <c r="G99" s="12">
        <v>4</v>
      </c>
      <c r="H99"/>
      <c r="I99"/>
      <c r="J99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</row>
    <row r="100" spans="2:82" x14ac:dyDescent="0.25">
      <c r="B100" s="39"/>
      <c r="C100" s="39" t="s">
        <v>741</v>
      </c>
      <c r="D100" s="46" t="s">
        <v>269</v>
      </c>
      <c r="E100" s="46" t="s">
        <v>1</v>
      </c>
      <c r="F100" s="46" t="s">
        <v>139</v>
      </c>
      <c r="G100" s="12">
        <v>25</v>
      </c>
      <c r="H100"/>
      <c r="I100"/>
      <c r="J100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</row>
    <row r="101" spans="2:82" x14ac:dyDescent="0.25">
      <c r="B101" s="39"/>
      <c r="C101" s="39" t="s">
        <v>298</v>
      </c>
      <c r="D101" s="46" t="s">
        <v>269</v>
      </c>
      <c r="E101" s="46" t="s">
        <v>1</v>
      </c>
      <c r="F101" s="46" t="s">
        <v>139</v>
      </c>
      <c r="G101" s="12">
        <v>1</v>
      </c>
      <c r="H101"/>
      <c r="I101"/>
      <c r="J101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</row>
    <row r="102" spans="2:82" x14ac:dyDescent="0.25">
      <c r="B102" s="39"/>
      <c r="C102" s="39" t="s">
        <v>346</v>
      </c>
      <c r="D102" s="46" t="s">
        <v>346</v>
      </c>
      <c r="E102" s="46" t="s">
        <v>1</v>
      </c>
      <c r="F102" s="46" t="s">
        <v>46</v>
      </c>
      <c r="G102" s="12"/>
      <c r="H102"/>
      <c r="I102"/>
      <c r="J102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</row>
    <row r="103" spans="2:82" x14ac:dyDescent="0.25">
      <c r="B103" s="39"/>
      <c r="C103" s="39" t="s">
        <v>407</v>
      </c>
      <c r="D103" s="46" t="s">
        <v>408</v>
      </c>
      <c r="E103" s="46" t="s">
        <v>1</v>
      </c>
      <c r="F103" s="46" t="s">
        <v>139</v>
      </c>
      <c r="G103" s="12"/>
      <c r="H103"/>
      <c r="I103"/>
      <c r="J10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</row>
    <row r="104" spans="2:82" x14ac:dyDescent="0.25">
      <c r="B104" s="39"/>
      <c r="C104" s="39" t="s">
        <v>412</v>
      </c>
      <c r="D104" s="46" t="s">
        <v>413</v>
      </c>
      <c r="E104" s="46" t="s">
        <v>1</v>
      </c>
      <c r="F104" s="46" t="s">
        <v>46</v>
      </c>
      <c r="G104" s="12"/>
      <c r="H104"/>
      <c r="I104"/>
      <c r="J104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</row>
    <row r="105" spans="2:82" x14ac:dyDescent="0.25">
      <c r="B105" s="39"/>
      <c r="C105" s="39" t="s">
        <v>1170</v>
      </c>
      <c r="D105" s="46" t="s">
        <v>329</v>
      </c>
      <c r="E105" s="46" t="s">
        <v>0</v>
      </c>
      <c r="F105" s="46" t="s">
        <v>46</v>
      </c>
      <c r="G105" s="12"/>
      <c r="H105"/>
      <c r="I105"/>
      <c r="J105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</row>
    <row r="106" spans="2:82" x14ac:dyDescent="0.25">
      <c r="B106" s="39"/>
      <c r="C106" s="39" t="s">
        <v>1172</v>
      </c>
      <c r="D106" s="46" t="s">
        <v>382</v>
      </c>
      <c r="E106" s="46" t="s">
        <v>2</v>
      </c>
      <c r="F106" s="46" t="s">
        <v>139</v>
      </c>
      <c r="G106" s="12"/>
      <c r="H106"/>
      <c r="I106"/>
      <c r="J106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</row>
    <row r="107" spans="2:82" x14ac:dyDescent="0.25">
      <c r="B107" s="39"/>
      <c r="C107" s="39" t="s">
        <v>1174</v>
      </c>
      <c r="D107" s="46" t="s">
        <v>382</v>
      </c>
      <c r="E107" s="46" t="s">
        <v>2</v>
      </c>
      <c r="F107" s="46" t="s">
        <v>139</v>
      </c>
      <c r="G107" s="12"/>
      <c r="H107"/>
      <c r="I107"/>
      <c r="J107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</row>
    <row r="108" spans="2:82" x14ac:dyDescent="0.25">
      <c r="B108" s="39"/>
      <c r="C108" s="39" t="s">
        <v>1175</v>
      </c>
      <c r="D108" s="46" t="s">
        <v>382</v>
      </c>
      <c r="E108" s="46" t="s">
        <v>0</v>
      </c>
      <c r="F108" s="46" t="s">
        <v>46</v>
      </c>
      <c r="G108" s="12"/>
      <c r="H108"/>
      <c r="I108"/>
      <c r="J108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</row>
    <row r="109" spans="2:82" x14ac:dyDescent="0.25">
      <c r="B109" s="39"/>
      <c r="C109" s="39" t="s">
        <v>435</v>
      </c>
      <c r="D109" s="46" t="s">
        <v>382</v>
      </c>
      <c r="E109" s="46" t="s">
        <v>0</v>
      </c>
      <c r="F109" s="46" t="s">
        <v>46</v>
      </c>
      <c r="G109" s="12"/>
      <c r="H109"/>
      <c r="I109"/>
      <c r="J109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</row>
    <row r="110" spans="2:82" x14ac:dyDescent="0.25">
      <c r="B110" s="39"/>
      <c r="C110" s="39" t="s">
        <v>437</v>
      </c>
      <c r="D110" s="46" t="s">
        <v>382</v>
      </c>
      <c r="E110" s="46" t="s">
        <v>0</v>
      </c>
      <c r="F110" s="46" t="s">
        <v>139</v>
      </c>
      <c r="G110" s="12"/>
      <c r="H110"/>
      <c r="I110"/>
      <c r="J110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</row>
    <row r="111" spans="2:82" x14ac:dyDescent="0.25">
      <c r="B111" s="39"/>
      <c r="C111" s="39" t="s">
        <v>439</v>
      </c>
      <c r="D111" s="46" t="s">
        <v>382</v>
      </c>
      <c r="E111" s="46" t="s">
        <v>2</v>
      </c>
      <c r="F111" s="46" t="s">
        <v>139</v>
      </c>
      <c r="G111" s="12"/>
      <c r="H111"/>
      <c r="I111"/>
      <c r="J111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</row>
    <row r="112" spans="2:82" x14ac:dyDescent="0.25">
      <c r="B112" s="39"/>
      <c r="C112" s="39" t="s">
        <v>1176</v>
      </c>
      <c r="D112" s="46" t="s">
        <v>383</v>
      </c>
      <c r="E112" s="46" t="s">
        <v>1</v>
      </c>
      <c r="F112" s="46" t="s">
        <v>139</v>
      </c>
      <c r="G112" s="12"/>
      <c r="H112"/>
      <c r="I112"/>
      <c r="J112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</row>
    <row r="113" spans="2:82" x14ac:dyDescent="0.25">
      <c r="B113" s="39"/>
      <c r="C113" s="39" t="s">
        <v>321</v>
      </c>
      <c r="D113" s="46" t="s">
        <v>348</v>
      </c>
      <c r="E113" s="46" t="s">
        <v>1</v>
      </c>
      <c r="F113" s="46" t="s">
        <v>46</v>
      </c>
      <c r="G113" s="12"/>
      <c r="H113"/>
      <c r="I113"/>
      <c r="J11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</row>
    <row r="114" spans="2:82" x14ac:dyDescent="0.25">
      <c r="B114" s="39"/>
      <c r="C114" s="39" t="s">
        <v>742</v>
      </c>
      <c r="D114" s="46" t="s">
        <v>390</v>
      </c>
      <c r="E114" s="46" t="s">
        <v>0</v>
      </c>
      <c r="F114" s="46" t="s">
        <v>46</v>
      </c>
      <c r="G114" s="12"/>
      <c r="H114"/>
      <c r="I114"/>
      <c r="J114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</row>
    <row r="115" spans="2:82" x14ac:dyDescent="0.25">
      <c r="B115" s="39"/>
      <c r="C115" s="39" t="s">
        <v>743</v>
      </c>
      <c r="D115" s="46" t="s">
        <v>390</v>
      </c>
      <c r="E115" s="46" t="s">
        <v>0</v>
      </c>
      <c r="F115" s="46" t="s">
        <v>46</v>
      </c>
      <c r="G115" s="12"/>
      <c r="H115"/>
      <c r="I115"/>
      <c r="J115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</row>
    <row r="116" spans="2:82" x14ac:dyDescent="0.25">
      <c r="B116" s="39"/>
      <c r="C116" s="39" t="s">
        <v>753</v>
      </c>
      <c r="D116" s="46" t="s">
        <v>390</v>
      </c>
      <c r="E116" s="46" t="s">
        <v>0</v>
      </c>
      <c r="F116" s="46" t="s">
        <v>46</v>
      </c>
      <c r="G116" s="12"/>
      <c r="H116"/>
      <c r="I116"/>
      <c r="J116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</row>
    <row r="117" spans="2:82" x14ac:dyDescent="0.25">
      <c r="B117" s="39"/>
      <c r="C117" s="39" t="s">
        <v>754</v>
      </c>
      <c r="D117" s="46" t="s">
        <v>390</v>
      </c>
      <c r="E117" s="46" t="s">
        <v>0</v>
      </c>
      <c r="F117" s="46" t="s">
        <v>46</v>
      </c>
      <c r="G117" s="12"/>
      <c r="H117"/>
      <c r="I117"/>
      <c r="J117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</row>
    <row r="118" spans="2:82" x14ac:dyDescent="0.25">
      <c r="B118" s="39"/>
      <c r="C118" s="39" t="s">
        <v>1194</v>
      </c>
      <c r="D118" s="46" t="s">
        <v>1195</v>
      </c>
      <c r="E118" s="46" t="s">
        <v>1</v>
      </c>
      <c r="F118" s="46" t="s">
        <v>139</v>
      </c>
      <c r="G118" s="12"/>
      <c r="H118"/>
      <c r="I118"/>
      <c r="J118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</row>
    <row r="119" spans="2:82" x14ac:dyDescent="0.25">
      <c r="B119" s="39"/>
      <c r="C119" s="39" t="s">
        <v>1199</v>
      </c>
      <c r="D119" s="46" t="s">
        <v>1195</v>
      </c>
      <c r="E119" s="46" t="s">
        <v>0</v>
      </c>
      <c r="F119" s="46" t="s">
        <v>46</v>
      </c>
      <c r="G119" s="12"/>
      <c r="H119"/>
      <c r="I119"/>
      <c r="J119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</row>
    <row r="120" spans="2:82" x14ac:dyDescent="0.25">
      <c r="B120" s="39"/>
      <c r="C120" s="39" t="s">
        <v>1201</v>
      </c>
      <c r="D120" s="46" t="s">
        <v>1195</v>
      </c>
      <c r="E120" s="46" t="s">
        <v>0</v>
      </c>
      <c r="F120" s="46" t="s">
        <v>46</v>
      </c>
      <c r="G120" s="12"/>
      <c r="H120"/>
      <c r="I120"/>
      <c r="J120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</row>
    <row r="121" spans="2:82" x14ac:dyDescent="0.25">
      <c r="B121" s="39"/>
      <c r="C121" s="39" t="s">
        <v>1205</v>
      </c>
      <c r="D121" s="46" t="s">
        <v>1195</v>
      </c>
      <c r="E121" s="46" t="s">
        <v>0</v>
      </c>
      <c r="F121" s="46" t="s">
        <v>139</v>
      </c>
      <c r="G121" s="12"/>
      <c r="H121"/>
      <c r="I121"/>
      <c r="J121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</row>
    <row r="122" spans="2:82" x14ac:dyDescent="0.25">
      <c r="B122" s="39"/>
      <c r="C122" s="39" t="s">
        <v>1207</v>
      </c>
      <c r="D122" s="46" t="s">
        <v>1207</v>
      </c>
      <c r="E122" s="46" t="s">
        <v>2</v>
      </c>
      <c r="F122" s="46" t="s">
        <v>46</v>
      </c>
      <c r="G122" s="12"/>
      <c r="H122"/>
      <c r="I122"/>
      <c r="J122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</row>
    <row r="123" spans="2:82" x14ac:dyDescent="0.25">
      <c r="B123" s="39" t="s">
        <v>6</v>
      </c>
      <c r="C123" s="39" t="s">
        <v>212</v>
      </c>
      <c r="D123" s="46" t="s">
        <v>395</v>
      </c>
      <c r="E123" s="46" t="s">
        <v>0</v>
      </c>
      <c r="F123" s="46" t="s">
        <v>139</v>
      </c>
      <c r="G123" s="12"/>
      <c r="H123"/>
      <c r="I123"/>
      <c r="J12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</row>
    <row r="124" spans="2:82" x14ac:dyDescent="0.25">
      <c r="B124" s="39"/>
      <c r="C124" s="39" t="s">
        <v>247</v>
      </c>
      <c r="D124" s="46" t="s">
        <v>395</v>
      </c>
      <c r="E124" s="46" t="s">
        <v>0</v>
      </c>
      <c r="F124" s="46" t="s">
        <v>139</v>
      </c>
      <c r="G124" s="12"/>
      <c r="H124"/>
      <c r="I124"/>
      <c r="J124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</row>
    <row r="125" spans="2:82" x14ac:dyDescent="0.25">
      <c r="B125" s="39"/>
      <c r="C125" s="39" t="s">
        <v>249</v>
      </c>
      <c r="D125" s="46" t="s">
        <v>395</v>
      </c>
      <c r="E125" s="46" t="s">
        <v>0</v>
      </c>
      <c r="F125" s="46" t="s">
        <v>139</v>
      </c>
      <c r="G125" s="12"/>
      <c r="H125"/>
      <c r="I125"/>
      <c r="J125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</row>
    <row r="126" spans="2:82" x14ac:dyDescent="0.25">
      <c r="B126" s="39"/>
      <c r="C126" s="39" t="s">
        <v>732</v>
      </c>
      <c r="D126" s="46" t="s">
        <v>269</v>
      </c>
      <c r="E126" s="46" t="s">
        <v>1</v>
      </c>
      <c r="F126" s="46" t="s">
        <v>139</v>
      </c>
      <c r="G126" s="12">
        <v>34</v>
      </c>
      <c r="H126"/>
      <c r="I126"/>
      <c r="J126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</row>
    <row r="127" spans="2:82" x14ac:dyDescent="0.25">
      <c r="B127" s="39"/>
      <c r="C127" s="39" t="s">
        <v>733</v>
      </c>
      <c r="D127" s="46" t="s">
        <v>269</v>
      </c>
      <c r="E127" s="46" t="s">
        <v>1</v>
      </c>
      <c r="F127" s="46" t="s">
        <v>139</v>
      </c>
      <c r="G127" s="12">
        <v>20</v>
      </c>
      <c r="H127"/>
      <c r="I127"/>
      <c r="J127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</row>
    <row r="128" spans="2:82" x14ac:dyDescent="0.25">
      <c r="B128" s="39"/>
      <c r="C128" s="39" t="s">
        <v>735</v>
      </c>
      <c r="D128" s="46" t="s">
        <v>269</v>
      </c>
      <c r="E128" s="46" t="s">
        <v>1</v>
      </c>
      <c r="F128" s="46" t="s">
        <v>139</v>
      </c>
      <c r="G128" s="12">
        <v>1</v>
      </c>
      <c r="H128"/>
      <c r="I128"/>
      <c r="J128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</row>
    <row r="129" spans="2:82" x14ac:dyDescent="0.25">
      <c r="B129" s="39"/>
      <c r="C129" s="39" t="s">
        <v>736</v>
      </c>
      <c r="D129" s="46" t="s">
        <v>269</v>
      </c>
      <c r="E129" s="46" t="s">
        <v>1</v>
      </c>
      <c r="F129" s="46" t="s">
        <v>139</v>
      </c>
      <c r="G129" s="12">
        <v>20</v>
      </c>
      <c r="H129"/>
      <c r="I129"/>
      <c r="J129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</row>
    <row r="130" spans="2:82" x14ac:dyDescent="0.25">
      <c r="B130" s="39"/>
      <c r="C130" s="39" t="s">
        <v>737</v>
      </c>
      <c r="D130" s="46" t="s">
        <v>269</v>
      </c>
      <c r="E130" s="46" t="s">
        <v>1</v>
      </c>
      <c r="F130" s="46" t="s">
        <v>139</v>
      </c>
      <c r="G130" s="12">
        <v>2</v>
      </c>
      <c r="H130"/>
      <c r="I130"/>
      <c r="J130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</row>
    <row r="131" spans="2:82" x14ac:dyDescent="0.25">
      <c r="B131" s="39"/>
      <c r="C131" s="39" t="s">
        <v>278</v>
      </c>
      <c r="D131" s="46" t="s">
        <v>269</v>
      </c>
      <c r="E131" s="46" t="s">
        <v>1</v>
      </c>
      <c r="F131" s="46" t="s">
        <v>139</v>
      </c>
      <c r="G131" s="12">
        <v>35</v>
      </c>
      <c r="H131"/>
      <c r="I131"/>
      <c r="J131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</row>
    <row r="132" spans="2:82" x14ac:dyDescent="0.25">
      <c r="B132" s="39"/>
      <c r="C132" s="39" t="s">
        <v>738</v>
      </c>
      <c r="D132" s="46" t="s">
        <v>269</v>
      </c>
      <c r="E132" s="46" t="s">
        <v>1</v>
      </c>
      <c r="F132" s="46" t="s">
        <v>139</v>
      </c>
      <c r="G132" s="12">
        <v>2</v>
      </c>
      <c r="H132"/>
      <c r="I132"/>
      <c r="J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</row>
    <row r="133" spans="2:82" x14ac:dyDescent="0.25">
      <c r="B133" s="39"/>
      <c r="C133" s="39" t="s">
        <v>739</v>
      </c>
      <c r="D133" s="46" t="s">
        <v>269</v>
      </c>
      <c r="E133" s="46" t="s">
        <v>1</v>
      </c>
      <c r="F133" s="46" t="s">
        <v>139</v>
      </c>
      <c r="G133" s="12">
        <v>8</v>
      </c>
      <c r="H133"/>
      <c r="I133"/>
      <c r="J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</row>
    <row r="134" spans="2:82" x14ac:dyDescent="0.25">
      <c r="B134" s="39"/>
      <c r="C134" s="39" t="s">
        <v>300</v>
      </c>
      <c r="D134" s="46" t="s">
        <v>269</v>
      </c>
      <c r="E134" s="46" t="s">
        <v>1</v>
      </c>
      <c r="F134" s="46" t="s">
        <v>139</v>
      </c>
      <c r="G134" s="12">
        <v>1</v>
      </c>
      <c r="H134"/>
      <c r="I134"/>
      <c r="J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</row>
    <row r="135" spans="2:82" x14ac:dyDescent="0.25">
      <c r="B135" s="39"/>
      <c r="C135" s="39" t="s">
        <v>346</v>
      </c>
      <c r="D135" s="46" t="s">
        <v>346</v>
      </c>
      <c r="E135" s="46" t="s">
        <v>1</v>
      </c>
      <c r="F135" s="46" t="s">
        <v>46</v>
      </c>
      <c r="G135" s="12"/>
      <c r="H135"/>
      <c r="I135"/>
      <c r="J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</row>
    <row r="136" spans="2:82" x14ac:dyDescent="0.25">
      <c r="B136" s="39"/>
      <c r="C136" s="39" t="s">
        <v>412</v>
      </c>
      <c r="D136" s="46" t="s">
        <v>413</v>
      </c>
      <c r="E136" s="46" t="s">
        <v>1</v>
      </c>
      <c r="F136" s="46" t="s">
        <v>46</v>
      </c>
      <c r="G136" s="12"/>
      <c r="H136"/>
      <c r="I136"/>
      <c r="J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</row>
    <row r="137" spans="2:82" x14ac:dyDescent="0.25">
      <c r="B137" s="39"/>
      <c r="C137" s="39" t="s">
        <v>1170</v>
      </c>
      <c r="D137" s="46" t="s">
        <v>329</v>
      </c>
      <c r="E137" s="46" t="s">
        <v>0</v>
      </c>
      <c r="F137" s="46" t="s">
        <v>46</v>
      </c>
      <c r="G137" s="12"/>
      <c r="H137"/>
      <c r="I137"/>
      <c r="J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</row>
    <row r="138" spans="2:82" x14ac:dyDescent="0.25">
      <c r="B138" s="39"/>
      <c r="C138" s="39" t="s">
        <v>1172</v>
      </c>
      <c r="D138" s="46" t="s">
        <v>382</v>
      </c>
      <c r="E138" s="46" t="s">
        <v>2</v>
      </c>
      <c r="F138" s="46" t="s">
        <v>139</v>
      </c>
      <c r="G138" s="12"/>
      <c r="H138"/>
      <c r="I138"/>
      <c r="J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</row>
    <row r="139" spans="2:82" x14ac:dyDescent="0.25">
      <c r="B139" s="39"/>
      <c r="C139" s="39" t="s">
        <v>1174</v>
      </c>
      <c r="D139" s="46" t="s">
        <v>382</v>
      </c>
      <c r="E139" s="46" t="s">
        <v>2</v>
      </c>
      <c r="F139" s="46" t="s">
        <v>139</v>
      </c>
      <c r="G139" s="12"/>
      <c r="H139"/>
      <c r="I139"/>
      <c r="J139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</row>
    <row r="140" spans="2:82" x14ac:dyDescent="0.25">
      <c r="B140" s="39"/>
      <c r="C140" s="39" t="s">
        <v>1175</v>
      </c>
      <c r="D140" s="46" t="s">
        <v>382</v>
      </c>
      <c r="E140" s="46" t="s">
        <v>0</v>
      </c>
      <c r="F140" s="46" t="s">
        <v>46</v>
      </c>
      <c r="G140" s="12"/>
      <c r="H140"/>
      <c r="I140"/>
      <c r="J140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</row>
    <row r="141" spans="2:82" x14ac:dyDescent="0.25">
      <c r="B141" s="39"/>
      <c r="C141" s="39" t="s">
        <v>435</v>
      </c>
      <c r="D141" s="46" t="s">
        <v>382</v>
      </c>
      <c r="E141" s="46" t="s">
        <v>0</v>
      </c>
      <c r="F141" s="46" t="s">
        <v>46</v>
      </c>
      <c r="G141" s="12"/>
      <c r="H141"/>
      <c r="I141"/>
      <c r="J141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</row>
    <row r="142" spans="2:82" x14ac:dyDescent="0.25">
      <c r="B142" s="39"/>
      <c r="C142" s="39" t="s">
        <v>437</v>
      </c>
      <c r="D142" s="46" t="s">
        <v>382</v>
      </c>
      <c r="E142" s="46" t="s">
        <v>0</v>
      </c>
      <c r="F142" s="46" t="s">
        <v>139</v>
      </c>
      <c r="G142" s="12"/>
      <c r="H142"/>
      <c r="I142"/>
      <c r="J142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</row>
    <row r="143" spans="2:82" x14ac:dyDescent="0.25">
      <c r="B143" s="39"/>
      <c r="C143" s="39" t="s">
        <v>439</v>
      </c>
      <c r="D143" s="46" t="s">
        <v>382</v>
      </c>
      <c r="E143" s="46" t="s">
        <v>2</v>
      </c>
      <c r="F143" s="46" t="s">
        <v>139</v>
      </c>
      <c r="G143" s="12"/>
      <c r="H143"/>
      <c r="I143"/>
      <c r="J14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</row>
    <row r="144" spans="2:82" x14ac:dyDescent="0.25">
      <c r="B144" s="39"/>
      <c r="C144" s="39" t="s">
        <v>1176</v>
      </c>
      <c r="D144" s="46" t="s">
        <v>383</v>
      </c>
      <c r="E144" s="46" t="s">
        <v>1</v>
      </c>
      <c r="F144" s="46" t="s">
        <v>139</v>
      </c>
      <c r="G144" s="12"/>
      <c r="H144"/>
      <c r="I144"/>
      <c r="J144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</row>
    <row r="145" spans="2:82" x14ac:dyDescent="0.25">
      <c r="B145" s="39"/>
      <c r="C145" s="39" t="s">
        <v>1178</v>
      </c>
      <c r="D145" s="46" t="s">
        <v>1178</v>
      </c>
      <c r="E145" s="46" t="s">
        <v>1</v>
      </c>
      <c r="F145" s="46" t="s">
        <v>139</v>
      </c>
      <c r="G145" s="12"/>
      <c r="H145"/>
      <c r="I145"/>
      <c r="J145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</row>
    <row r="146" spans="2:82" x14ac:dyDescent="0.25">
      <c r="B146" s="39"/>
      <c r="C146" s="39" t="s">
        <v>321</v>
      </c>
      <c r="D146" s="46" t="s">
        <v>348</v>
      </c>
      <c r="E146" s="46" t="s">
        <v>1</v>
      </c>
      <c r="F146" s="46" t="s">
        <v>46</v>
      </c>
      <c r="G146" s="12"/>
      <c r="H146"/>
      <c r="I146"/>
      <c r="J146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</row>
    <row r="147" spans="2:82" x14ac:dyDescent="0.25">
      <c r="B147" s="39"/>
      <c r="C147" s="39" t="s">
        <v>743</v>
      </c>
      <c r="D147" s="46" t="s">
        <v>390</v>
      </c>
      <c r="E147" s="46" t="s">
        <v>0</v>
      </c>
      <c r="F147" s="46" t="s">
        <v>46</v>
      </c>
      <c r="G147" s="12"/>
      <c r="H147"/>
      <c r="I147"/>
      <c r="J147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</row>
    <row r="148" spans="2:82" x14ac:dyDescent="0.25">
      <c r="B148" s="39"/>
      <c r="C148" s="39" t="s">
        <v>745</v>
      </c>
      <c r="D148" s="46" t="s">
        <v>390</v>
      </c>
      <c r="E148" s="46" t="s">
        <v>0</v>
      </c>
      <c r="F148" s="46" t="s">
        <v>46</v>
      </c>
      <c r="G148" s="12"/>
      <c r="H148"/>
      <c r="I148"/>
      <c r="J148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</row>
    <row r="149" spans="2:82" x14ac:dyDescent="0.25">
      <c r="B149" s="39"/>
      <c r="C149" s="39" t="s">
        <v>747</v>
      </c>
      <c r="D149" s="46" t="s">
        <v>390</v>
      </c>
      <c r="E149" s="46" t="s">
        <v>0</v>
      </c>
      <c r="F149" s="46" t="s">
        <v>46</v>
      </c>
      <c r="G149" s="12"/>
      <c r="H149"/>
      <c r="I149"/>
      <c r="J149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</row>
    <row r="150" spans="2:82" x14ac:dyDescent="0.25">
      <c r="B150" s="39"/>
      <c r="C150" s="39" t="s">
        <v>393</v>
      </c>
      <c r="D150" s="46" t="s">
        <v>390</v>
      </c>
      <c r="E150" s="46" t="s">
        <v>0</v>
      </c>
      <c r="F150" s="46" t="s">
        <v>46</v>
      </c>
      <c r="G150" s="12"/>
      <c r="H150"/>
      <c r="I150"/>
      <c r="J150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</row>
    <row r="151" spans="2:82" x14ac:dyDescent="0.25">
      <c r="B151" s="39"/>
      <c r="C151" s="39" t="s">
        <v>750</v>
      </c>
      <c r="D151" s="46" t="s">
        <v>390</v>
      </c>
      <c r="E151" s="46" t="s">
        <v>0</v>
      </c>
      <c r="F151" s="46" t="s">
        <v>46</v>
      </c>
      <c r="G151" s="12"/>
      <c r="H151"/>
      <c r="I151"/>
      <c r="J151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</row>
    <row r="152" spans="2:82" x14ac:dyDescent="0.25">
      <c r="B152" s="39"/>
      <c r="C152" s="39" t="s">
        <v>752</v>
      </c>
      <c r="D152" s="46" t="s">
        <v>390</v>
      </c>
      <c r="E152" s="46" t="s">
        <v>0</v>
      </c>
      <c r="F152" s="46" t="s">
        <v>46</v>
      </c>
      <c r="G152" s="12"/>
      <c r="H152"/>
      <c r="I152"/>
      <c r="J152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</row>
    <row r="153" spans="2:82" x14ac:dyDescent="0.25">
      <c r="B153" s="39"/>
      <c r="C153" s="39" t="s">
        <v>753</v>
      </c>
      <c r="D153" s="46" t="s">
        <v>390</v>
      </c>
      <c r="E153" s="46" t="s">
        <v>0</v>
      </c>
      <c r="F153" s="46" t="s">
        <v>46</v>
      </c>
      <c r="G153" s="12"/>
      <c r="H153"/>
      <c r="I153"/>
      <c r="J15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</row>
    <row r="154" spans="2:82" x14ac:dyDescent="0.25">
      <c r="B154" s="39"/>
      <c r="C154" s="39" t="s">
        <v>754</v>
      </c>
      <c r="D154" s="46" t="s">
        <v>390</v>
      </c>
      <c r="E154" s="46" t="s">
        <v>0</v>
      </c>
      <c r="F154" s="46" t="s">
        <v>46</v>
      </c>
      <c r="G154" s="12"/>
      <c r="H154"/>
      <c r="I154"/>
      <c r="J154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</row>
    <row r="155" spans="2:82" x14ac:dyDescent="0.25">
      <c r="B155" s="39"/>
      <c r="C155" s="39" t="s">
        <v>755</v>
      </c>
      <c r="D155" s="46" t="s">
        <v>390</v>
      </c>
      <c r="E155" s="46" t="s">
        <v>0</v>
      </c>
      <c r="F155" s="46" t="s">
        <v>46</v>
      </c>
      <c r="G155" s="12"/>
      <c r="H155"/>
      <c r="I155"/>
      <c r="J155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</row>
    <row r="156" spans="2:82" x14ac:dyDescent="0.25">
      <c r="B156" s="39"/>
      <c r="C156" s="39" t="s">
        <v>445</v>
      </c>
      <c r="D156" s="46" t="s">
        <v>201</v>
      </c>
      <c r="E156" s="46" t="s">
        <v>1</v>
      </c>
      <c r="F156" s="46" t="s">
        <v>139</v>
      </c>
      <c r="G156" s="12"/>
      <c r="H156"/>
      <c r="I156"/>
      <c r="J156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</row>
    <row r="157" spans="2:82" x14ac:dyDescent="0.25">
      <c r="B157" s="39"/>
      <c r="C157" s="39" t="s">
        <v>1190</v>
      </c>
      <c r="D157" s="46" t="s">
        <v>405</v>
      </c>
      <c r="E157" s="46" t="s">
        <v>1</v>
      </c>
      <c r="F157" s="46" t="s">
        <v>139</v>
      </c>
      <c r="G157" s="12"/>
      <c r="H157"/>
      <c r="I157"/>
      <c r="J157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</row>
    <row r="158" spans="2:82" x14ac:dyDescent="0.25">
      <c r="B158" s="39"/>
      <c r="C158" s="39" t="s">
        <v>448</v>
      </c>
      <c r="D158" s="46" t="s">
        <v>405</v>
      </c>
      <c r="E158" s="46" t="s">
        <v>1</v>
      </c>
      <c r="F158" s="46" t="s">
        <v>139</v>
      </c>
      <c r="G158" s="12"/>
      <c r="H158"/>
      <c r="I158"/>
      <c r="J158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</row>
    <row r="159" spans="2:82" x14ac:dyDescent="0.25">
      <c r="B159" s="39"/>
      <c r="C159" s="39" t="s">
        <v>1191</v>
      </c>
      <c r="D159" s="46" t="s">
        <v>405</v>
      </c>
      <c r="E159" s="46" t="s">
        <v>1</v>
      </c>
      <c r="F159" s="46" t="s">
        <v>139</v>
      </c>
      <c r="G159" s="12"/>
      <c r="H159"/>
      <c r="I159"/>
      <c r="J159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</row>
    <row r="160" spans="2:82" x14ac:dyDescent="0.25">
      <c r="B160" s="39"/>
      <c r="C160" s="39" t="s">
        <v>410</v>
      </c>
      <c r="D160" s="46" t="s">
        <v>283</v>
      </c>
      <c r="E160" s="46" t="s">
        <v>1</v>
      </c>
      <c r="F160" s="46" t="s">
        <v>139</v>
      </c>
      <c r="G160" s="12"/>
      <c r="H160"/>
      <c r="I160"/>
      <c r="J160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</row>
    <row r="161" spans="2:82" x14ac:dyDescent="0.25">
      <c r="B161" s="39"/>
      <c r="C161" s="39" t="s">
        <v>1194</v>
      </c>
      <c r="D161" s="46" t="s">
        <v>1195</v>
      </c>
      <c r="E161" s="46" t="s">
        <v>0</v>
      </c>
      <c r="F161" s="46" t="s">
        <v>139</v>
      </c>
      <c r="G161" s="12"/>
      <c r="H161"/>
      <c r="I161"/>
      <c r="J161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</row>
    <row r="162" spans="2:82" x14ac:dyDescent="0.25">
      <c r="B162" s="39"/>
      <c r="C162" s="39"/>
      <c r="D162"/>
      <c r="E162" s="46" t="s">
        <v>1</v>
      </c>
      <c r="F162" s="46" t="s">
        <v>139</v>
      </c>
      <c r="G162" s="12"/>
      <c r="H162"/>
      <c r="I162"/>
      <c r="J162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</row>
    <row r="163" spans="2:82" x14ac:dyDescent="0.25">
      <c r="B163" s="39"/>
      <c r="C163" s="39" t="s">
        <v>1199</v>
      </c>
      <c r="D163" s="46" t="s">
        <v>1195</v>
      </c>
      <c r="E163" s="46" t="s">
        <v>0</v>
      </c>
      <c r="F163" s="46" t="s">
        <v>46</v>
      </c>
      <c r="G163" s="12"/>
      <c r="H163"/>
      <c r="I163"/>
      <c r="J16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</row>
    <row r="164" spans="2:82" x14ac:dyDescent="0.25">
      <c r="B164" s="39"/>
      <c r="C164" s="39" t="s">
        <v>1201</v>
      </c>
      <c r="D164" s="46" t="s">
        <v>1195</v>
      </c>
      <c r="E164" s="46" t="s">
        <v>0</v>
      </c>
      <c r="F164" s="46" t="s">
        <v>46</v>
      </c>
      <c r="G164" s="12"/>
      <c r="H164"/>
      <c r="I164"/>
      <c r="J164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</row>
    <row r="165" spans="2:82" x14ac:dyDescent="0.25">
      <c r="B165" s="39"/>
      <c r="C165" s="39" t="s">
        <v>1203</v>
      </c>
      <c r="D165" s="46" t="s">
        <v>1195</v>
      </c>
      <c r="E165" s="46" t="s">
        <v>0</v>
      </c>
      <c r="F165" s="46" t="s">
        <v>139</v>
      </c>
      <c r="G165" s="12"/>
      <c r="H165"/>
      <c r="I165"/>
      <c r="J165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</row>
    <row r="166" spans="2:82" x14ac:dyDescent="0.25">
      <c r="B166" s="39"/>
      <c r="C166" s="39" t="s">
        <v>1205</v>
      </c>
      <c r="D166" s="46" t="s">
        <v>1195</v>
      </c>
      <c r="E166" s="46" t="s">
        <v>0</v>
      </c>
      <c r="F166" s="46" t="s">
        <v>139</v>
      </c>
      <c r="G166" s="12"/>
      <c r="H166"/>
      <c r="I166"/>
      <c r="J166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</row>
    <row r="167" spans="2:82" x14ac:dyDescent="0.25">
      <c r="B167" s="39"/>
      <c r="C167" s="39" t="s">
        <v>1207</v>
      </c>
      <c r="D167" s="46" t="s">
        <v>1207</v>
      </c>
      <c r="E167" s="46" t="s">
        <v>2</v>
      </c>
      <c r="F167" s="46" t="s">
        <v>46</v>
      </c>
      <c r="G167" s="12"/>
      <c r="H167"/>
      <c r="I167"/>
      <c r="J167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</row>
    <row r="168" spans="2:82" x14ac:dyDescent="0.25">
      <c r="B168" s="39"/>
      <c r="C168" s="39" t="s">
        <v>1197</v>
      </c>
      <c r="D168" s="46" t="s">
        <v>1195</v>
      </c>
      <c r="E168" s="46" t="s">
        <v>0</v>
      </c>
      <c r="F168" s="46" t="s">
        <v>46</v>
      </c>
      <c r="G168" s="12"/>
      <c r="H168"/>
      <c r="I168"/>
      <c r="J168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</row>
    <row r="169" spans="2:82" x14ac:dyDescent="0.25">
      <c r="B169" s="39" t="s">
        <v>7</v>
      </c>
      <c r="C169" s="39" t="s">
        <v>212</v>
      </c>
      <c r="D169" s="46" t="s">
        <v>395</v>
      </c>
      <c r="E169" s="46" t="s">
        <v>0</v>
      </c>
      <c r="F169" s="46" t="s">
        <v>139</v>
      </c>
      <c r="G169" s="12"/>
      <c r="H169"/>
      <c r="I169"/>
      <c r="J169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</row>
    <row r="170" spans="2:82" x14ac:dyDescent="0.25">
      <c r="B170" s="39"/>
      <c r="C170" s="39" t="s">
        <v>730</v>
      </c>
      <c r="D170" s="46" t="s">
        <v>269</v>
      </c>
      <c r="E170" s="46" t="s">
        <v>1</v>
      </c>
      <c r="F170" s="46" t="s">
        <v>139</v>
      </c>
      <c r="G170" s="12">
        <v>4</v>
      </c>
      <c r="H170"/>
      <c r="I170"/>
      <c r="J170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</row>
    <row r="171" spans="2:82" x14ac:dyDescent="0.25">
      <c r="B171" s="39"/>
      <c r="C171" s="39" t="s">
        <v>732</v>
      </c>
      <c r="D171" s="46" t="s">
        <v>269</v>
      </c>
      <c r="E171" s="46" t="s">
        <v>1</v>
      </c>
      <c r="F171" s="46" t="s">
        <v>139</v>
      </c>
      <c r="G171" s="12">
        <v>14</v>
      </c>
      <c r="H171"/>
      <c r="I171"/>
      <c r="J171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</row>
    <row r="172" spans="2:82" x14ac:dyDescent="0.25">
      <c r="B172" s="39"/>
      <c r="C172" s="39" t="s">
        <v>733</v>
      </c>
      <c r="D172" s="46" t="s">
        <v>269</v>
      </c>
      <c r="E172" s="46" t="s">
        <v>1</v>
      </c>
      <c r="F172" s="46" t="s">
        <v>139</v>
      </c>
      <c r="G172" s="12">
        <v>2</v>
      </c>
      <c r="H172"/>
      <c r="I172"/>
      <c r="J172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</row>
    <row r="173" spans="2:82" x14ac:dyDescent="0.25">
      <c r="B173" s="39"/>
      <c r="C173" s="39" t="s">
        <v>736</v>
      </c>
      <c r="D173" s="46" t="s">
        <v>269</v>
      </c>
      <c r="E173" s="46" t="s">
        <v>1</v>
      </c>
      <c r="F173" s="46" t="s">
        <v>139</v>
      </c>
      <c r="G173" s="12">
        <v>17</v>
      </c>
      <c r="H173"/>
      <c r="I173"/>
      <c r="J17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</row>
    <row r="174" spans="2:82" x14ac:dyDescent="0.25">
      <c r="B174" s="39"/>
      <c r="C174" s="39" t="s">
        <v>737</v>
      </c>
      <c r="D174" s="46" t="s">
        <v>269</v>
      </c>
      <c r="E174" s="46" t="s">
        <v>1</v>
      </c>
      <c r="F174" s="46" t="s">
        <v>139</v>
      </c>
      <c r="G174" s="12">
        <v>1</v>
      </c>
      <c r="H174"/>
      <c r="I174"/>
      <c r="J174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</row>
    <row r="175" spans="2:82" x14ac:dyDescent="0.25">
      <c r="B175" s="39"/>
      <c r="C175" s="39" t="s">
        <v>278</v>
      </c>
      <c r="D175" s="46" t="s">
        <v>269</v>
      </c>
      <c r="E175" s="46" t="s">
        <v>1</v>
      </c>
      <c r="F175" s="46" t="s">
        <v>139</v>
      </c>
      <c r="G175" s="12">
        <v>18</v>
      </c>
      <c r="H175"/>
      <c r="I175"/>
      <c r="J175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</row>
    <row r="176" spans="2:82" x14ac:dyDescent="0.25">
      <c r="B176" s="39"/>
      <c r="C176" s="39" t="s">
        <v>739</v>
      </c>
      <c r="D176" s="46" t="s">
        <v>269</v>
      </c>
      <c r="E176" s="46" t="s">
        <v>1</v>
      </c>
      <c r="F176" s="46" t="s">
        <v>139</v>
      </c>
      <c r="G176" s="12">
        <v>4</v>
      </c>
      <c r="H176"/>
      <c r="I176"/>
      <c r="J176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</row>
    <row r="177" spans="2:82" x14ac:dyDescent="0.25">
      <c r="B177" s="39"/>
      <c r="C177" s="39" t="s">
        <v>740</v>
      </c>
      <c r="D177" s="46" t="s">
        <v>269</v>
      </c>
      <c r="E177" s="46" t="s">
        <v>1</v>
      </c>
      <c r="F177" s="46" t="s">
        <v>139</v>
      </c>
      <c r="G177" s="12">
        <v>5</v>
      </c>
      <c r="H177"/>
      <c r="I177"/>
      <c r="J177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</row>
    <row r="178" spans="2:82" x14ac:dyDescent="0.25">
      <c r="B178" s="39"/>
      <c r="C178" s="39" t="s">
        <v>741</v>
      </c>
      <c r="D178" s="46" t="s">
        <v>269</v>
      </c>
      <c r="E178" s="46" t="s">
        <v>1</v>
      </c>
      <c r="F178" s="46" t="s">
        <v>139</v>
      </c>
      <c r="G178" s="12">
        <v>37</v>
      </c>
      <c r="H178"/>
      <c r="I178"/>
      <c r="J178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</row>
    <row r="179" spans="2:82" x14ac:dyDescent="0.25">
      <c r="B179" s="39"/>
      <c r="C179" s="39" t="s">
        <v>346</v>
      </c>
      <c r="D179" s="46" t="s">
        <v>346</v>
      </c>
      <c r="E179" s="46" t="s">
        <v>1</v>
      </c>
      <c r="F179" s="46" t="s">
        <v>46</v>
      </c>
      <c r="G179" s="12">
        <v>1</v>
      </c>
      <c r="H179"/>
      <c r="I179"/>
      <c r="J179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</row>
    <row r="180" spans="2:82" x14ac:dyDescent="0.25">
      <c r="B180" s="39"/>
      <c r="C180" s="39" t="s">
        <v>1170</v>
      </c>
      <c r="D180" s="46" t="s">
        <v>329</v>
      </c>
      <c r="E180" s="46" t="s">
        <v>0</v>
      </c>
      <c r="F180" s="46" t="s">
        <v>46</v>
      </c>
      <c r="G180" s="12"/>
      <c r="H180"/>
      <c r="I180"/>
      <c r="J180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</row>
    <row r="181" spans="2:82" x14ac:dyDescent="0.25">
      <c r="B181" s="39"/>
      <c r="C181" s="39" t="s">
        <v>1172</v>
      </c>
      <c r="D181" s="46" t="s">
        <v>382</v>
      </c>
      <c r="E181" s="46" t="s">
        <v>2</v>
      </c>
      <c r="F181" s="46" t="s">
        <v>139</v>
      </c>
      <c r="G181" s="12"/>
      <c r="H181"/>
      <c r="I181"/>
      <c r="J181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</row>
    <row r="182" spans="2:82" x14ac:dyDescent="0.25">
      <c r="B182" s="39"/>
      <c r="C182" s="39" t="s">
        <v>1174</v>
      </c>
      <c r="D182" s="46" t="s">
        <v>382</v>
      </c>
      <c r="E182" s="46" t="s">
        <v>2</v>
      </c>
      <c r="F182" s="46" t="s">
        <v>139</v>
      </c>
      <c r="G182" s="12"/>
      <c r="H182"/>
      <c r="I182"/>
      <c r="J182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</row>
    <row r="183" spans="2:82" x14ac:dyDescent="0.25">
      <c r="B183" s="39"/>
      <c r="C183" s="39" t="s">
        <v>1175</v>
      </c>
      <c r="D183" s="46" t="s">
        <v>382</v>
      </c>
      <c r="E183" s="46" t="s">
        <v>0</v>
      </c>
      <c r="F183" s="46" t="s">
        <v>46</v>
      </c>
      <c r="G183" s="12"/>
      <c r="H183"/>
      <c r="I183"/>
      <c r="J18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</row>
    <row r="184" spans="2:82" x14ac:dyDescent="0.25">
      <c r="B184" s="39"/>
      <c r="C184" s="39" t="s">
        <v>435</v>
      </c>
      <c r="D184" s="46" t="s">
        <v>382</v>
      </c>
      <c r="E184" s="46" t="s">
        <v>0</v>
      </c>
      <c r="F184" s="46" t="s">
        <v>46</v>
      </c>
      <c r="G184" s="12"/>
      <c r="H184"/>
      <c r="I184"/>
      <c r="J184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</row>
    <row r="185" spans="2:82" x14ac:dyDescent="0.25">
      <c r="B185" s="39"/>
      <c r="C185" s="39" t="s">
        <v>437</v>
      </c>
      <c r="D185" s="46" t="s">
        <v>382</v>
      </c>
      <c r="E185" s="46" t="s">
        <v>0</v>
      </c>
      <c r="F185" s="46" t="s">
        <v>139</v>
      </c>
      <c r="G185" s="12"/>
      <c r="H185"/>
      <c r="I185"/>
      <c r="J185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</row>
    <row r="186" spans="2:82" x14ac:dyDescent="0.25">
      <c r="B186" s="39"/>
      <c r="C186" s="39" t="s">
        <v>439</v>
      </c>
      <c r="D186" s="46" t="s">
        <v>382</v>
      </c>
      <c r="E186" s="46" t="s">
        <v>2</v>
      </c>
      <c r="F186" s="46" t="s">
        <v>139</v>
      </c>
      <c r="G186" s="12"/>
      <c r="H186"/>
      <c r="I186"/>
      <c r="J186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</row>
    <row r="187" spans="2:82" x14ac:dyDescent="0.25">
      <c r="B187" s="39"/>
      <c r="C187" s="39" t="s">
        <v>1176</v>
      </c>
      <c r="D187" s="46" t="s">
        <v>383</v>
      </c>
      <c r="E187" s="46" t="s">
        <v>1</v>
      </c>
      <c r="F187" s="46" t="s">
        <v>139</v>
      </c>
      <c r="G187" s="12"/>
      <c r="H187"/>
      <c r="I187"/>
      <c r="J187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</row>
    <row r="188" spans="2:82" x14ac:dyDescent="0.25">
      <c r="B188" s="39"/>
      <c r="C188" s="39" t="s">
        <v>321</v>
      </c>
      <c r="D188" s="46" t="s">
        <v>348</v>
      </c>
      <c r="E188" s="46" t="s">
        <v>1</v>
      </c>
      <c r="F188" s="46" t="s">
        <v>46</v>
      </c>
      <c r="G188" s="12"/>
      <c r="H188"/>
      <c r="I188"/>
      <c r="J188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</row>
    <row r="189" spans="2:82" x14ac:dyDescent="0.25">
      <c r="B189" s="39"/>
      <c r="C189" s="39" t="s">
        <v>445</v>
      </c>
      <c r="D189" s="46" t="s">
        <v>201</v>
      </c>
      <c r="E189" s="46" t="s">
        <v>1</v>
      </c>
      <c r="F189" s="46" t="s">
        <v>139</v>
      </c>
      <c r="G189" s="12"/>
      <c r="H189"/>
      <c r="I189"/>
      <c r="J189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</row>
    <row r="190" spans="2:82" x14ac:dyDescent="0.25">
      <c r="B190" s="39"/>
      <c r="C190" s="39" t="s">
        <v>1190</v>
      </c>
      <c r="D190" s="46" t="s">
        <v>405</v>
      </c>
      <c r="E190" s="46" t="s">
        <v>1</v>
      </c>
      <c r="F190" s="46" t="s">
        <v>139</v>
      </c>
      <c r="G190" s="12"/>
      <c r="H190"/>
      <c r="I190"/>
      <c r="J190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</row>
    <row r="191" spans="2:82" x14ac:dyDescent="0.25">
      <c r="B191" s="39"/>
      <c r="C191" s="39" t="s">
        <v>448</v>
      </c>
      <c r="D191" s="46" t="s">
        <v>405</v>
      </c>
      <c r="E191" s="46" t="s">
        <v>1</v>
      </c>
      <c r="F191" s="46" t="s">
        <v>139</v>
      </c>
      <c r="G191" s="12"/>
      <c r="H191"/>
      <c r="I191"/>
      <c r="J191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</row>
    <row r="192" spans="2:82" x14ac:dyDescent="0.25">
      <c r="B192" s="39"/>
      <c r="C192" s="39" t="s">
        <v>1191</v>
      </c>
      <c r="D192" s="46" t="s">
        <v>405</v>
      </c>
      <c r="E192" s="46" t="s">
        <v>1</v>
      </c>
      <c r="F192" s="46" t="s">
        <v>139</v>
      </c>
      <c r="G192" s="12"/>
      <c r="H192"/>
      <c r="I192"/>
      <c r="J192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</row>
    <row r="193" spans="2:82" x14ac:dyDescent="0.25">
      <c r="B193" s="39"/>
      <c r="C193" s="39" t="s">
        <v>410</v>
      </c>
      <c r="D193" s="46" t="s">
        <v>283</v>
      </c>
      <c r="E193" s="46" t="s">
        <v>1</v>
      </c>
      <c r="F193" s="46" t="s">
        <v>139</v>
      </c>
      <c r="G193" s="12"/>
      <c r="H193"/>
      <c r="I193"/>
      <c r="J19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</row>
    <row r="194" spans="2:82" x14ac:dyDescent="0.25">
      <c r="B194" s="39"/>
      <c r="C194" s="39" t="s">
        <v>1194</v>
      </c>
      <c r="D194" s="46" t="s">
        <v>1195</v>
      </c>
      <c r="E194" s="46" t="s">
        <v>1</v>
      </c>
      <c r="F194" s="46" t="s">
        <v>139</v>
      </c>
      <c r="G194" s="12"/>
      <c r="H194"/>
      <c r="I194"/>
      <c r="J194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</row>
    <row r="195" spans="2:82" x14ac:dyDescent="0.25">
      <c r="B195" s="39"/>
      <c r="C195" s="39" t="s">
        <v>1201</v>
      </c>
      <c r="D195" s="46" t="s">
        <v>1195</v>
      </c>
      <c r="E195" s="46" t="s">
        <v>0</v>
      </c>
      <c r="F195" s="46" t="s">
        <v>46</v>
      </c>
      <c r="G195" s="12"/>
      <c r="H195"/>
      <c r="I195"/>
      <c r="J195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</row>
    <row r="196" spans="2:82" x14ac:dyDescent="0.25">
      <c r="B196" s="39"/>
      <c r="C196" s="39" t="s">
        <v>1205</v>
      </c>
      <c r="D196" s="46" t="s">
        <v>1195</v>
      </c>
      <c r="E196" s="46" t="s">
        <v>0</v>
      </c>
      <c r="F196" s="46" t="s">
        <v>139</v>
      </c>
      <c r="G196" s="12"/>
      <c r="H196"/>
      <c r="I196"/>
      <c r="J196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</row>
    <row r="197" spans="2:82" x14ac:dyDescent="0.25">
      <c r="B197" s="39"/>
      <c r="C197" s="39" t="s">
        <v>1207</v>
      </c>
      <c r="D197" s="46" t="s">
        <v>1207</v>
      </c>
      <c r="E197" s="46" t="s">
        <v>2</v>
      </c>
      <c r="F197" s="46" t="s">
        <v>46</v>
      </c>
      <c r="G197" s="12"/>
      <c r="H197"/>
      <c r="I197"/>
      <c r="J197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</row>
    <row r="198" spans="2:82" x14ac:dyDescent="0.25">
      <c r="B198" s="39" t="s">
        <v>149</v>
      </c>
      <c r="C198" s="39" t="s">
        <v>212</v>
      </c>
      <c r="D198" s="46" t="s">
        <v>395</v>
      </c>
      <c r="E198" s="46" t="s">
        <v>0</v>
      </c>
      <c r="F198" s="46" t="s">
        <v>139</v>
      </c>
      <c r="G198" s="12"/>
      <c r="H198"/>
      <c r="I198"/>
      <c r="J198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</row>
    <row r="199" spans="2:82" x14ac:dyDescent="0.25">
      <c r="B199" s="39"/>
      <c r="C199" s="39" t="s">
        <v>247</v>
      </c>
      <c r="D199" s="46" t="s">
        <v>395</v>
      </c>
      <c r="E199" s="46" t="s">
        <v>0</v>
      </c>
      <c r="F199" s="46" t="s">
        <v>139</v>
      </c>
      <c r="G199" s="12"/>
      <c r="H199"/>
      <c r="I199"/>
      <c r="J199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</row>
    <row r="200" spans="2:82" x14ac:dyDescent="0.25">
      <c r="B200" s="39"/>
      <c r="C200" s="39" t="s">
        <v>249</v>
      </c>
      <c r="D200" s="46" t="s">
        <v>395</v>
      </c>
      <c r="E200" s="46" t="s">
        <v>0</v>
      </c>
      <c r="F200" s="46" t="s">
        <v>139</v>
      </c>
      <c r="G200" s="12"/>
      <c r="H200"/>
      <c r="I200"/>
      <c r="J200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B201" s="39"/>
      <c r="C201" s="39" t="s">
        <v>1170</v>
      </c>
      <c r="D201" s="46" t="s">
        <v>329</v>
      </c>
      <c r="E201" s="46" t="s">
        <v>0</v>
      </c>
      <c r="F201" s="46" t="s">
        <v>46</v>
      </c>
      <c r="G201" s="12">
        <v>36</v>
      </c>
      <c r="H201"/>
      <c r="I201"/>
      <c r="J201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B202" s="39"/>
      <c r="C202" s="39" t="s">
        <v>1172</v>
      </c>
      <c r="D202" s="46" t="s">
        <v>382</v>
      </c>
      <c r="E202" s="46" t="s">
        <v>2</v>
      </c>
      <c r="F202" s="46" t="s">
        <v>139</v>
      </c>
      <c r="G202" s="12"/>
      <c r="H202"/>
      <c r="I202"/>
      <c r="J202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9"/>
      <c r="C203" s="39" t="s">
        <v>1175</v>
      </c>
      <c r="D203" s="46" t="s">
        <v>382</v>
      </c>
      <c r="E203" s="46" t="s">
        <v>0</v>
      </c>
      <c r="F203" s="46" t="s">
        <v>46</v>
      </c>
      <c r="G203" s="12"/>
      <c r="H203"/>
      <c r="I203"/>
      <c r="J20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9"/>
      <c r="C204" s="39" t="s">
        <v>435</v>
      </c>
      <c r="D204" s="46" t="s">
        <v>382</v>
      </c>
      <c r="E204" s="46" t="s">
        <v>0</v>
      </c>
      <c r="F204" s="46" t="s">
        <v>46</v>
      </c>
      <c r="G204" s="12"/>
      <c r="H204"/>
      <c r="I204"/>
      <c r="J204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9"/>
      <c r="C205" s="39" t="s">
        <v>437</v>
      </c>
      <c r="D205" s="46" t="s">
        <v>382</v>
      </c>
      <c r="E205" s="46" t="s">
        <v>0</v>
      </c>
      <c r="F205" s="46" t="s">
        <v>139</v>
      </c>
      <c r="G205" s="12"/>
      <c r="H205"/>
      <c r="I205"/>
      <c r="J205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9"/>
      <c r="C206" s="39" t="s">
        <v>439</v>
      </c>
      <c r="D206" s="46" t="s">
        <v>382</v>
      </c>
      <c r="E206" s="46" t="s">
        <v>2</v>
      </c>
      <c r="F206" s="46" t="s">
        <v>139</v>
      </c>
      <c r="G206" s="12"/>
      <c r="H206"/>
      <c r="I206"/>
      <c r="J206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9"/>
      <c r="C207" s="39" t="s">
        <v>1176</v>
      </c>
      <c r="D207" s="46" t="s">
        <v>383</v>
      </c>
      <c r="E207" s="46" t="s">
        <v>1</v>
      </c>
      <c r="F207" s="46" t="s">
        <v>139</v>
      </c>
      <c r="G207" s="12"/>
      <c r="H207"/>
      <c r="I207"/>
      <c r="J207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9"/>
      <c r="C208" s="39" t="s">
        <v>410</v>
      </c>
      <c r="D208" s="46" t="s">
        <v>283</v>
      </c>
      <c r="E208" s="46" t="s">
        <v>1</v>
      </c>
      <c r="F208" s="46" t="s">
        <v>139</v>
      </c>
      <c r="G208" s="12"/>
      <c r="H208"/>
      <c r="I208"/>
      <c r="J208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9"/>
      <c r="C209" s="39" t="s">
        <v>1194</v>
      </c>
      <c r="D209" s="46" t="s">
        <v>1195</v>
      </c>
      <c r="E209" s="46" t="s">
        <v>0</v>
      </c>
      <c r="F209" s="46" t="s">
        <v>139</v>
      </c>
      <c r="G209" s="12"/>
      <c r="H209"/>
      <c r="I209"/>
      <c r="J209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9"/>
      <c r="C210" s="39" t="s">
        <v>1199</v>
      </c>
      <c r="D210" s="46" t="s">
        <v>1195</v>
      </c>
      <c r="E210" s="46" t="s">
        <v>0</v>
      </c>
      <c r="F210" s="46" t="s">
        <v>46</v>
      </c>
      <c r="G210" s="12"/>
      <c r="H210"/>
      <c r="I210"/>
      <c r="J210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9"/>
      <c r="C211" s="39" t="s">
        <v>1201</v>
      </c>
      <c r="D211" s="46" t="s">
        <v>1195</v>
      </c>
      <c r="E211" s="46" t="s">
        <v>0</v>
      </c>
      <c r="F211" s="46" t="s">
        <v>46</v>
      </c>
      <c r="G211" s="12"/>
      <c r="H211"/>
      <c r="I211"/>
      <c r="J211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9"/>
      <c r="C212" s="39" t="s">
        <v>1205</v>
      </c>
      <c r="D212" s="46" t="s">
        <v>1195</v>
      </c>
      <c r="E212" s="46" t="s">
        <v>0</v>
      </c>
      <c r="F212" s="46" t="s">
        <v>139</v>
      </c>
      <c r="G212" s="12"/>
      <c r="H212"/>
      <c r="I212"/>
      <c r="J212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9"/>
      <c r="C213" s="39" t="s">
        <v>1207</v>
      </c>
      <c r="D213" s="46" t="s">
        <v>1207</v>
      </c>
      <c r="E213" s="46" t="s">
        <v>2</v>
      </c>
      <c r="F213" s="46" t="s">
        <v>46</v>
      </c>
      <c r="G213" s="12"/>
      <c r="H213"/>
      <c r="I213"/>
      <c r="J21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9" t="s">
        <v>8</v>
      </c>
      <c r="C214" s="39" t="s">
        <v>212</v>
      </c>
      <c r="D214" s="46" t="s">
        <v>395</v>
      </c>
      <c r="E214" s="46" t="s">
        <v>0</v>
      </c>
      <c r="F214" s="46" t="s">
        <v>139</v>
      </c>
      <c r="G214" s="12"/>
      <c r="H214"/>
      <c r="I214"/>
      <c r="J214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9"/>
      <c r="C215" s="39" t="s">
        <v>247</v>
      </c>
      <c r="D215" s="46" t="s">
        <v>395</v>
      </c>
      <c r="E215" s="46" t="s">
        <v>0</v>
      </c>
      <c r="F215" s="46" t="s">
        <v>139</v>
      </c>
      <c r="G215" s="12"/>
      <c r="H215"/>
      <c r="I215"/>
      <c r="J215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9"/>
      <c r="C216" s="39" t="s">
        <v>249</v>
      </c>
      <c r="D216" s="46" t="s">
        <v>395</v>
      </c>
      <c r="E216" s="46" t="s">
        <v>0</v>
      </c>
      <c r="F216" s="46" t="s">
        <v>139</v>
      </c>
      <c r="G216" s="12"/>
      <c r="H216"/>
      <c r="I216"/>
      <c r="J216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9"/>
      <c r="C217" s="39" t="s">
        <v>732</v>
      </c>
      <c r="D217" s="46" t="s">
        <v>269</v>
      </c>
      <c r="E217" s="46" t="s">
        <v>1</v>
      </c>
      <c r="F217" s="46" t="s">
        <v>139</v>
      </c>
      <c r="G217" s="12">
        <v>2</v>
      </c>
      <c r="H217"/>
      <c r="I217"/>
      <c r="J217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9"/>
      <c r="C218" s="39" t="s">
        <v>733</v>
      </c>
      <c r="D218" s="46" t="s">
        <v>269</v>
      </c>
      <c r="E218" s="46" t="s">
        <v>1</v>
      </c>
      <c r="F218" s="46" t="s">
        <v>139</v>
      </c>
      <c r="G218" s="12">
        <v>2</v>
      </c>
      <c r="H218"/>
      <c r="I218"/>
      <c r="J218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9"/>
      <c r="C219" s="39" t="s">
        <v>734</v>
      </c>
      <c r="D219" s="46" t="s">
        <v>269</v>
      </c>
      <c r="E219" s="46" t="s">
        <v>1</v>
      </c>
      <c r="F219" s="46" t="s">
        <v>139</v>
      </c>
      <c r="G219" s="12">
        <v>1</v>
      </c>
      <c r="H219"/>
      <c r="I219"/>
      <c r="J219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9"/>
      <c r="C220" s="39" t="s">
        <v>737</v>
      </c>
      <c r="D220" s="46" t="s">
        <v>269</v>
      </c>
      <c r="E220" s="46" t="s">
        <v>1</v>
      </c>
      <c r="F220" s="46" t="s">
        <v>139</v>
      </c>
      <c r="G220" s="12">
        <v>11</v>
      </c>
      <c r="H220"/>
      <c r="I220"/>
      <c r="J220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9"/>
      <c r="C221" s="39" t="s">
        <v>278</v>
      </c>
      <c r="D221" s="46" t="s">
        <v>269</v>
      </c>
      <c r="E221" s="46" t="s">
        <v>1</v>
      </c>
      <c r="F221" s="46" t="s">
        <v>139</v>
      </c>
      <c r="G221" s="12">
        <v>1</v>
      </c>
      <c r="H221"/>
      <c r="I221"/>
      <c r="J221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9"/>
      <c r="C222" s="39" t="s">
        <v>739</v>
      </c>
      <c r="D222" s="46" t="s">
        <v>269</v>
      </c>
      <c r="E222" s="46" t="s">
        <v>1</v>
      </c>
      <c r="F222" s="46" t="s">
        <v>139</v>
      </c>
      <c r="G222" s="12">
        <v>18</v>
      </c>
      <c r="H222"/>
      <c r="I222"/>
      <c r="J222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9"/>
      <c r="C223" s="39" t="s">
        <v>298</v>
      </c>
      <c r="D223" s="46" t="s">
        <v>269</v>
      </c>
      <c r="E223" s="46" t="s">
        <v>1</v>
      </c>
      <c r="F223" s="46" t="s">
        <v>139</v>
      </c>
      <c r="G223" s="12">
        <v>2</v>
      </c>
      <c r="H223"/>
      <c r="I223"/>
      <c r="J22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9"/>
      <c r="C224" s="39" t="s">
        <v>346</v>
      </c>
      <c r="D224" s="46" t="s">
        <v>346</v>
      </c>
      <c r="E224" s="46" t="s">
        <v>1</v>
      </c>
      <c r="F224" s="46" t="s">
        <v>46</v>
      </c>
      <c r="G224" s="12">
        <v>1</v>
      </c>
      <c r="H224"/>
      <c r="I224"/>
      <c r="J224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9"/>
      <c r="C225" s="39" t="s">
        <v>412</v>
      </c>
      <c r="D225" s="46" t="s">
        <v>413</v>
      </c>
      <c r="E225" s="46" t="s">
        <v>1</v>
      </c>
      <c r="F225" s="46" t="s">
        <v>46</v>
      </c>
      <c r="G225" s="12"/>
      <c r="H225"/>
      <c r="I225"/>
      <c r="J225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9"/>
      <c r="C226" s="39" t="s">
        <v>1170</v>
      </c>
      <c r="D226" s="46" t="s">
        <v>329</v>
      </c>
      <c r="E226" s="46" t="s">
        <v>0</v>
      </c>
      <c r="F226" s="46" t="s">
        <v>46</v>
      </c>
      <c r="G226" s="12">
        <v>44</v>
      </c>
      <c r="H226"/>
      <c r="I226"/>
      <c r="J226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9"/>
      <c r="C227" s="39" t="s">
        <v>1172</v>
      </c>
      <c r="D227" s="46" t="s">
        <v>382</v>
      </c>
      <c r="E227" s="46" t="s">
        <v>2</v>
      </c>
      <c r="F227" s="46" t="s">
        <v>139</v>
      </c>
      <c r="G227" s="12"/>
      <c r="H227"/>
      <c r="I227"/>
      <c r="J227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9"/>
      <c r="C228" s="39" t="s">
        <v>1175</v>
      </c>
      <c r="D228" s="46" t="s">
        <v>382</v>
      </c>
      <c r="E228" s="46" t="s">
        <v>0</v>
      </c>
      <c r="F228" s="46" t="s">
        <v>46</v>
      </c>
      <c r="G228" s="12"/>
      <c r="H228"/>
      <c r="I228"/>
      <c r="J228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9"/>
      <c r="C229" s="39" t="s">
        <v>435</v>
      </c>
      <c r="D229" s="46" t="s">
        <v>382</v>
      </c>
      <c r="E229" s="46" t="s">
        <v>0</v>
      </c>
      <c r="F229" s="46" t="s">
        <v>46</v>
      </c>
      <c r="G229" s="12"/>
      <c r="H229"/>
      <c r="I229"/>
      <c r="J229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9"/>
      <c r="C230" s="39" t="s">
        <v>437</v>
      </c>
      <c r="D230" s="46" t="s">
        <v>382</v>
      </c>
      <c r="E230" s="46" t="s">
        <v>0</v>
      </c>
      <c r="F230" s="46" t="s">
        <v>139</v>
      </c>
      <c r="G230" s="12"/>
      <c r="H230"/>
      <c r="I230"/>
      <c r="J230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9"/>
      <c r="C231" s="39" t="s">
        <v>439</v>
      </c>
      <c r="D231" s="46" t="s">
        <v>382</v>
      </c>
      <c r="E231" s="46" t="s">
        <v>2</v>
      </c>
      <c r="F231" s="46" t="s">
        <v>139</v>
      </c>
      <c r="G231" s="12"/>
      <c r="H231"/>
      <c r="I231"/>
      <c r="J231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9"/>
      <c r="C232" s="39" t="s">
        <v>1176</v>
      </c>
      <c r="D232" s="46" t="s">
        <v>383</v>
      </c>
      <c r="E232" s="46" t="s">
        <v>1</v>
      </c>
      <c r="F232" s="46" t="s">
        <v>139</v>
      </c>
      <c r="G232" s="12"/>
      <c r="H232"/>
      <c r="I232"/>
      <c r="J232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9"/>
      <c r="C233" s="39" t="s">
        <v>321</v>
      </c>
      <c r="D233" s="46" t="s">
        <v>348</v>
      </c>
      <c r="E233" s="46" t="s">
        <v>1</v>
      </c>
      <c r="F233" s="46" t="s">
        <v>46</v>
      </c>
      <c r="G233" s="12"/>
      <c r="H233"/>
      <c r="I233"/>
      <c r="J23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9"/>
      <c r="C234" s="39" t="s">
        <v>742</v>
      </c>
      <c r="D234" s="46" t="s">
        <v>390</v>
      </c>
      <c r="E234" s="46" t="s">
        <v>0</v>
      </c>
      <c r="F234" s="46" t="s">
        <v>46</v>
      </c>
      <c r="G234" s="12"/>
      <c r="H234"/>
      <c r="I234"/>
      <c r="J234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9"/>
      <c r="C235" s="39" t="s">
        <v>743</v>
      </c>
      <c r="D235" s="46" t="s">
        <v>390</v>
      </c>
      <c r="E235" s="46" t="s">
        <v>0</v>
      </c>
      <c r="F235" s="46" t="s">
        <v>46</v>
      </c>
      <c r="G235" s="12"/>
      <c r="H235"/>
      <c r="I235"/>
      <c r="J235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9"/>
      <c r="C236" s="39" t="s">
        <v>744</v>
      </c>
      <c r="D236" s="46" t="s">
        <v>390</v>
      </c>
      <c r="E236" s="46" t="s">
        <v>0</v>
      </c>
      <c r="F236" s="46" t="s">
        <v>46</v>
      </c>
      <c r="G236" s="12"/>
      <c r="H236"/>
      <c r="I236"/>
      <c r="J236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9"/>
      <c r="C237" s="39" t="s">
        <v>745</v>
      </c>
      <c r="D237" s="46" t="s">
        <v>390</v>
      </c>
      <c r="E237" s="46" t="s">
        <v>0</v>
      </c>
      <c r="F237" s="46" t="s">
        <v>46</v>
      </c>
      <c r="G237" s="12"/>
      <c r="H237"/>
      <c r="I237"/>
      <c r="J237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9"/>
      <c r="C238" s="39" t="s">
        <v>748</v>
      </c>
      <c r="D238" s="46" t="s">
        <v>390</v>
      </c>
      <c r="E238" s="46" t="s">
        <v>0</v>
      </c>
      <c r="F238" s="46" t="s">
        <v>46</v>
      </c>
      <c r="G238" s="12"/>
      <c r="H238"/>
      <c r="I238"/>
      <c r="J238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9"/>
      <c r="C239" s="39" t="s">
        <v>749</v>
      </c>
      <c r="D239" s="46" t="s">
        <v>390</v>
      </c>
      <c r="E239" s="46" t="s">
        <v>0</v>
      </c>
      <c r="F239" s="46" t="s">
        <v>46</v>
      </c>
      <c r="G239" s="12"/>
      <c r="H239"/>
      <c r="I239"/>
      <c r="J239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9"/>
      <c r="C240" s="39" t="s">
        <v>750</v>
      </c>
      <c r="D240" s="46" t="s">
        <v>390</v>
      </c>
      <c r="E240" s="46" t="s">
        <v>0</v>
      </c>
      <c r="F240" s="46" t="s">
        <v>46</v>
      </c>
      <c r="G240" s="12"/>
      <c r="H240"/>
      <c r="I240"/>
      <c r="J240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9"/>
      <c r="C241" s="39" t="s">
        <v>751</v>
      </c>
      <c r="D241" s="46" t="s">
        <v>390</v>
      </c>
      <c r="E241" s="46" t="s">
        <v>0</v>
      </c>
      <c r="F241" s="46" t="s">
        <v>46</v>
      </c>
      <c r="G241" s="12"/>
      <c r="H241"/>
      <c r="I241"/>
      <c r="J241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9"/>
      <c r="C242" s="39" t="s">
        <v>752</v>
      </c>
      <c r="D242" s="46" t="s">
        <v>390</v>
      </c>
      <c r="E242" s="46" t="s">
        <v>0</v>
      </c>
      <c r="F242" s="46" t="s">
        <v>46</v>
      </c>
      <c r="G242" s="12"/>
      <c r="H242"/>
      <c r="I242"/>
      <c r="J242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9"/>
      <c r="C243" s="39" t="s">
        <v>753</v>
      </c>
      <c r="D243" s="46" t="s">
        <v>390</v>
      </c>
      <c r="E243" s="46" t="s">
        <v>0</v>
      </c>
      <c r="F243" s="46" t="s">
        <v>46</v>
      </c>
      <c r="G243" s="12">
        <v>1</v>
      </c>
      <c r="H243"/>
      <c r="I243"/>
      <c r="J24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9"/>
      <c r="C244" s="39" t="s">
        <v>1194</v>
      </c>
      <c r="D244" s="46" t="s">
        <v>1195</v>
      </c>
      <c r="E244" s="46" t="s">
        <v>0</v>
      </c>
      <c r="F244" s="46" t="s">
        <v>139</v>
      </c>
      <c r="G244" s="12"/>
      <c r="H244"/>
      <c r="I244"/>
      <c r="J244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9"/>
      <c r="C245" s="39"/>
      <c r="D245"/>
      <c r="E245" s="46" t="s">
        <v>1</v>
      </c>
      <c r="F245" s="46" t="s">
        <v>139</v>
      </c>
      <c r="G245" s="12"/>
      <c r="H245"/>
      <c r="I245"/>
      <c r="J245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9"/>
      <c r="C246" s="39" t="s">
        <v>1199</v>
      </c>
      <c r="D246" s="46" t="s">
        <v>1195</v>
      </c>
      <c r="E246" s="46" t="s">
        <v>0</v>
      </c>
      <c r="F246" s="46" t="s">
        <v>46</v>
      </c>
      <c r="G246" s="12"/>
      <c r="H246"/>
      <c r="I246"/>
      <c r="J246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9"/>
      <c r="C247" s="39" t="s">
        <v>1201</v>
      </c>
      <c r="D247" s="46" t="s">
        <v>1195</v>
      </c>
      <c r="E247" s="46" t="s">
        <v>0</v>
      </c>
      <c r="F247" s="46" t="s">
        <v>46</v>
      </c>
      <c r="G247" s="12"/>
      <c r="H247"/>
      <c r="I247"/>
      <c r="J247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9"/>
      <c r="C248" s="39" t="s">
        <v>1205</v>
      </c>
      <c r="D248" s="46" t="s">
        <v>1195</v>
      </c>
      <c r="E248" s="46" t="s">
        <v>0</v>
      </c>
      <c r="F248" s="46" t="s">
        <v>139</v>
      </c>
      <c r="G248" s="12"/>
      <c r="H248"/>
      <c r="I248"/>
      <c r="J248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9"/>
      <c r="C249" s="39" t="s">
        <v>1207</v>
      </c>
      <c r="D249" s="46" t="s">
        <v>1207</v>
      </c>
      <c r="E249" s="46" t="s">
        <v>2</v>
      </c>
      <c r="F249" s="46" t="s">
        <v>46</v>
      </c>
      <c r="G249" s="12"/>
      <c r="H249"/>
      <c r="I249"/>
      <c r="J249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9"/>
      <c r="C250" s="39" t="s">
        <v>1197</v>
      </c>
      <c r="D250" s="46" t="s">
        <v>1195</v>
      </c>
      <c r="E250" s="46" t="s">
        <v>0</v>
      </c>
      <c r="F250" s="46" t="s">
        <v>46</v>
      </c>
      <c r="G250" s="12"/>
      <c r="H250"/>
      <c r="I250"/>
      <c r="J250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9" t="s">
        <v>9</v>
      </c>
      <c r="C251" s="39" t="s">
        <v>212</v>
      </c>
      <c r="D251" s="46" t="s">
        <v>395</v>
      </c>
      <c r="E251" s="46" t="s">
        <v>0</v>
      </c>
      <c r="F251" s="46" t="s">
        <v>139</v>
      </c>
      <c r="G251" s="12"/>
      <c r="H251"/>
      <c r="I251"/>
      <c r="J251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9"/>
      <c r="C252" s="39" t="s">
        <v>247</v>
      </c>
      <c r="D252" s="46" t="s">
        <v>395</v>
      </c>
      <c r="E252" s="46" t="s">
        <v>0</v>
      </c>
      <c r="F252" s="46" t="s">
        <v>139</v>
      </c>
      <c r="G252" s="12"/>
      <c r="H252"/>
      <c r="I252"/>
      <c r="J252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9"/>
      <c r="C253" s="39" t="s">
        <v>249</v>
      </c>
      <c r="D253" s="46" t="s">
        <v>395</v>
      </c>
      <c r="E253" s="46" t="s">
        <v>0</v>
      </c>
      <c r="F253" s="46" t="s">
        <v>139</v>
      </c>
      <c r="G253" s="12"/>
      <c r="H253"/>
      <c r="I253"/>
      <c r="J25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9"/>
      <c r="C254" s="39" t="s">
        <v>732</v>
      </c>
      <c r="D254" s="46" t="s">
        <v>269</v>
      </c>
      <c r="E254" s="46" t="s">
        <v>1</v>
      </c>
      <c r="F254" s="46" t="s">
        <v>139</v>
      </c>
      <c r="G254" s="12">
        <v>17</v>
      </c>
      <c r="H254"/>
      <c r="I254"/>
      <c r="J254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9"/>
      <c r="C255" s="39" t="s">
        <v>733</v>
      </c>
      <c r="D255" s="46" t="s">
        <v>269</v>
      </c>
      <c r="E255" s="46" t="s">
        <v>1</v>
      </c>
      <c r="F255" s="46" t="s">
        <v>139</v>
      </c>
      <c r="G255" s="12">
        <v>2</v>
      </c>
      <c r="H255"/>
      <c r="I255"/>
      <c r="J255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9"/>
      <c r="C256" s="39" t="s">
        <v>736</v>
      </c>
      <c r="D256" s="46" t="s">
        <v>269</v>
      </c>
      <c r="E256" s="46" t="s">
        <v>1</v>
      </c>
      <c r="F256" s="46" t="s">
        <v>139</v>
      </c>
      <c r="G256" s="12">
        <v>61</v>
      </c>
      <c r="H256"/>
      <c r="I256"/>
      <c r="J256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9"/>
      <c r="C257" s="39" t="s">
        <v>278</v>
      </c>
      <c r="D257" s="46" t="s">
        <v>269</v>
      </c>
      <c r="E257" s="46" t="s">
        <v>1</v>
      </c>
      <c r="F257" s="46" t="s">
        <v>139</v>
      </c>
      <c r="G257" s="12">
        <v>70</v>
      </c>
      <c r="H257"/>
      <c r="I257"/>
      <c r="J257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9"/>
      <c r="C258" s="39" t="s">
        <v>739</v>
      </c>
      <c r="D258" s="46" t="s">
        <v>269</v>
      </c>
      <c r="E258" s="46" t="s">
        <v>1</v>
      </c>
      <c r="F258" s="46" t="s">
        <v>139</v>
      </c>
      <c r="G258" s="12">
        <v>6</v>
      </c>
      <c r="H258"/>
      <c r="I258"/>
      <c r="J258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9"/>
      <c r="C259" s="39" t="s">
        <v>740</v>
      </c>
      <c r="D259" s="46" t="s">
        <v>269</v>
      </c>
      <c r="E259" s="46" t="s">
        <v>1</v>
      </c>
      <c r="F259" s="46" t="s">
        <v>139</v>
      </c>
      <c r="G259" s="12">
        <v>5</v>
      </c>
      <c r="H259"/>
      <c r="I259"/>
      <c r="J259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9"/>
      <c r="C260" s="39" t="s">
        <v>741</v>
      </c>
      <c r="D260" s="46" t="s">
        <v>269</v>
      </c>
      <c r="E260" s="46" t="s">
        <v>1</v>
      </c>
      <c r="F260" s="46" t="s">
        <v>139</v>
      </c>
      <c r="G260" s="12">
        <v>126</v>
      </c>
      <c r="H260"/>
      <c r="I260"/>
      <c r="J260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9"/>
      <c r="C261" s="39" t="s">
        <v>298</v>
      </c>
      <c r="D261" s="46" t="s">
        <v>269</v>
      </c>
      <c r="E261" s="46" t="s">
        <v>1</v>
      </c>
      <c r="F261" s="46" t="s">
        <v>139</v>
      </c>
      <c r="G261" s="12"/>
      <c r="H261"/>
      <c r="I261"/>
      <c r="J261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9"/>
      <c r="C262" s="39" t="s">
        <v>300</v>
      </c>
      <c r="D262" s="46" t="s">
        <v>269</v>
      </c>
      <c r="E262" s="46" t="s">
        <v>1</v>
      </c>
      <c r="F262" s="46" t="s">
        <v>139</v>
      </c>
      <c r="G262" s="12"/>
      <c r="H262"/>
      <c r="I262"/>
      <c r="J262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9"/>
      <c r="C263" s="39" t="s">
        <v>346</v>
      </c>
      <c r="D263" s="46" t="s">
        <v>346</v>
      </c>
      <c r="E263" s="46" t="s">
        <v>1</v>
      </c>
      <c r="F263" s="46" t="s">
        <v>46</v>
      </c>
      <c r="G263" s="12">
        <v>11</v>
      </c>
      <c r="H263"/>
      <c r="I263"/>
      <c r="J26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9"/>
      <c r="C264" s="39" t="s">
        <v>376</v>
      </c>
      <c r="D264" s="46" t="s">
        <v>376</v>
      </c>
      <c r="E264" s="46" t="s">
        <v>1</v>
      </c>
      <c r="F264" s="46" t="s">
        <v>46</v>
      </c>
      <c r="G264" s="12"/>
      <c r="H264"/>
      <c r="I264"/>
      <c r="J264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9"/>
      <c r="C265" s="39" t="s">
        <v>385</v>
      </c>
      <c r="D265" s="46" t="s">
        <v>386</v>
      </c>
      <c r="E265" s="46" t="s">
        <v>1</v>
      </c>
      <c r="F265" s="46" t="s">
        <v>46</v>
      </c>
      <c r="G265" s="12"/>
      <c r="H265"/>
      <c r="I265"/>
      <c r="J265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9"/>
      <c r="C266" s="39" t="s">
        <v>407</v>
      </c>
      <c r="D266" s="46" t="s">
        <v>408</v>
      </c>
      <c r="E266" s="46" t="s">
        <v>1</v>
      </c>
      <c r="F266" s="46" t="s">
        <v>139</v>
      </c>
      <c r="G266" s="12"/>
      <c r="H266"/>
      <c r="I266"/>
      <c r="J266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9"/>
      <c r="C267" s="39" t="s">
        <v>412</v>
      </c>
      <c r="D267" s="46" t="s">
        <v>413</v>
      </c>
      <c r="E267" s="46" t="s">
        <v>1</v>
      </c>
      <c r="F267" s="46" t="s">
        <v>46</v>
      </c>
      <c r="G267" s="12"/>
      <c r="H267"/>
      <c r="I267"/>
      <c r="J267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9"/>
      <c r="C268" s="39" t="s">
        <v>1170</v>
      </c>
      <c r="D268" s="46" t="s">
        <v>329</v>
      </c>
      <c r="E268" s="46" t="s">
        <v>0</v>
      </c>
      <c r="F268" s="46" t="s">
        <v>46</v>
      </c>
      <c r="G268" s="12"/>
      <c r="H268"/>
      <c r="I268"/>
      <c r="J268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9"/>
      <c r="C269" s="39" t="s">
        <v>1172</v>
      </c>
      <c r="D269" s="46" t="s">
        <v>382</v>
      </c>
      <c r="E269" s="46" t="s">
        <v>2</v>
      </c>
      <c r="F269" s="46" t="s">
        <v>139</v>
      </c>
      <c r="G269" s="12"/>
      <c r="H269"/>
      <c r="I269"/>
      <c r="J269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9"/>
      <c r="C270" s="39" t="s">
        <v>1174</v>
      </c>
      <c r="D270" s="46" t="s">
        <v>382</v>
      </c>
      <c r="E270" s="46" t="s">
        <v>2</v>
      </c>
      <c r="F270" s="46" t="s">
        <v>139</v>
      </c>
      <c r="G270" s="12"/>
      <c r="H270"/>
      <c r="I270"/>
      <c r="J270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9"/>
      <c r="C271" s="39" t="s">
        <v>1175</v>
      </c>
      <c r="D271" s="46" t="s">
        <v>382</v>
      </c>
      <c r="E271" s="46" t="s">
        <v>0</v>
      </c>
      <c r="F271" s="46" t="s">
        <v>46</v>
      </c>
      <c r="G271" s="12"/>
      <c r="H271"/>
      <c r="I271"/>
      <c r="J271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9"/>
      <c r="C272" s="39" t="s">
        <v>435</v>
      </c>
      <c r="D272" s="46" t="s">
        <v>382</v>
      </c>
      <c r="E272" s="46" t="s">
        <v>0</v>
      </c>
      <c r="F272" s="46" t="s">
        <v>46</v>
      </c>
      <c r="G272" s="12"/>
      <c r="H272"/>
      <c r="I272"/>
      <c r="J272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9"/>
      <c r="C273" s="39" t="s">
        <v>437</v>
      </c>
      <c r="D273" s="46" t="s">
        <v>382</v>
      </c>
      <c r="E273" s="46" t="s">
        <v>0</v>
      </c>
      <c r="F273" s="46" t="s">
        <v>139</v>
      </c>
      <c r="G273" s="12"/>
      <c r="H273"/>
      <c r="I273"/>
      <c r="J27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9"/>
      <c r="C274" s="39" t="s">
        <v>439</v>
      </c>
      <c r="D274" s="46" t="s">
        <v>382</v>
      </c>
      <c r="E274" s="46" t="s">
        <v>2</v>
      </c>
      <c r="F274" s="46" t="s">
        <v>139</v>
      </c>
      <c r="G274" s="12"/>
      <c r="H274"/>
      <c r="I274"/>
      <c r="J274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9"/>
      <c r="C275" s="39" t="s">
        <v>1176</v>
      </c>
      <c r="D275" s="46" t="s">
        <v>383</v>
      </c>
      <c r="E275" s="46" t="s">
        <v>1</v>
      </c>
      <c r="F275" s="46" t="s">
        <v>139</v>
      </c>
      <c r="G275" s="12"/>
      <c r="H275"/>
      <c r="I275"/>
      <c r="J275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9"/>
      <c r="C276" s="39" t="s">
        <v>321</v>
      </c>
      <c r="D276" s="46" t="s">
        <v>348</v>
      </c>
      <c r="E276" s="46" t="s">
        <v>1</v>
      </c>
      <c r="F276" s="46" t="s">
        <v>46</v>
      </c>
      <c r="G276" s="12"/>
      <c r="H276"/>
      <c r="I276"/>
      <c r="J276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9"/>
      <c r="C277" s="39" t="s">
        <v>445</v>
      </c>
      <c r="D277" s="46" t="s">
        <v>201</v>
      </c>
      <c r="E277" s="46" t="s">
        <v>1</v>
      </c>
      <c r="F277" s="46" t="s">
        <v>139</v>
      </c>
      <c r="G277" s="12"/>
      <c r="H277"/>
      <c r="I277"/>
      <c r="J277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9"/>
      <c r="C278" s="39" t="s">
        <v>1190</v>
      </c>
      <c r="D278" s="46" t="s">
        <v>405</v>
      </c>
      <c r="E278" s="46" t="s">
        <v>1</v>
      </c>
      <c r="F278" s="46" t="s">
        <v>139</v>
      </c>
      <c r="G278" s="12"/>
      <c r="H278"/>
      <c r="I278"/>
      <c r="J278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9"/>
      <c r="C279" s="39" t="s">
        <v>448</v>
      </c>
      <c r="D279" s="46" t="s">
        <v>405</v>
      </c>
      <c r="E279" s="46" t="s">
        <v>1</v>
      </c>
      <c r="F279" s="46" t="s">
        <v>139</v>
      </c>
      <c r="G279" s="12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9"/>
      <c r="C280" s="39" t="s">
        <v>1191</v>
      </c>
      <c r="D280" s="46" t="s">
        <v>405</v>
      </c>
      <c r="E280" s="46" t="s">
        <v>1</v>
      </c>
      <c r="F280" s="46" t="s">
        <v>139</v>
      </c>
      <c r="G280" s="12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9"/>
      <c r="C281" s="39" t="s">
        <v>410</v>
      </c>
      <c r="D281" s="46" t="s">
        <v>283</v>
      </c>
      <c r="E281" s="46" t="s">
        <v>1</v>
      </c>
      <c r="F281" s="46" t="s">
        <v>139</v>
      </c>
      <c r="G281" s="12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9"/>
      <c r="C282" s="39" t="s">
        <v>1194</v>
      </c>
      <c r="D282" s="46" t="s">
        <v>1195</v>
      </c>
      <c r="E282" s="46" t="s">
        <v>1</v>
      </c>
      <c r="F282" s="46" t="s">
        <v>139</v>
      </c>
      <c r="G282" s="12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9"/>
      <c r="C283" s="39" t="s">
        <v>1201</v>
      </c>
      <c r="D283" s="46" t="s">
        <v>1195</v>
      </c>
      <c r="E283" s="46" t="s">
        <v>0</v>
      </c>
      <c r="F283" s="46" t="s">
        <v>46</v>
      </c>
      <c r="G283" s="12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9"/>
      <c r="C284" s="39" t="s">
        <v>1203</v>
      </c>
      <c r="D284" s="46" t="s">
        <v>1195</v>
      </c>
      <c r="E284" s="46" t="s">
        <v>0</v>
      </c>
      <c r="F284" s="46" t="s">
        <v>139</v>
      </c>
      <c r="G284" s="12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9"/>
      <c r="C285" s="39" t="s">
        <v>1205</v>
      </c>
      <c r="D285" s="46" t="s">
        <v>1195</v>
      </c>
      <c r="E285" s="46" t="s">
        <v>0</v>
      </c>
      <c r="F285" s="46" t="s">
        <v>139</v>
      </c>
      <c r="G285" s="12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9"/>
      <c r="C286" s="39" t="s">
        <v>1207</v>
      </c>
      <c r="D286" s="46" t="s">
        <v>1207</v>
      </c>
      <c r="E286" s="46" t="s">
        <v>2</v>
      </c>
      <c r="F286" s="46" t="s">
        <v>46</v>
      </c>
      <c r="G286" s="12"/>
    </row>
    <row r="287" spans="2:82" x14ac:dyDescent="0.25">
      <c r="B287" s="39" t="s">
        <v>10</v>
      </c>
      <c r="C287" s="39" t="s">
        <v>212</v>
      </c>
      <c r="D287" s="46" t="s">
        <v>395</v>
      </c>
      <c r="E287" s="46" t="s">
        <v>0</v>
      </c>
      <c r="F287" s="46" t="s">
        <v>139</v>
      </c>
      <c r="G287" s="12"/>
    </row>
    <row r="288" spans="2:82" x14ac:dyDescent="0.25">
      <c r="B288" s="39"/>
      <c r="C288" s="39" t="s">
        <v>247</v>
      </c>
      <c r="D288" s="46" t="s">
        <v>395</v>
      </c>
      <c r="E288" s="46" t="s">
        <v>0</v>
      </c>
      <c r="F288" s="46" t="s">
        <v>139</v>
      </c>
      <c r="G288" s="12">
        <v>15000</v>
      </c>
    </row>
    <row r="289" spans="2:7" x14ac:dyDescent="0.25">
      <c r="B289" s="39"/>
      <c r="C289" s="39" t="s">
        <v>249</v>
      </c>
      <c r="D289" s="46" t="s">
        <v>395</v>
      </c>
      <c r="E289" s="46" t="s">
        <v>0</v>
      </c>
      <c r="F289" s="46" t="s">
        <v>139</v>
      </c>
      <c r="G289" s="12">
        <v>14000</v>
      </c>
    </row>
    <row r="290" spans="2:7" x14ac:dyDescent="0.25">
      <c r="B290" s="39"/>
      <c r="C290" s="39" t="s">
        <v>732</v>
      </c>
      <c r="D290" s="46" t="s">
        <v>269</v>
      </c>
      <c r="E290" s="46" t="s">
        <v>1</v>
      </c>
      <c r="F290" s="46" t="s">
        <v>139</v>
      </c>
      <c r="G290" s="12">
        <v>21</v>
      </c>
    </row>
    <row r="291" spans="2:7" x14ac:dyDescent="0.25">
      <c r="B291" s="39"/>
      <c r="C291" s="39" t="s">
        <v>733</v>
      </c>
      <c r="D291" s="46" t="s">
        <v>269</v>
      </c>
      <c r="E291" s="46" t="s">
        <v>1</v>
      </c>
      <c r="F291" s="46" t="s">
        <v>139</v>
      </c>
      <c r="G291" s="12">
        <v>16</v>
      </c>
    </row>
    <row r="292" spans="2:7" x14ac:dyDescent="0.25">
      <c r="B292" s="39"/>
      <c r="C292" s="39" t="s">
        <v>734</v>
      </c>
      <c r="D292" s="46" t="s">
        <v>269</v>
      </c>
      <c r="E292" s="46" t="s">
        <v>1</v>
      </c>
      <c r="F292" s="46" t="s">
        <v>139</v>
      </c>
      <c r="G292" s="12">
        <v>1</v>
      </c>
    </row>
    <row r="293" spans="2:7" x14ac:dyDescent="0.25">
      <c r="B293" s="39"/>
      <c r="C293" s="39" t="s">
        <v>736</v>
      </c>
      <c r="D293" s="46" t="s">
        <v>269</v>
      </c>
      <c r="E293" s="46" t="s">
        <v>1</v>
      </c>
      <c r="F293" s="46" t="s">
        <v>139</v>
      </c>
      <c r="G293" s="12">
        <v>16</v>
      </c>
    </row>
    <row r="294" spans="2:7" x14ac:dyDescent="0.25">
      <c r="B294" s="39"/>
      <c r="C294" s="39" t="s">
        <v>737</v>
      </c>
      <c r="D294" s="46" t="s">
        <v>269</v>
      </c>
      <c r="E294" s="46" t="s">
        <v>1</v>
      </c>
      <c r="F294" s="46" t="s">
        <v>139</v>
      </c>
      <c r="G294" s="12">
        <v>3</v>
      </c>
    </row>
    <row r="295" spans="2:7" x14ac:dyDescent="0.25">
      <c r="B295" s="39"/>
      <c r="C295" s="39" t="s">
        <v>278</v>
      </c>
      <c r="D295" s="46" t="s">
        <v>269</v>
      </c>
      <c r="E295" s="46" t="s">
        <v>1</v>
      </c>
      <c r="F295" s="46" t="s">
        <v>139</v>
      </c>
      <c r="G295" s="12">
        <v>19</v>
      </c>
    </row>
    <row r="296" spans="2:7" x14ac:dyDescent="0.25">
      <c r="B296" s="39"/>
      <c r="C296" s="39" t="s">
        <v>738</v>
      </c>
      <c r="D296" s="46" t="s">
        <v>269</v>
      </c>
      <c r="E296" s="46" t="s">
        <v>1</v>
      </c>
      <c r="F296" s="46" t="s">
        <v>139</v>
      </c>
      <c r="G296" s="12">
        <v>1</v>
      </c>
    </row>
    <row r="297" spans="2:7" x14ac:dyDescent="0.25">
      <c r="B297" s="39"/>
      <c r="C297" s="39" t="s">
        <v>739</v>
      </c>
      <c r="D297" s="46" t="s">
        <v>269</v>
      </c>
      <c r="E297" s="46" t="s">
        <v>1</v>
      </c>
      <c r="F297" s="46" t="s">
        <v>139</v>
      </c>
      <c r="G297" s="12">
        <v>3</v>
      </c>
    </row>
    <row r="298" spans="2:7" x14ac:dyDescent="0.25">
      <c r="B298" s="39"/>
      <c r="C298" s="39" t="s">
        <v>300</v>
      </c>
      <c r="D298" s="46" t="s">
        <v>269</v>
      </c>
      <c r="E298" s="46" t="s">
        <v>1</v>
      </c>
      <c r="F298" s="46" t="s">
        <v>139</v>
      </c>
      <c r="G298" s="12">
        <v>1</v>
      </c>
    </row>
    <row r="299" spans="2:7" x14ac:dyDescent="0.25">
      <c r="B299" s="39"/>
      <c r="C299" s="39" t="s">
        <v>346</v>
      </c>
      <c r="D299" s="46" t="s">
        <v>346</v>
      </c>
      <c r="E299" s="46" t="s">
        <v>1</v>
      </c>
      <c r="F299" s="46" t="s">
        <v>46</v>
      </c>
      <c r="G299" s="12">
        <v>2</v>
      </c>
    </row>
    <row r="300" spans="2:7" x14ac:dyDescent="0.25">
      <c r="B300" s="39"/>
      <c r="C300" s="39" t="s">
        <v>1170</v>
      </c>
      <c r="D300" s="46" t="s">
        <v>329</v>
      </c>
      <c r="E300" s="46" t="s">
        <v>0</v>
      </c>
      <c r="F300" s="46" t="s">
        <v>46</v>
      </c>
      <c r="G300" s="12"/>
    </row>
    <row r="301" spans="2:7" x14ac:dyDescent="0.25">
      <c r="B301" s="39"/>
      <c r="C301" s="39" t="s">
        <v>1172</v>
      </c>
      <c r="D301" s="46" t="s">
        <v>382</v>
      </c>
      <c r="E301" s="46" t="s">
        <v>2</v>
      </c>
      <c r="F301" s="46" t="s">
        <v>139</v>
      </c>
      <c r="G301" s="12"/>
    </row>
    <row r="302" spans="2:7" x14ac:dyDescent="0.25">
      <c r="B302" s="39"/>
      <c r="C302" s="39" t="s">
        <v>1175</v>
      </c>
      <c r="D302" s="46" t="s">
        <v>382</v>
      </c>
      <c r="E302" s="46" t="s">
        <v>0</v>
      </c>
      <c r="F302" s="46" t="s">
        <v>46</v>
      </c>
      <c r="G302" s="12"/>
    </row>
    <row r="303" spans="2:7" x14ac:dyDescent="0.25">
      <c r="B303" s="39"/>
      <c r="C303" s="39" t="s">
        <v>435</v>
      </c>
      <c r="D303" s="46" t="s">
        <v>382</v>
      </c>
      <c r="E303" s="46" t="s">
        <v>0</v>
      </c>
      <c r="F303" s="46" t="s">
        <v>46</v>
      </c>
      <c r="G303" s="12"/>
    </row>
    <row r="304" spans="2:7" x14ac:dyDescent="0.25">
      <c r="B304" s="39"/>
      <c r="C304" s="39" t="s">
        <v>437</v>
      </c>
      <c r="D304" s="46" t="s">
        <v>382</v>
      </c>
      <c r="E304" s="46" t="s">
        <v>0</v>
      </c>
      <c r="F304" s="46" t="s">
        <v>139</v>
      </c>
      <c r="G304" s="12"/>
    </row>
    <row r="305" spans="2:7" x14ac:dyDescent="0.25">
      <c r="B305" s="39"/>
      <c r="C305" s="39" t="s">
        <v>439</v>
      </c>
      <c r="D305" s="46" t="s">
        <v>382</v>
      </c>
      <c r="E305" s="46" t="s">
        <v>2</v>
      </c>
      <c r="F305" s="46" t="s">
        <v>139</v>
      </c>
      <c r="G305" s="12"/>
    </row>
    <row r="306" spans="2:7" x14ac:dyDescent="0.25">
      <c r="B306" s="39"/>
      <c r="C306" s="39" t="s">
        <v>1176</v>
      </c>
      <c r="D306" s="46" t="s">
        <v>383</v>
      </c>
      <c r="E306" s="46" t="s">
        <v>1</v>
      </c>
      <c r="F306" s="46" t="s">
        <v>139</v>
      </c>
      <c r="G306" s="12"/>
    </row>
    <row r="307" spans="2:7" x14ac:dyDescent="0.25">
      <c r="B307" s="39"/>
      <c r="C307" s="39" t="s">
        <v>745</v>
      </c>
      <c r="D307" s="46" t="s">
        <v>390</v>
      </c>
      <c r="E307" s="46" t="s">
        <v>0</v>
      </c>
      <c r="F307" s="46" t="s">
        <v>46</v>
      </c>
      <c r="G307" s="12"/>
    </row>
    <row r="308" spans="2:7" x14ac:dyDescent="0.25">
      <c r="B308" s="39"/>
      <c r="C308" s="39" t="s">
        <v>746</v>
      </c>
      <c r="D308" s="46" t="s">
        <v>390</v>
      </c>
      <c r="E308" s="46" t="s">
        <v>0</v>
      </c>
      <c r="F308" s="46" t="s">
        <v>46</v>
      </c>
      <c r="G308" s="12"/>
    </row>
    <row r="309" spans="2:7" x14ac:dyDescent="0.25">
      <c r="B309" s="39"/>
      <c r="C309" s="39" t="s">
        <v>393</v>
      </c>
      <c r="D309" s="46" t="s">
        <v>390</v>
      </c>
      <c r="E309" s="46" t="s">
        <v>0</v>
      </c>
      <c r="F309" s="46" t="s">
        <v>46</v>
      </c>
      <c r="G309" s="12"/>
    </row>
    <row r="310" spans="2:7" x14ac:dyDescent="0.25">
      <c r="B310" s="39"/>
      <c r="C310" s="39" t="s">
        <v>750</v>
      </c>
      <c r="D310" s="46" t="s">
        <v>390</v>
      </c>
      <c r="E310" s="46" t="s">
        <v>0</v>
      </c>
      <c r="F310" s="46" t="s">
        <v>46</v>
      </c>
      <c r="G310" s="12"/>
    </row>
    <row r="311" spans="2:7" x14ac:dyDescent="0.25">
      <c r="B311" s="39"/>
      <c r="C311" s="39" t="s">
        <v>445</v>
      </c>
      <c r="D311" s="46" t="s">
        <v>201</v>
      </c>
      <c r="E311" s="46" t="s">
        <v>1</v>
      </c>
      <c r="F311" s="46" t="s">
        <v>139</v>
      </c>
      <c r="G311" s="12"/>
    </row>
    <row r="312" spans="2:7" x14ac:dyDescent="0.25">
      <c r="B312" s="39"/>
      <c r="C312" s="39" t="s">
        <v>1190</v>
      </c>
      <c r="D312" s="46" t="s">
        <v>405</v>
      </c>
      <c r="E312" s="46" t="s">
        <v>1</v>
      </c>
      <c r="F312" s="46" t="s">
        <v>139</v>
      </c>
      <c r="G312" s="12"/>
    </row>
    <row r="313" spans="2:7" x14ac:dyDescent="0.25">
      <c r="B313" s="39"/>
      <c r="C313" s="39" t="s">
        <v>448</v>
      </c>
      <c r="D313" s="46" t="s">
        <v>405</v>
      </c>
      <c r="E313" s="46" t="s">
        <v>1</v>
      </c>
      <c r="F313" s="46" t="s">
        <v>139</v>
      </c>
      <c r="G313" s="12"/>
    </row>
    <row r="314" spans="2:7" x14ac:dyDescent="0.25">
      <c r="B314" s="39"/>
      <c r="C314" s="39" t="s">
        <v>1191</v>
      </c>
      <c r="D314" s="46" t="s">
        <v>405</v>
      </c>
      <c r="E314" s="46" t="s">
        <v>1</v>
      </c>
      <c r="F314" s="46" t="s">
        <v>139</v>
      </c>
      <c r="G314" s="12"/>
    </row>
    <row r="315" spans="2:7" x14ac:dyDescent="0.25">
      <c r="B315" s="39"/>
      <c r="C315" s="39" t="s">
        <v>1194</v>
      </c>
      <c r="D315" s="46" t="s">
        <v>1195</v>
      </c>
      <c r="E315" s="46" t="s">
        <v>0</v>
      </c>
      <c r="F315" s="46" t="s">
        <v>139</v>
      </c>
      <c r="G315" s="12"/>
    </row>
    <row r="316" spans="2:7" x14ac:dyDescent="0.25">
      <c r="B316" s="39"/>
      <c r="C316" s="39"/>
      <c r="D316"/>
      <c r="E316" s="46" t="s">
        <v>1</v>
      </c>
      <c r="F316" s="46" t="s">
        <v>139</v>
      </c>
      <c r="G316" s="12"/>
    </row>
    <row r="317" spans="2:7" x14ac:dyDescent="0.25">
      <c r="B317" s="39"/>
      <c r="C317" s="39" t="s">
        <v>1199</v>
      </c>
      <c r="D317" s="46" t="s">
        <v>1195</v>
      </c>
      <c r="E317" s="46" t="s">
        <v>0</v>
      </c>
      <c r="F317" s="46" t="s">
        <v>46</v>
      </c>
      <c r="G317" s="12"/>
    </row>
    <row r="318" spans="2:7" x14ac:dyDescent="0.25">
      <c r="B318" s="39"/>
      <c r="C318" s="39" t="s">
        <v>1201</v>
      </c>
      <c r="D318" s="46" t="s">
        <v>1195</v>
      </c>
      <c r="E318" s="46" t="s">
        <v>0</v>
      </c>
      <c r="F318" s="46" t="s">
        <v>46</v>
      </c>
      <c r="G318" s="12"/>
    </row>
    <row r="319" spans="2:7" x14ac:dyDescent="0.25">
      <c r="B319" s="39"/>
      <c r="C319" s="39" t="s">
        <v>1205</v>
      </c>
      <c r="D319" s="46" t="s">
        <v>1195</v>
      </c>
      <c r="E319" s="46" t="s">
        <v>0</v>
      </c>
      <c r="F319" s="46" t="s">
        <v>139</v>
      </c>
      <c r="G319" s="12"/>
    </row>
    <row r="320" spans="2:7" x14ac:dyDescent="0.25">
      <c r="B320" s="39"/>
      <c r="C320" s="39" t="s">
        <v>1207</v>
      </c>
      <c r="D320" s="46" t="s">
        <v>1207</v>
      </c>
      <c r="E320" s="46" t="s">
        <v>2</v>
      </c>
      <c r="F320" s="46" t="s">
        <v>46</v>
      </c>
      <c r="G320" s="12"/>
    </row>
    <row r="321" spans="2:7" x14ac:dyDescent="0.25">
      <c r="B321" s="39"/>
      <c r="C321" s="39" t="s">
        <v>1197</v>
      </c>
      <c r="D321" s="46" t="s">
        <v>1195</v>
      </c>
      <c r="E321" s="46" t="s">
        <v>0</v>
      </c>
      <c r="F321" s="46" t="s">
        <v>46</v>
      </c>
      <c r="G321" s="12"/>
    </row>
    <row r="322" spans="2:7" x14ac:dyDescent="0.25">
      <c r="B322" s="39" t="s">
        <v>150</v>
      </c>
      <c r="C322" s="39" t="s">
        <v>212</v>
      </c>
      <c r="D322" s="46" t="s">
        <v>395</v>
      </c>
      <c r="E322" s="46" t="s">
        <v>0</v>
      </c>
      <c r="F322" s="46" t="s">
        <v>139</v>
      </c>
      <c r="G322" s="12"/>
    </row>
    <row r="323" spans="2:7" x14ac:dyDescent="0.25">
      <c r="B323" s="39"/>
      <c r="C323" s="39" t="s">
        <v>247</v>
      </c>
      <c r="D323" s="46" t="s">
        <v>395</v>
      </c>
      <c r="E323" s="46" t="s">
        <v>0</v>
      </c>
      <c r="F323" s="46" t="s">
        <v>139</v>
      </c>
      <c r="G323" s="12"/>
    </row>
    <row r="324" spans="2:7" x14ac:dyDescent="0.25">
      <c r="B324" s="39"/>
      <c r="C324" s="39" t="s">
        <v>249</v>
      </c>
      <c r="D324" s="46" t="s">
        <v>395</v>
      </c>
      <c r="E324" s="46" t="s">
        <v>0</v>
      </c>
      <c r="F324" s="46" t="s">
        <v>139</v>
      </c>
      <c r="G324" s="12"/>
    </row>
    <row r="325" spans="2:7" x14ac:dyDescent="0.25">
      <c r="B325" s="39"/>
      <c r="C325" s="39" t="s">
        <v>298</v>
      </c>
      <c r="D325" s="46" t="s">
        <v>269</v>
      </c>
      <c r="E325" s="46" t="s">
        <v>1</v>
      </c>
      <c r="F325" s="46" t="s">
        <v>139</v>
      </c>
      <c r="G325" s="12">
        <v>1</v>
      </c>
    </row>
    <row r="326" spans="2:7" x14ac:dyDescent="0.25">
      <c r="B326" s="39"/>
      <c r="C326" s="39" t="s">
        <v>1170</v>
      </c>
      <c r="D326" s="46" t="s">
        <v>329</v>
      </c>
      <c r="E326" s="46" t="s">
        <v>0</v>
      </c>
      <c r="F326" s="46" t="s">
        <v>46</v>
      </c>
      <c r="G326" s="12">
        <v>12</v>
      </c>
    </row>
    <row r="327" spans="2:7" x14ac:dyDescent="0.25">
      <c r="B327" s="39"/>
      <c r="C327" s="39" t="s">
        <v>1172</v>
      </c>
      <c r="D327" s="46" t="s">
        <v>382</v>
      </c>
      <c r="E327" s="46" t="s">
        <v>2</v>
      </c>
      <c r="F327" s="46" t="s">
        <v>139</v>
      </c>
      <c r="G327" s="12"/>
    </row>
    <row r="328" spans="2:7" x14ac:dyDescent="0.25">
      <c r="B328" s="39"/>
      <c r="C328" s="39" t="s">
        <v>1175</v>
      </c>
      <c r="D328" s="46" t="s">
        <v>382</v>
      </c>
      <c r="E328" s="46" t="s">
        <v>0</v>
      </c>
      <c r="F328" s="46" t="s">
        <v>46</v>
      </c>
      <c r="G328" s="12"/>
    </row>
    <row r="329" spans="2:7" x14ac:dyDescent="0.25">
      <c r="B329" s="39"/>
      <c r="C329" s="39" t="s">
        <v>435</v>
      </c>
      <c r="D329" s="46" t="s">
        <v>382</v>
      </c>
      <c r="E329" s="46" t="s">
        <v>0</v>
      </c>
      <c r="F329" s="46" t="s">
        <v>46</v>
      </c>
      <c r="G329" s="12"/>
    </row>
    <row r="330" spans="2:7" x14ac:dyDescent="0.25">
      <c r="B330" s="39"/>
      <c r="C330" s="39" t="s">
        <v>437</v>
      </c>
      <c r="D330" s="46" t="s">
        <v>382</v>
      </c>
      <c r="E330" s="46" t="s">
        <v>0</v>
      </c>
      <c r="F330" s="46" t="s">
        <v>139</v>
      </c>
      <c r="G330" s="12"/>
    </row>
    <row r="331" spans="2:7" x14ac:dyDescent="0.25">
      <c r="B331" s="39"/>
      <c r="C331" s="39" t="s">
        <v>439</v>
      </c>
      <c r="D331" s="46" t="s">
        <v>382</v>
      </c>
      <c r="E331" s="46" t="s">
        <v>2</v>
      </c>
      <c r="F331" s="46" t="s">
        <v>139</v>
      </c>
      <c r="G331" s="12"/>
    </row>
    <row r="332" spans="2:7" x14ac:dyDescent="0.25">
      <c r="B332" s="39"/>
      <c r="C332" s="39" t="s">
        <v>1176</v>
      </c>
      <c r="D332" s="46" t="s">
        <v>383</v>
      </c>
      <c r="E332" s="46" t="s">
        <v>1</v>
      </c>
      <c r="F332" s="46" t="s">
        <v>139</v>
      </c>
      <c r="G332" s="12"/>
    </row>
    <row r="333" spans="2:7" x14ac:dyDescent="0.25">
      <c r="B333" s="39"/>
      <c r="C333" s="39" t="s">
        <v>1191</v>
      </c>
      <c r="D333" s="46" t="s">
        <v>405</v>
      </c>
      <c r="E333" s="46" t="s">
        <v>1</v>
      </c>
      <c r="F333" s="46" t="s">
        <v>139</v>
      </c>
      <c r="G333" s="12"/>
    </row>
    <row r="334" spans="2:7" x14ac:dyDescent="0.25">
      <c r="B334" s="39"/>
      <c r="C334" s="39" t="s">
        <v>1199</v>
      </c>
      <c r="D334" s="46" t="s">
        <v>1195</v>
      </c>
      <c r="E334" s="46" t="s">
        <v>0</v>
      </c>
      <c r="F334" s="46" t="s">
        <v>46</v>
      </c>
      <c r="G334" s="12"/>
    </row>
    <row r="335" spans="2:7" x14ac:dyDescent="0.25">
      <c r="B335" s="39"/>
      <c r="C335" s="39" t="s">
        <v>1201</v>
      </c>
      <c r="D335" s="46" t="s">
        <v>1195</v>
      </c>
      <c r="E335" s="46" t="s">
        <v>0</v>
      </c>
      <c r="F335" s="46" t="s">
        <v>46</v>
      </c>
      <c r="G335" s="12"/>
    </row>
    <row r="336" spans="2:7" x14ac:dyDescent="0.25">
      <c r="B336" s="39"/>
      <c r="C336" s="39" t="s">
        <v>1205</v>
      </c>
      <c r="D336" s="46" t="s">
        <v>1195</v>
      </c>
      <c r="E336" s="46" t="s">
        <v>0</v>
      </c>
      <c r="F336" s="46" t="s">
        <v>139</v>
      </c>
      <c r="G336" s="12"/>
    </row>
    <row r="337" spans="2:7" x14ac:dyDescent="0.25">
      <c r="B337" s="39"/>
      <c r="C337" s="39" t="s">
        <v>1207</v>
      </c>
      <c r="D337" s="46" t="s">
        <v>1207</v>
      </c>
      <c r="E337" s="46" t="s">
        <v>2</v>
      </c>
      <c r="F337" s="46" t="s">
        <v>46</v>
      </c>
      <c r="G337" s="12"/>
    </row>
    <row r="338" spans="2:7" x14ac:dyDescent="0.25">
      <c r="B338" s="46" t="s">
        <v>124</v>
      </c>
      <c r="C338" s="39" t="s">
        <v>124</v>
      </c>
      <c r="D338" s="46" t="s">
        <v>124</v>
      </c>
      <c r="E338" s="46" t="s">
        <v>124</v>
      </c>
      <c r="F338" s="46" t="s">
        <v>124</v>
      </c>
      <c r="G338" s="12"/>
    </row>
    <row r="339" spans="2:7" x14ac:dyDescent="0.25">
      <c r="B339" s="46" t="s">
        <v>12</v>
      </c>
      <c r="C339"/>
      <c r="D339"/>
      <c r="E339"/>
      <c r="F339"/>
      <c r="G339" s="12">
        <v>91886</v>
      </c>
    </row>
    <row r="340" spans="2:7" x14ac:dyDescent="0.25">
      <c r="B340"/>
      <c r="C340"/>
      <c r="D340"/>
      <c r="E340"/>
      <c r="F340"/>
      <c r="G340"/>
    </row>
    <row r="341" spans="2:7" x14ac:dyDescent="0.25">
      <c r="B341"/>
      <c r="C341"/>
      <c r="D341"/>
      <c r="E341"/>
      <c r="F341"/>
      <c r="G341"/>
    </row>
    <row r="342" spans="2:7" x14ac:dyDescent="0.25">
      <c r="B342"/>
      <c r="C342"/>
      <c r="D342"/>
      <c r="E342"/>
      <c r="F342"/>
      <c r="G342"/>
    </row>
    <row r="343" spans="2:7" x14ac:dyDescent="0.25">
      <c r="B343"/>
      <c r="C343"/>
      <c r="D343"/>
      <c r="E343"/>
      <c r="F343"/>
      <c r="G343"/>
    </row>
    <row r="344" spans="2:7" x14ac:dyDescent="0.25">
      <c r="B344"/>
      <c r="C344"/>
      <c r="D344"/>
      <c r="E344"/>
      <c r="F344"/>
      <c r="G344"/>
    </row>
    <row r="345" spans="2:7" x14ac:dyDescent="0.25">
      <c r="B345"/>
      <c r="C345"/>
      <c r="D345"/>
      <c r="E345"/>
      <c r="F345"/>
      <c r="G345"/>
    </row>
    <row r="346" spans="2:7" x14ac:dyDescent="0.25">
      <c r="B346"/>
      <c r="C346"/>
      <c r="D346"/>
      <c r="E346"/>
      <c r="F346"/>
      <c r="G346"/>
    </row>
    <row r="347" spans="2:7" x14ac:dyDescent="0.25">
      <c r="B347"/>
      <c r="C347"/>
      <c r="D347"/>
      <c r="E347"/>
      <c r="F347"/>
      <c r="G347"/>
    </row>
    <row r="348" spans="2:7" x14ac:dyDescent="0.25">
      <c r="B348"/>
      <c r="C348"/>
      <c r="D348"/>
      <c r="E348"/>
      <c r="F348"/>
      <c r="G348"/>
    </row>
    <row r="349" spans="2:7" x14ac:dyDescent="0.25">
      <c r="B349"/>
      <c r="C349"/>
      <c r="D349"/>
      <c r="E349"/>
      <c r="F349"/>
      <c r="G349"/>
    </row>
    <row r="350" spans="2:7" x14ac:dyDescent="0.25">
      <c r="B350"/>
      <c r="C350"/>
      <c r="D350"/>
      <c r="E350"/>
      <c r="F350"/>
      <c r="G350"/>
    </row>
    <row r="351" spans="2:7" x14ac:dyDescent="0.25">
      <c r="B351"/>
      <c r="C351"/>
      <c r="D351"/>
      <c r="E351"/>
      <c r="F351"/>
      <c r="G351"/>
    </row>
    <row r="352" spans="2:7" x14ac:dyDescent="0.25">
      <c r="B352"/>
      <c r="C352"/>
      <c r="D352"/>
      <c r="E352"/>
      <c r="F352"/>
      <c r="G352"/>
    </row>
    <row r="353" spans="2:7" x14ac:dyDescent="0.25">
      <c r="B353"/>
      <c r="C353"/>
      <c r="D353"/>
      <c r="E353"/>
      <c r="F353"/>
      <c r="G353"/>
    </row>
    <row r="354" spans="2:7" x14ac:dyDescent="0.25">
      <c r="B354"/>
      <c r="C354"/>
      <c r="D354"/>
      <c r="E354"/>
      <c r="F354"/>
      <c r="G354"/>
    </row>
    <row r="355" spans="2:7" x14ac:dyDescent="0.25">
      <c r="B355"/>
      <c r="C355"/>
      <c r="D355"/>
      <c r="E355"/>
      <c r="F355"/>
      <c r="G355"/>
    </row>
    <row r="356" spans="2:7" x14ac:dyDescent="0.25">
      <c r="B356"/>
      <c r="C356"/>
      <c r="D356"/>
      <c r="E356"/>
      <c r="F356"/>
      <c r="G356"/>
    </row>
    <row r="357" spans="2:7" x14ac:dyDescent="0.25">
      <c r="B357"/>
      <c r="C357"/>
      <c r="D357"/>
      <c r="E357"/>
      <c r="F357"/>
      <c r="G357"/>
    </row>
    <row r="358" spans="2:7" x14ac:dyDescent="0.25">
      <c r="B358"/>
      <c r="C358"/>
      <c r="D358"/>
      <c r="E358"/>
      <c r="F358"/>
      <c r="G358"/>
    </row>
    <row r="359" spans="2:7" x14ac:dyDescent="0.25">
      <c r="B359"/>
      <c r="C359"/>
      <c r="D359"/>
      <c r="E359"/>
      <c r="F359"/>
      <c r="G359"/>
    </row>
    <row r="360" spans="2:7" x14ac:dyDescent="0.25">
      <c r="B360"/>
      <c r="C360"/>
      <c r="D360"/>
      <c r="E360"/>
      <c r="F360"/>
      <c r="G360"/>
    </row>
    <row r="361" spans="2:7" x14ac:dyDescent="0.25">
      <c r="B361"/>
      <c r="C361"/>
      <c r="D361"/>
      <c r="E361"/>
      <c r="F361"/>
      <c r="G361"/>
    </row>
    <row r="362" spans="2:7" x14ac:dyDescent="0.25">
      <c r="B362"/>
      <c r="C362"/>
      <c r="D362"/>
      <c r="E362"/>
      <c r="F362"/>
      <c r="G362"/>
    </row>
    <row r="363" spans="2:7" x14ac:dyDescent="0.25">
      <c r="B363"/>
      <c r="C363"/>
      <c r="D363"/>
      <c r="E363"/>
      <c r="F363"/>
      <c r="G363"/>
    </row>
    <row r="364" spans="2:7" x14ac:dyDescent="0.25">
      <c r="B364"/>
      <c r="C364"/>
      <c r="D364"/>
      <c r="E364"/>
      <c r="F364"/>
      <c r="G364"/>
    </row>
    <row r="365" spans="2:7" x14ac:dyDescent="0.25">
      <c r="B365"/>
      <c r="C365"/>
      <c r="D365"/>
      <c r="E365"/>
      <c r="F365"/>
      <c r="G365"/>
    </row>
    <row r="366" spans="2:7" x14ac:dyDescent="0.25">
      <c r="B366"/>
      <c r="C366"/>
      <c r="D366"/>
      <c r="E366"/>
      <c r="F366"/>
      <c r="G366"/>
    </row>
    <row r="367" spans="2:7" x14ac:dyDescent="0.25">
      <c r="B367"/>
      <c r="C367"/>
      <c r="D367"/>
      <c r="E367"/>
      <c r="F367"/>
      <c r="G367"/>
    </row>
    <row r="368" spans="2:7" x14ac:dyDescent="0.25">
      <c r="B368"/>
      <c r="C368"/>
      <c r="D368"/>
      <c r="E368"/>
      <c r="F368"/>
      <c r="G368"/>
    </row>
    <row r="369" spans="2:7" x14ac:dyDescent="0.25">
      <c r="B369"/>
      <c r="C369"/>
      <c r="D369"/>
      <c r="E369"/>
      <c r="F369"/>
      <c r="G369"/>
    </row>
    <row r="370" spans="2:7" x14ac:dyDescent="0.25">
      <c r="B370"/>
      <c r="C370"/>
      <c r="D370"/>
      <c r="E370"/>
      <c r="F370"/>
      <c r="G370"/>
    </row>
    <row r="371" spans="2:7" x14ac:dyDescent="0.25">
      <c r="B371"/>
      <c r="C371"/>
      <c r="D371"/>
      <c r="E371"/>
      <c r="F371"/>
      <c r="G371"/>
    </row>
    <row r="372" spans="2:7" x14ac:dyDescent="0.25">
      <c r="B372"/>
      <c r="C372"/>
      <c r="D372"/>
      <c r="E372"/>
      <c r="F372"/>
      <c r="G372"/>
    </row>
    <row r="373" spans="2:7" x14ac:dyDescent="0.25">
      <c r="B373"/>
      <c r="C373"/>
      <c r="D373"/>
      <c r="E373"/>
      <c r="F373"/>
      <c r="G373"/>
    </row>
    <row r="374" spans="2:7" x14ac:dyDescent="0.25">
      <c r="B374"/>
      <c r="C374"/>
      <c r="D374"/>
      <c r="E374"/>
      <c r="F374"/>
      <c r="G374"/>
    </row>
    <row r="375" spans="2:7" x14ac:dyDescent="0.25">
      <c r="B375"/>
      <c r="C375"/>
      <c r="D375"/>
      <c r="E375"/>
      <c r="F375"/>
      <c r="G375"/>
    </row>
    <row r="376" spans="2:7" x14ac:dyDescent="0.25">
      <c r="B376"/>
      <c r="C376"/>
      <c r="D376"/>
      <c r="E376"/>
      <c r="F376"/>
      <c r="G376"/>
    </row>
    <row r="377" spans="2:7" x14ac:dyDescent="0.25">
      <c r="B377"/>
      <c r="C377"/>
      <c r="D377"/>
      <c r="E377"/>
      <c r="F377"/>
      <c r="G377"/>
    </row>
    <row r="378" spans="2:7" x14ac:dyDescent="0.25">
      <c r="B378"/>
      <c r="C378"/>
      <c r="D378"/>
      <c r="E378"/>
      <c r="F378"/>
      <c r="G378"/>
    </row>
    <row r="379" spans="2:7" x14ac:dyDescent="0.25">
      <c r="B379"/>
      <c r="C379"/>
      <c r="D379"/>
      <c r="E379"/>
      <c r="F379"/>
      <c r="G379"/>
    </row>
    <row r="380" spans="2:7" x14ac:dyDescent="0.25">
      <c r="B380"/>
      <c r="C380"/>
      <c r="D380"/>
      <c r="E380"/>
      <c r="F380"/>
      <c r="G380"/>
    </row>
    <row r="381" spans="2:7" x14ac:dyDescent="0.25">
      <c r="B381"/>
      <c r="C381"/>
      <c r="D381"/>
      <c r="E381"/>
      <c r="F381"/>
      <c r="G381"/>
    </row>
    <row r="382" spans="2:7" x14ac:dyDescent="0.25">
      <c r="B382"/>
      <c r="C382"/>
      <c r="D382"/>
      <c r="E382"/>
      <c r="F382"/>
      <c r="G382"/>
    </row>
    <row r="383" spans="2:7" x14ac:dyDescent="0.25">
      <c r="B383"/>
      <c r="C383"/>
      <c r="D383"/>
      <c r="E383"/>
      <c r="F383"/>
      <c r="G383"/>
    </row>
    <row r="384" spans="2:7" x14ac:dyDescent="0.25">
      <c r="B384"/>
      <c r="C384"/>
      <c r="D384"/>
      <c r="E384"/>
      <c r="F384"/>
      <c r="G384"/>
    </row>
    <row r="385" spans="2:7" x14ac:dyDescent="0.25">
      <c r="B385"/>
      <c r="C385"/>
      <c r="D385"/>
      <c r="E385"/>
      <c r="F385"/>
      <c r="G385"/>
    </row>
    <row r="386" spans="2:7" x14ac:dyDescent="0.25">
      <c r="B386"/>
      <c r="C386"/>
      <c r="D386"/>
      <c r="E386"/>
      <c r="F386"/>
      <c r="G386"/>
    </row>
    <row r="387" spans="2:7" x14ac:dyDescent="0.25">
      <c r="B387"/>
      <c r="C387"/>
      <c r="D387"/>
      <c r="E387"/>
      <c r="F387"/>
      <c r="G387"/>
    </row>
    <row r="388" spans="2:7" x14ac:dyDescent="0.25">
      <c r="B388"/>
      <c r="C388"/>
      <c r="D388"/>
      <c r="E388"/>
      <c r="F388"/>
      <c r="G388"/>
    </row>
    <row r="389" spans="2:7" x14ac:dyDescent="0.25">
      <c r="B389"/>
      <c r="C389"/>
      <c r="D389"/>
      <c r="E389"/>
      <c r="F389"/>
      <c r="G389"/>
    </row>
    <row r="390" spans="2:7" x14ac:dyDescent="0.25">
      <c r="B390"/>
      <c r="C390"/>
      <c r="D390"/>
      <c r="E390"/>
      <c r="F390"/>
      <c r="G390"/>
    </row>
    <row r="391" spans="2:7" x14ac:dyDescent="0.25">
      <c r="B391"/>
      <c r="C391"/>
      <c r="D391"/>
      <c r="E391"/>
      <c r="F391"/>
      <c r="G391"/>
    </row>
    <row r="392" spans="2:7" x14ac:dyDescent="0.25">
      <c r="B392"/>
      <c r="C392"/>
      <c r="D392"/>
      <c r="E392"/>
      <c r="F392"/>
      <c r="G392"/>
    </row>
    <row r="393" spans="2:7" x14ac:dyDescent="0.25">
      <c r="B393"/>
      <c r="C393"/>
      <c r="D393"/>
      <c r="E393"/>
      <c r="F393"/>
      <c r="G393"/>
    </row>
    <row r="394" spans="2:7" x14ac:dyDescent="0.25">
      <c r="B394"/>
      <c r="C394"/>
      <c r="D394"/>
      <c r="E394"/>
      <c r="F394"/>
      <c r="G394"/>
    </row>
    <row r="395" spans="2:7" x14ac:dyDescent="0.25">
      <c r="B395"/>
      <c r="C395"/>
      <c r="D395"/>
      <c r="E395"/>
      <c r="F395"/>
      <c r="G395"/>
    </row>
    <row r="396" spans="2:7" x14ac:dyDescent="0.25">
      <c r="B396"/>
      <c r="C396"/>
      <c r="D396"/>
      <c r="E396"/>
      <c r="F396"/>
      <c r="G396"/>
    </row>
    <row r="397" spans="2:7" x14ac:dyDescent="0.25">
      <c r="B397"/>
      <c r="C397"/>
      <c r="D397"/>
      <c r="E397"/>
      <c r="F397"/>
      <c r="G397"/>
    </row>
    <row r="398" spans="2:7" x14ac:dyDescent="0.25">
      <c r="B398"/>
      <c r="C398"/>
      <c r="D398"/>
      <c r="E398"/>
      <c r="F398"/>
      <c r="G398"/>
    </row>
    <row r="399" spans="2:7" x14ac:dyDescent="0.25">
      <c r="B399"/>
      <c r="C399"/>
      <c r="D399"/>
      <c r="E399"/>
      <c r="F399"/>
      <c r="G399"/>
    </row>
    <row r="400" spans="2:7" x14ac:dyDescent="0.25">
      <c r="B400"/>
      <c r="C400"/>
      <c r="D400"/>
      <c r="E400"/>
      <c r="F400"/>
      <c r="G400"/>
    </row>
    <row r="401" spans="2:7" x14ac:dyDescent="0.25">
      <c r="B401"/>
      <c r="C401"/>
      <c r="D401"/>
      <c r="E401"/>
      <c r="F401"/>
      <c r="G401"/>
    </row>
    <row r="402" spans="2:7" x14ac:dyDescent="0.25">
      <c r="B402"/>
      <c r="C402"/>
      <c r="D402"/>
      <c r="E402"/>
      <c r="F402"/>
      <c r="G402"/>
    </row>
    <row r="403" spans="2:7" x14ac:dyDescent="0.25">
      <c r="B403"/>
      <c r="C403"/>
      <c r="D403"/>
      <c r="E403"/>
      <c r="F403"/>
      <c r="G403"/>
    </row>
    <row r="404" spans="2:7" x14ac:dyDescent="0.25">
      <c r="B404"/>
      <c r="C404"/>
      <c r="D404"/>
      <c r="E404"/>
      <c r="F404"/>
      <c r="G404"/>
    </row>
    <row r="405" spans="2:7" x14ac:dyDescent="0.25">
      <c r="B405"/>
      <c r="C405"/>
      <c r="D405"/>
      <c r="E405"/>
      <c r="F405"/>
      <c r="G405"/>
    </row>
    <row r="406" spans="2:7" x14ac:dyDescent="0.25">
      <c r="B406"/>
      <c r="C406"/>
      <c r="D406"/>
      <c r="E406"/>
      <c r="F406"/>
      <c r="G406"/>
    </row>
    <row r="407" spans="2:7" x14ac:dyDescent="0.25">
      <c r="B407"/>
      <c r="C407"/>
      <c r="D407"/>
      <c r="E407"/>
      <c r="F407"/>
      <c r="G407"/>
    </row>
    <row r="408" spans="2:7" x14ac:dyDescent="0.25">
      <c r="B408"/>
      <c r="C408"/>
      <c r="D408"/>
      <c r="E408"/>
      <c r="F408"/>
      <c r="G408"/>
    </row>
    <row r="409" spans="2:7" x14ac:dyDescent="0.25">
      <c r="B409"/>
      <c r="C409"/>
      <c r="D409"/>
      <c r="E409"/>
      <c r="F409"/>
      <c r="G409"/>
    </row>
    <row r="410" spans="2:7" x14ac:dyDescent="0.25">
      <c r="B410"/>
      <c r="C410"/>
      <c r="D410"/>
      <c r="E410"/>
      <c r="F410"/>
      <c r="G410"/>
    </row>
    <row r="411" spans="2:7" x14ac:dyDescent="0.25">
      <c r="B411"/>
      <c r="C411"/>
      <c r="D411"/>
      <c r="E411"/>
      <c r="F411"/>
      <c r="G411"/>
    </row>
    <row r="412" spans="2:7" x14ac:dyDescent="0.25">
      <c r="B412"/>
      <c r="C412"/>
      <c r="D412"/>
      <c r="E412"/>
      <c r="F412"/>
      <c r="G412"/>
    </row>
    <row r="413" spans="2:7" x14ac:dyDescent="0.25">
      <c r="B413"/>
      <c r="C413"/>
      <c r="D413"/>
      <c r="E413"/>
      <c r="F413"/>
      <c r="G413"/>
    </row>
    <row r="414" spans="2:7" x14ac:dyDescent="0.25">
      <c r="B414"/>
      <c r="C414"/>
      <c r="D414"/>
      <c r="E414"/>
      <c r="F414"/>
      <c r="G414"/>
    </row>
    <row r="415" spans="2:7" x14ac:dyDescent="0.25">
      <c r="B415"/>
      <c r="C415"/>
      <c r="D415"/>
      <c r="E415"/>
      <c r="F415"/>
      <c r="G415"/>
    </row>
    <row r="416" spans="2:7" x14ac:dyDescent="0.25">
      <c r="B416"/>
      <c r="C416"/>
      <c r="D416"/>
      <c r="E416"/>
      <c r="F416"/>
      <c r="G416"/>
    </row>
    <row r="417" spans="2:7" x14ac:dyDescent="0.25">
      <c r="B417"/>
      <c r="C417"/>
      <c r="D417"/>
      <c r="E417"/>
      <c r="F417"/>
      <c r="G417"/>
    </row>
    <row r="418" spans="2:7" x14ac:dyDescent="0.25">
      <c r="B418"/>
      <c r="C418"/>
      <c r="D418"/>
      <c r="E418"/>
      <c r="F418"/>
      <c r="G418"/>
    </row>
    <row r="419" spans="2:7" x14ac:dyDescent="0.25">
      <c r="B419"/>
      <c r="C419"/>
      <c r="D419"/>
      <c r="E419"/>
      <c r="F419"/>
      <c r="G419"/>
    </row>
    <row r="420" spans="2:7" x14ac:dyDescent="0.25">
      <c r="B420"/>
      <c r="C420"/>
      <c r="D420"/>
      <c r="E420"/>
      <c r="F420"/>
      <c r="G420"/>
    </row>
    <row r="421" spans="2:7" x14ac:dyDescent="0.25">
      <c r="B421"/>
      <c r="C421"/>
      <c r="D421"/>
      <c r="E421"/>
      <c r="F421"/>
      <c r="G421"/>
    </row>
    <row r="422" spans="2:7" x14ac:dyDescent="0.25">
      <c r="B422"/>
      <c r="C422"/>
      <c r="D422"/>
      <c r="E422"/>
      <c r="F422"/>
      <c r="G422"/>
    </row>
    <row r="423" spans="2:7" x14ac:dyDescent="0.25">
      <c r="B423"/>
      <c r="C423"/>
      <c r="D423"/>
      <c r="E423"/>
      <c r="F423"/>
      <c r="G423"/>
    </row>
    <row r="424" spans="2:7" x14ac:dyDescent="0.25">
      <c r="B424"/>
      <c r="C424"/>
      <c r="D424"/>
      <c r="E424"/>
      <c r="F424"/>
      <c r="G424"/>
    </row>
    <row r="425" spans="2:7" x14ac:dyDescent="0.25">
      <c r="B425"/>
      <c r="C425"/>
      <c r="D425"/>
      <c r="E425"/>
      <c r="F425"/>
      <c r="G425"/>
    </row>
    <row r="426" spans="2:7" x14ac:dyDescent="0.25">
      <c r="B426"/>
      <c r="C426"/>
      <c r="D426"/>
      <c r="E426"/>
      <c r="F426"/>
      <c r="G426"/>
    </row>
    <row r="427" spans="2:7" x14ac:dyDescent="0.25">
      <c r="B427"/>
      <c r="C427"/>
      <c r="D427"/>
      <c r="E427"/>
      <c r="F427"/>
      <c r="G427"/>
    </row>
    <row r="428" spans="2:7" x14ac:dyDescent="0.25">
      <c r="B428"/>
      <c r="C428"/>
      <c r="D428"/>
      <c r="E428"/>
      <c r="F428"/>
      <c r="G428"/>
    </row>
    <row r="429" spans="2:7" x14ac:dyDescent="0.25">
      <c r="B429"/>
      <c r="C429"/>
      <c r="D429"/>
      <c r="E429"/>
      <c r="F429"/>
      <c r="G429"/>
    </row>
    <row r="430" spans="2:7" x14ac:dyDescent="0.25">
      <c r="B430"/>
      <c r="C430"/>
      <c r="D430"/>
      <c r="E430"/>
      <c r="F430"/>
      <c r="G430"/>
    </row>
    <row r="431" spans="2:7" x14ac:dyDescent="0.25">
      <c r="B431"/>
      <c r="C431"/>
      <c r="D431"/>
      <c r="E431"/>
      <c r="F431"/>
      <c r="G431"/>
    </row>
    <row r="432" spans="2:7" x14ac:dyDescent="0.25">
      <c r="B432"/>
      <c r="C432"/>
      <c r="D432"/>
      <c r="E432"/>
      <c r="F432"/>
      <c r="G432"/>
    </row>
    <row r="433" spans="2:7" x14ac:dyDescent="0.25">
      <c r="B433"/>
      <c r="C433"/>
      <c r="D433"/>
      <c r="E433"/>
      <c r="F433"/>
      <c r="G433"/>
    </row>
    <row r="434" spans="2:7" x14ac:dyDescent="0.25">
      <c r="B434"/>
      <c r="C434"/>
      <c r="D434"/>
      <c r="E434"/>
      <c r="F434"/>
      <c r="G434"/>
    </row>
    <row r="435" spans="2:7" x14ac:dyDescent="0.25">
      <c r="B435"/>
      <c r="C435"/>
      <c r="D435"/>
      <c r="E435"/>
      <c r="F435"/>
      <c r="G435"/>
    </row>
    <row r="436" spans="2:7" x14ac:dyDescent="0.25">
      <c r="B436"/>
      <c r="C436"/>
      <c r="D436"/>
      <c r="E436"/>
      <c r="F436"/>
      <c r="G436"/>
    </row>
    <row r="437" spans="2:7" x14ac:dyDescent="0.25">
      <c r="B437"/>
      <c r="C437"/>
      <c r="D437"/>
      <c r="E437"/>
      <c r="F437"/>
      <c r="G437"/>
    </row>
    <row r="438" spans="2:7" x14ac:dyDescent="0.25">
      <c r="B438"/>
      <c r="C438"/>
      <c r="D438"/>
      <c r="E438"/>
      <c r="F438"/>
      <c r="G438"/>
    </row>
    <row r="439" spans="2:7" x14ac:dyDescent="0.25">
      <c r="B439"/>
      <c r="C439"/>
      <c r="D439"/>
      <c r="E439"/>
      <c r="F439"/>
      <c r="G439"/>
    </row>
    <row r="440" spans="2:7" x14ac:dyDescent="0.25">
      <c r="B440"/>
      <c r="C440"/>
      <c r="D440"/>
      <c r="E440"/>
      <c r="F440"/>
      <c r="G440"/>
    </row>
    <row r="441" spans="2:7" x14ac:dyDescent="0.25">
      <c r="B441"/>
      <c r="C441"/>
      <c r="D441"/>
      <c r="E441"/>
      <c r="F441"/>
      <c r="G441"/>
    </row>
    <row r="442" spans="2:7" x14ac:dyDescent="0.25">
      <c r="B442"/>
      <c r="C442"/>
      <c r="D442"/>
      <c r="E442"/>
      <c r="F442"/>
      <c r="G442"/>
    </row>
    <row r="443" spans="2:7" x14ac:dyDescent="0.25">
      <c r="B443"/>
      <c r="C443"/>
      <c r="D443"/>
      <c r="E443"/>
      <c r="F443"/>
      <c r="G443"/>
    </row>
    <row r="444" spans="2:7" x14ac:dyDescent="0.25">
      <c r="B444"/>
      <c r="C444"/>
      <c r="D444"/>
      <c r="E444"/>
      <c r="F444"/>
      <c r="G444"/>
    </row>
    <row r="445" spans="2:7" x14ac:dyDescent="0.25">
      <c r="B445"/>
      <c r="C445"/>
      <c r="D445"/>
      <c r="E445"/>
      <c r="F445"/>
      <c r="G445"/>
    </row>
    <row r="446" spans="2:7" x14ac:dyDescent="0.25">
      <c r="B446"/>
      <c r="C446"/>
      <c r="D446"/>
      <c r="E446"/>
      <c r="F446"/>
      <c r="G446"/>
    </row>
    <row r="447" spans="2:7" x14ac:dyDescent="0.25">
      <c r="B447"/>
      <c r="C447"/>
      <c r="D447"/>
      <c r="E447"/>
      <c r="F447"/>
      <c r="G447"/>
    </row>
    <row r="448" spans="2:7" x14ac:dyDescent="0.25">
      <c r="B448"/>
      <c r="C448"/>
      <c r="D448"/>
      <c r="E448"/>
      <c r="F448"/>
      <c r="G448"/>
    </row>
    <row r="449" spans="2:7" x14ac:dyDescent="0.25">
      <c r="B449"/>
      <c r="C449"/>
      <c r="D449"/>
      <c r="E449"/>
      <c r="F449"/>
      <c r="G449"/>
    </row>
    <row r="450" spans="2:7" x14ac:dyDescent="0.25">
      <c r="B450"/>
      <c r="C450"/>
      <c r="D450"/>
      <c r="E450"/>
      <c r="F450"/>
      <c r="G450"/>
    </row>
    <row r="451" spans="2:7" x14ac:dyDescent="0.25">
      <c r="B451"/>
      <c r="C451"/>
      <c r="D451"/>
      <c r="E451"/>
      <c r="F451"/>
      <c r="G451"/>
    </row>
    <row r="452" spans="2:7" x14ac:dyDescent="0.25">
      <c r="B452"/>
      <c r="C452"/>
      <c r="D452"/>
      <c r="E452"/>
      <c r="F452"/>
      <c r="G452"/>
    </row>
    <row r="453" spans="2:7" x14ac:dyDescent="0.25">
      <c r="B453"/>
      <c r="C453"/>
      <c r="D453"/>
      <c r="E453"/>
      <c r="F453"/>
      <c r="G453"/>
    </row>
    <row r="454" spans="2:7" x14ac:dyDescent="0.25">
      <c r="B454"/>
      <c r="C454"/>
      <c r="D454"/>
      <c r="E454"/>
      <c r="F454"/>
      <c r="G454"/>
    </row>
    <row r="455" spans="2:7" x14ac:dyDescent="0.25">
      <c r="B455"/>
      <c r="C455"/>
      <c r="D455"/>
      <c r="E455"/>
      <c r="F455"/>
      <c r="G455"/>
    </row>
    <row r="456" spans="2:7" x14ac:dyDescent="0.25">
      <c r="B456"/>
      <c r="C456"/>
      <c r="D456"/>
      <c r="E456"/>
      <c r="F456"/>
      <c r="G456"/>
    </row>
    <row r="457" spans="2:7" x14ac:dyDescent="0.25">
      <c r="B457"/>
      <c r="C457"/>
      <c r="D457"/>
      <c r="E457"/>
      <c r="F457"/>
      <c r="G457"/>
    </row>
    <row r="458" spans="2:7" x14ac:dyDescent="0.25">
      <c r="B458"/>
      <c r="C458"/>
      <c r="D458"/>
      <c r="E458"/>
      <c r="F458"/>
      <c r="G458"/>
    </row>
    <row r="459" spans="2:7" x14ac:dyDescent="0.25">
      <c r="B459"/>
      <c r="C459"/>
      <c r="D459"/>
      <c r="E459"/>
      <c r="F459"/>
      <c r="G459"/>
    </row>
    <row r="460" spans="2:7" x14ac:dyDescent="0.25">
      <c r="B460"/>
      <c r="C460"/>
      <c r="D460"/>
      <c r="E460"/>
      <c r="F460"/>
      <c r="G460"/>
    </row>
    <row r="461" spans="2:7" x14ac:dyDescent="0.25">
      <c r="B461"/>
      <c r="C461"/>
      <c r="D461"/>
      <c r="E461"/>
      <c r="F461"/>
      <c r="G461"/>
    </row>
    <row r="462" spans="2:7" x14ac:dyDescent="0.25">
      <c r="B462"/>
      <c r="C462"/>
      <c r="D462"/>
      <c r="E462"/>
      <c r="F462"/>
      <c r="G462"/>
    </row>
    <row r="463" spans="2:7" x14ac:dyDescent="0.25">
      <c r="B463"/>
      <c r="C463"/>
      <c r="D463"/>
      <c r="E463"/>
      <c r="F463"/>
      <c r="G463"/>
    </row>
    <row r="464" spans="2:7" x14ac:dyDescent="0.25">
      <c r="B464"/>
      <c r="C464"/>
      <c r="D464"/>
      <c r="E464"/>
      <c r="F464"/>
      <c r="G464"/>
    </row>
    <row r="465" spans="2:7" x14ac:dyDescent="0.25">
      <c r="B465"/>
      <c r="C465"/>
      <c r="D465"/>
      <c r="E465"/>
      <c r="F465"/>
      <c r="G465"/>
    </row>
    <row r="466" spans="2:7" x14ac:dyDescent="0.25">
      <c r="B466"/>
      <c r="C466"/>
      <c r="D466"/>
      <c r="E466"/>
      <c r="F466"/>
      <c r="G466"/>
    </row>
    <row r="467" spans="2:7" x14ac:dyDescent="0.25">
      <c r="B467"/>
      <c r="C467"/>
      <c r="D467"/>
      <c r="E467"/>
      <c r="F467"/>
      <c r="G467"/>
    </row>
    <row r="468" spans="2:7" x14ac:dyDescent="0.25">
      <c r="B468"/>
      <c r="C468"/>
      <c r="D468"/>
      <c r="E468"/>
      <c r="F468"/>
      <c r="G468"/>
    </row>
    <row r="469" spans="2:7" x14ac:dyDescent="0.25">
      <c r="B469"/>
      <c r="C469"/>
      <c r="D469"/>
      <c r="E469"/>
      <c r="F469"/>
      <c r="G469"/>
    </row>
    <row r="470" spans="2:7" x14ac:dyDescent="0.25">
      <c r="B470"/>
      <c r="C470"/>
      <c r="D470"/>
      <c r="E470"/>
      <c r="F470"/>
      <c r="G470"/>
    </row>
    <row r="471" spans="2:7" x14ac:dyDescent="0.25">
      <c r="B471"/>
      <c r="C471"/>
      <c r="D471"/>
      <c r="E471"/>
      <c r="F471"/>
      <c r="G471"/>
    </row>
    <row r="472" spans="2:7" x14ac:dyDescent="0.25">
      <c r="B472"/>
      <c r="C472"/>
      <c r="D472"/>
      <c r="E472"/>
      <c r="F472"/>
      <c r="G472"/>
    </row>
    <row r="473" spans="2:7" x14ac:dyDescent="0.25">
      <c r="B473"/>
      <c r="C473"/>
      <c r="D473"/>
      <c r="E473"/>
      <c r="F473"/>
      <c r="G473"/>
    </row>
    <row r="474" spans="2:7" x14ac:dyDescent="0.25">
      <c r="B474"/>
      <c r="C474"/>
      <c r="D474"/>
      <c r="E474"/>
      <c r="F474"/>
      <c r="G474"/>
    </row>
    <row r="475" spans="2:7" x14ac:dyDescent="0.25">
      <c r="B475"/>
      <c r="C475"/>
      <c r="D475"/>
      <c r="E475"/>
      <c r="F475"/>
      <c r="G475"/>
    </row>
    <row r="476" spans="2:7" x14ac:dyDescent="0.25">
      <c r="B476"/>
      <c r="C476"/>
      <c r="D476"/>
      <c r="E476"/>
      <c r="F476"/>
      <c r="G476"/>
    </row>
    <row r="477" spans="2:7" x14ac:dyDescent="0.25">
      <c r="B477"/>
      <c r="C477"/>
      <c r="D477"/>
      <c r="E477"/>
      <c r="F477"/>
      <c r="G477"/>
    </row>
    <row r="478" spans="2:7" x14ac:dyDescent="0.25">
      <c r="B478"/>
      <c r="C478"/>
      <c r="D478"/>
      <c r="E478"/>
      <c r="F478"/>
      <c r="G478"/>
    </row>
    <row r="479" spans="2:7" x14ac:dyDescent="0.25">
      <c r="B479"/>
      <c r="C479"/>
      <c r="D479"/>
      <c r="E479"/>
      <c r="F479"/>
      <c r="G479"/>
    </row>
    <row r="480" spans="2:7" x14ac:dyDescent="0.25">
      <c r="B480"/>
      <c r="C480"/>
      <c r="D480"/>
      <c r="E480"/>
      <c r="F480"/>
      <c r="G480"/>
    </row>
    <row r="481" spans="2:7" x14ac:dyDescent="0.25">
      <c r="B481"/>
      <c r="C481"/>
      <c r="D481"/>
      <c r="E481"/>
      <c r="F481"/>
      <c r="G481"/>
    </row>
    <row r="482" spans="2:7" x14ac:dyDescent="0.25">
      <c r="B482"/>
      <c r="C482"/>
      <c r="D482"/>
      <c r="E482"/>
      <c r="F482"/>
      <c r="G482"/>
    </row>
    <row r="483" spans="2:7" x14ac:dyDescent="0.25">
      <c r="B483"/>
      <c r="C483"/>
      <c r="D483"/>
      <c r="E483"/>
      <c r="F483"/>
      <c r="G483"/>
    </row>
    <row r="484" spans="2:7" x14ac:dyDescent="0.25">
      <c r="B484"/>
      <c r="C484"/>
      <c r="D484"/>
      <c r="E484"/>
      <c r="F484"/>
      <c r="G484"/>
    </row>
    <row r="485" spans="2:7" x14ac:dyDescent="0.25">
      <c r="B485"/>
      <c r="C485"/>
      <c r="D485"/>
      <c r="E485"/>
      <c r="F485"/>
      <c r="G485"/>
    </row>
    <row r="486" spans="2:7" x14ac:dyDescent="0.25">
      <c r="B486"/>
      <c r="C486"/>
      <c r="D486"/>
      <c r="E486"/>
      <c r="F486"/>
      <c r="G486"/>
    </row>
    <row r="487" spans="2:7" x14ac:dyDescent="0.25">
      <c r="B487"/>
      <c r="C487"/>
      <c r="D487"/>
      <c r="E487"/>
      <c r="F487"/>
      <c r="G487"/>
    </row>
    <row r="488" spans="2:7" x14ac:dyDescent="0.25">
      <c r="B488"/>
      <c r="C488"/>
      <c r="D488"/>
      <c r="E488"/>
      <c r="F488"/>
      <c r="G488"/>
    </row>
    <row r="489" spans="2:7" x14ac:dyDescent="0.25">
      <c r="B489"/>
      <c r="C489"/>
      <c r="D489"/>
      <c r="E489"/>
      <c r="F489"/>
      <c r="G489"/>
    </row>
    <row r="490" spans="2:7" x14ac:dyDescent="0.25">
      <c r="B490"/>
      <c r="C490"/>
      <c r="D490"/>
      <c r="E490"/>
      <c r="F490"/>
      <c r="G490"/>
    </row>
    <row r="491" spans="2:7" x14ac:dyDescent="0.25">
      <c r="B491"/>
      <c r="C491"/>
      <c r="D491"/>
      <c r="E491"/>
      <c r="F491"/>
      <c r="G491"/>
    </row>
    <row r="492" spans="2:7" x14ac:dyDescent="0.25">
      <c r="B492"/>
      <c r="C492"/>
      <c r="D492"/>
      <c r="E492"/>
      <c r="F492"/>
      <c r="G492"/>
    </row>
    <row r="493" spans="2:7" x14ac:dyDescent="0.25">
      <c r="B493"/>
      <c r="C493"/>
      <c r="D493"/>
      <c r="E493"/>
      <c r="F493"/>
      <c r="G493"/>
    </row>
    <row r="494" spans="2:7" x14ac:dyDescent="0.25">
      <c r="B494"/>
      <c r="C494"/>
      <c r="D494"/>
      <c r="E494"/>
      <c r="F494"/>
      <c r="G494"/>
    </row>
    <row r="495" spans="2:7" x14ac:dyDescent="0.25">
      <c r="B495"/>
      <c r="C495"/>
      <c r="D495"/>
      <c r="E495"/>
      <c r="F495"/>
      <c r="G495"/>
    </row>
    <row r="496" spans="2:7" x14ac:dyDescent="0.25">
      <c r="B496"/>
      <c r="C496"/>
      <c r="D496"/>
      <c r="E496"/>
      <c r="F496"/>
      <c r="G496"/>
    </row>
    <row r="497" spans="2:7" x14ac:dyDescent="0.25">
      <c r="B497"/>
      <c r="C497"/>
      <c r="D497"/>
      <c r="E497"/>
      <c r="F497"/>
      <c r="G497"/>
    </row>
    <row r="498" spans="2:7" x14ac:dyDescent="0.25">
      <c r="B498"/>
      <c r="C498"/>
      <c r="D498"/>
      <c r="E498"/>
      <c r="F498"/>
      <c r="G498"/>
    </row>
    <row r="499" spans="2:7" x14ac:dyDescent="0.25">
      <c r="B499"/>
      <c r="C499"/>
      <c r="D499"/>
      <c r="E499"/>
      <c r="F499"/>
      <c r="G499"/>
    </row>
    <row r="500" spans="2:7" x14ac:dyDescent="0.25">
      <c r="B500"/>
      <c r="C500"/>
      <c r="D500"/>
      <c r="E500"/>
      <c r="F500"/>
      <c r="G500"/>
    </row>
    <row r="501" spans="2:7" x14ac:dyDescent="0.25">
      <c r="B501"/>
      <c r="C501"/>
      <c r="D501"/>
      <c r="E501"/>
      <c r="F501"/>
      <c r="G501"/>
    </row>
    <row r="502" spans="2:7" x14ac:dyDescent="0.25">
      <c r="B502"/>
      <c r="C502"/>
      <c r="D502"/>
      <c r="E502"/>
      <c r="F502"/>
      <c r="G502"/>
    </row>
    <row r="503" spans="2:7" x14ac:dyDescent="0.25">
      <c r="B503"/>
      <c r="C503"/>
      <c r="D503"/>
      <c r="E503"/>
      <c r="F503"/>
      <c r="G503"/>
    </row>
    <row r="504" spans="2:7" x14ac:dyDescent="0.25">
      <c r="B504"/>
      <c r="C504"/>
      <c r="D504"/>
      <c r="E504"/>
      <c r="F504"/>
      <c r="G504"/>
    </row>
    <row r="505" spans="2:7" x14ac:dyDescent="0.25">
      <c r="B505"/>
      <c r="C505"/>
      <c r="D505"/>
      <c r="E505"/>
      <c r="F505"/>
      <c r="G505"/>
    </row>
    <row r="506" spans="2:7" x14ac:dyDescent="0.25">
      <c r="B506"/>
      <c r="C506"/>
      <c r="D506"/>
      <c r="E506"/>
      <c r="F506"/>
      <c r="G506"/>
    </row>
    <row r="507" spans="2:7" x14ac:dyDescent="0.25">
      <c r="B507"/>
      <c r="C507"/>
      <c r="D507"/>
      <c r="E507"/>
      <c r="F507"/>
      <c r="G507"/>
    </row>
    <row r="508" spans="2:7" x14ac:dyDescent="0.25">
      <c r="B508"/>
      <c r="C508"/>
      <c r="D508"/>
      <c r="E508"/>
      <c r="F508"/>
      <c r="G508"/>
    </row>
    <row r="509" spans="2:7" x14ac:dyDescent="0.25">
      <c r="B509"/>
      <c r="C509"/>
      <c r="D509"/>
      <c r="E509"/>
      <c r="F509"/>
      <c r="G509"/>
    </row>
    <row r="510" spans="2:7" x14ac:dyDescent="0.25">
      <c r="B510"/>
      <c r="C510"/>
      <c r="D510"/>
      <c r="E510"/>
      <c r="F510"/>
      <c r="G510"/>
    </row>
    <row r="511" spans="2:7" x14ac:dyDescent="0.25">
      <c r="B511"/>
      <c r="C511"/>
      <c r="D511"/>
      <c r="E511"/>
      <c r="F511"/>
      <c r="G511"/>
    </row>
  </sheetData>
  <mergeCells count="1">
    <mergeCell ref="B2:G2"/>
  </mergeCell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92D050"/>
  </sheetPr>
  <dimension ref="B1:BZ358"/>
  <sheetViews>
    <sheetView showGridLines="0" zoomScale="60" zoomScaleNormal="60" workbookViewId="0">
      <selection activeCell="B39" sqref="B39"/>
    </sheetView>
  </sheetViews>
  <sheetFormatPr baseColWidth="10" defaultRowHeight="15" x14ac:dyDescent="0.25"/>
  <cols>
    <col min="1" max="1" width="42.140625" style="46" customWidth="1"/>
    <col min="2" max="2" width="19.7109375" style="46" bestFit="1" customWidth="1"/>
    <col min="3" max="3" width="21.85546875" style="46" bestFit="1" customWidth="1"/>
    <col min="4" max="4" width="12.5703125" style="46" customWidth="1"/>
    <col min="5" max="6" width="15.140625" style="46" customWidth="1"/>
    <col min="7" max="7" width="5.7109375" style="46" customWidth="1"/>
    <col min="8" max="8" width="12.5703125" style="46" customWidth="1"/>
    <col min="9" max="10" width="19.7109375" style="46" customWidth="1"/>
    <col min="11" max="11" width="13.42578125" style="46" customWidth="1"/>
    <col min="12" max="12" width="12.5703125" style="46" customWidth="1"/>
    <col min="13" max="13" width="15.140625" style="46" customWidth="1"/>
    <col min="14" max="14" width="8.5703125" style="46" bestFit="1" customWidth="1"/>
    <col min="15" max="15" width="10.5703125" style="46" bestFit="1" customWidth="1"/>
    <col min="16" max="16" width="19.7109375" style="46" customWidth="1"/>
    <col min="17" max="17" width="20.5703125" style="46" bestFit="1" customWidth="1"/>
    <col min="18" max="18" width="13.42578125" style="46" customWidth="1"/>
    <col min="19" max="19" width="12.5703125" style="46" customWidth="1"/>
    <col min="20" max="20" width="15.140625" style="46" customWidth="1"/>
    <col min="21" max="78" width="3" style="46" customWidth="1"/>
    <col min="79" max="146" width="4" style="46" customWidth="1"/>
    <col min="147" max="166" width="5" style="46" customWidth="1"/>
    <col min="167" max="176" width="6" style="46" customWidth="1"/>
    <col min="177" max="177" width="12.5703125" style="46" bestFit="1" customWidth="1"/>
    <col min="178" max="16384" width="11.42578125" style="46"/>
  </cols>
  <sheetData>
    <row r="1" spans="2:48" x14ac:dyDescent="0.25">
      <c r="B1" s="136" t="s">
        <v>416</v>
      </c>
      <c r="C1" s="136"/>
      <c r="D1" s="136"/>
      <c r="E1" s="136"/>
      <c r="F1" s="136"/>
      <c r="G1" s="136"/>
      <c r="H1" s="136"/>
      <c r="I1" s="136"/>
      <c r="J1" s="136"/>
      <c r="K1" s="136"/>
      <c r="L1" s="136"/>
      <c r="M1" s="136"/>
      <c r="N1" s="136"/>
      <c r="O1" s="136"/>
      <c r="P1" s="136"/>
      <c r="Q1" s="136"/>
      <c r="R1" s="136"/>
      <c r="S1" s="136"/>
    </row>
    <row r="2" spans="2:48" ht="18" customHeight="1" x14ac:dyDescent="0.25">
      <c r="B2" s="136"/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36"/>
      <c r="N2" s="136"/>
      <c r="O2" s="136"/>
      <c r="P2" s="136"/>
      <c r="Q2" s="136"/>
      <c r="R2" s="136"/>
      <c r="S2" s="136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</row>
    <row r="3" spans="2:48" x14ac:dyDescent="0.25">
      <c r="F3" s="3"/>
      <c r="H3" s="3"/>
      <c r="K3" s="3"/>
      <c r="L3" s="3"/>
      <c r="M3" s="3"/>
      <c r="N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</row>
    <row r="4" spans="2:48" x14ac:dyDescent="0.25">
      <c r="B4" s="8" t="s">
        <v>45</v>
      </c>
      <c r="C4" s="3" t="s">
        <v>50</v>
      </c>
      <c r="G4" s="3"/>
      <c r="I4" s="8" t="s">
        <v>45</v>
      </c>
      <c r="J4" s="3" t="s">
        <v>50</v>
      </c>
      <c r="K4" s="3"/>
      <c r="L4" s="3"/>
      <c r="M4" s="3"/>
      <c r="N4" s="3"/>
      <c r="P4" s="8" t="s">
        <v>45</v>
      </c>
      <c r="Q4" s="3" t="s">
        <v>50</v>
      </c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</row>
    <row r="5" spans="2:48" x14ac:dyDescent="0.25">
      <c r="B5" s="20" t="s">
        <v>18</v>
      </c>
      <c r="C5" s="3" t="s">
        <v>50</v>
      </c>
      <c r="G5" s="3"/>
      <c r="I5" s="20" t="s">
        <v>18</v>
      </c>
      <c r="J5" s="3" t="s">
        <v>50</v>
      </c>
      <c r="L5" s="3"/>
      <c r="M5" s="3"/>
      <c r="N5" s="3"/>
      <c r="O5" s="3"/>
      <c r="P5" s="20" t="s">
        <v>18</v>
      </c>
      <c r="Q5" s="3" t="s">
        <v>50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M5" s="3"/>
      <c r="AN5" s="3"/>
      <c r="AO5" s="3"/>
      <c r="AP5" s="3"/>
      <c r="AQ5" s="3"/>
      <c r="AR5" s="3"/>
      <c r="AS5" s="3"/>
      <c r="AT5" s="3"/>
      <c r="AU5" s="3"/>
      <c r="AV5" s="3"/>
    </row>
    <row r="6" spans="2:48" x14ac:dyDescent="0.25">
      <c r="B6" s="3" t="s">
        <v>19</v>
      </c>
      <c r="C6" s="4" t="s">
        <v>0</v>
      </c>
      <c r="D6" s="3"/>
      <c r="E6" s="3"/>
      <c r="G6" s="3"/>
      <c r="I6" s="3" t="s">
        <v>19</v>
      </c>
      <c r="J6" s="17" t="s">
        <v>1</v>
      </c>
      <c r="M6" s="3"/>
      <c r="N6" s="3"/>
      <c r="P6" s="3" t="s">
        <v>19</v>
      </c>
      <c r="Q6" s="18" t="s">
        <v>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spans="2:48" x14ac:dyDescent="0.25">
      <c r="B7" s="3"/>
      <c r="C7" s="3"/>
      <c r="D7" s="3"/>
      <c r="E7" s="3"/>
      <c r="G7" s="3"/>
      <c r="H7" s="3"/>
      <c r="M7" s="3"/>
      <c r="N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M7" s="3"/>
      <c r="AN7" s="3"/>
      <c r="AO7" s="3"/>
      <c r="AP7" s="3"/>
      <c r="AQ7" s="3"/>
      <c r="AR7" s="3"/>
      <c r="AS7" s="3"/>
      <c r="AT7" s="3"/>
      <c r="AU7" s="3"/>
      <c r="AV7" s="3"/>
    </row>
    <row r="8" spans="2:48" x14ac:dyDescent="0.25">
      <c r="B8" s="37" t="s">
        <v>16</v>
      </c>
      <c r="C8" s="9" t="s">
        <v>47</v>
      </c>
      <c r="D8" s="9" t="s">
        <v>48</v>
      </c>
      <c r="E8" s="9" t="s">
        <v>49</v>
      </c>
      <c r="G8" s="3"/>
      <c r="I8" s="37" t="s">
        <v>16</v>
      </c>
      <c r="J8" s="9" t="s">
        <v>47</v>
      </c>
      <c r="K8" s="9" t="s">
        <v>48</v>
      </c>
      <c r="L8" s="9" t="s">
        <v>49</v>
      </c>
      <c r="M8" s="3"/>
      <c r="N8" s="3"/>
      <c r="P8" s="37" t="s">
        <v>16</v>
      </c>
      <c r="Q8" s="9" t="s">
        <v>47</v>
      </c>
      <c r="R8" s="9" t="s">
        <v>48</v>
      </c>
      <c r="S8" s="9" t="s">
        <v>49</v>
      </c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</row>
    <row r="9" spans="2:48" x14ac:dyDescent="0.25">
      <c r="B9" s="7" t="s">
        <v>3</v>
      </c>
      <c r="C9" s="10">
        <v>177</v>
      </c>
      <c r="D9" s="10"/>
      <c r="E9" s="11">
        <v>0</v>
      </c>
      <c r="G9" s="3"/>
      <c r="I9" s="7" t="s">
        <v>3</v>
      </c>
      <c r="J9" s="10">
        <v>355</v>
      </c>
      <c r="K9" s="10">
        <v>122</v>
      </c>
      <c r="L9" s="11">
        <v>0.3436619718309859</v>
      </c>
      <c r="M9" s="3"/>
      <c r="N9" s="3"/>
      <c r="P9" s="7" t="s">
        <v>3</v>
      </c>
      <c r="Q9" s="10">
        <v>1519</v>
      </c>
      <c r="R9" s="10"/>
      <c r="S9" s="11">
        <v>0</v>
      </c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O9" s="3"/>
      <c r="AP9" s="3"/>
      <c r="AQ9" s="3"/>
      <c r="AR9" s="3"/>
      <c r="AS9" s="3"/>
      <c r="AT9" s="3"/>
      <c r="AU9" s="3"/>
      <c r="AV9" s="3"/>
    </row>
    <row r="10" spans="2:48" x14ac:dyDescent="0.25">
      <c r="B10" s="7" t="s">
        <v>4</v>
      </c>
      <c r="C10" s="10">
        <v>47178</v>
      </c>
      <c r="D10" s="10">
        <v>45076</v>
      </c>
      <c r="E10" s="11">
        <v>0.95544533468989779</v>
      </c>
      <c r="G10" s="3"/>
      <c r="I10" s="7" t="s">
        <v>4</v>
      </c>
      <c r="J10" s="10">
        <v>904</v>
      </c>
      <c r="K10" s="10">
        <v>352</v>
      </c>
      <c r="L10" s="11">
        <v>0.38938053097345132</v>
      </c>
      <c r="M10" s="3"/>
      <c r="N10" s="3"/>
      <c r="P10" s="7" t="s">
        <v>4</v>
      </c>
      <c r="Q10" s="10">
        <v>3304</v>
      </c>
      <c r="R10" s="10"/>
      <c r="S10" s="11">
        <v>0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O10" s="3"/>
      <c r="AP10" s="3"/>
      <c r="AQ10" s="3"/>
      <c r="AR10" s="3"/>
      <c r="AS10" s="3"/>
      <c r="AT10" s="3"/>
      <c r="AU10" s="3"/>
      <c r="AV10" s="3"/>
    </row>
    <row r="11" spans="2:48" x14ac:dyDescent="0.25">
      <c r="B11" s="7" t="s">
        <v>724</v>
      </c>
      <c r="C11" s="10">
        <v>17221</v>
      </c>
      <c r="D11" s="10">
        <v>16524</v>
      </c>
      <c r="E11" s="11">
        <v>0.95952615992102663</v>
      </c>
      <c r="G11" s="3"/>
      <c r="I11" s="7" t="s">
        <v>5</v>
      </c>
      <c r="J11" s="10">
        <v>91</v>
      </c>
      <c r="K11" s="10">
        <v>73</v>
      </c>
      <c r="L11" s="11">
        <v>0.80219780219780223</v>
      </c>
      <c r="M11" s="3"/>
      <c r="N11" s="3"/>
      <c r="P11" s="7" t="s">
        <v>724</v>
      </c>
      <c r="Q11" s="10">
        <v>1509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</row>
    <row r="12" spans="2:48" x14ac:dyDescent="0.25">
      <c r="B12" s="7" t="s">
        <v>5</v>
      </c>
      <c r="C12" s="10">
        <v>42152</v>
      </c>
      <c r="D12" s="10"/>
      <c r="E12" s="11">
        <v>0</v>
      </c>
      <c r="G12" s="3"/>
      <c r="I12" s="7" t="s">
        <v>6</v>
      </c>
      <c r="J12" s="10">
        <v>212</v>
      </c>
      <c r="K12" s="10">
        <v>123</v>
      </c>
      <c r="L12" s="11">
        <v>0.58018867924528306</v>
      </c>
      <c r="M12" s="3"/>
      <c r="N12" s="3"/>
      <c r="P12" s="7" t="s">
        <v>5</v>
      </c>
      <c r="Q12" s="10">
        <v>1185</v>
      </c>
      <c r="R12" s="10"/>
      <c r="S12" s="11">
        <v>0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</row>
    <row r="13" spans="2:48" x14ac:dyDescent="0.25">
      <c r="B13" s="7" t="s">
        <v>6</v>
      </c>
      <c r="C13" s="10">
        <v>19260</v>
      </c>
      <c r="D13" s="10"/>
      <c r="E13" s="11">
        <v>0</v>
      </c>
      <c r="G13" s="3"/>
      <c r="I13" s="7" t="s">
        <v>7</v>
      </c>
      <c r="J13" s="10">
        <v>170</v>
      </c>
      <c r="K13" s="10">
        <v>103</v>
      </c>
      <c r="L13" s="11">
        <v>0.60588235294117643</v>
      </c>
      <c r="M13" s="3"/>
      <c r="N13" s="3"/>
      <c r="P13" s="7" t="s">
        <v>6</v>
      </c>
      <c r="Q13" s="10">
        <v>1188</v>
      </c>
      <c r="R13" s="10"/>
      <c r="S13" s="11">
        <v>0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</row>
    <row r="14" spans="2:48" x14ac:dyDescent="0.25">
      <c r="B14" s="7" t="s">
        <v>7</v>
      </c>
      <c r="C14" s="10">
        <v>199</v>
      </c>
      <c r="D14" s="10"/>
      <c r="E14" s="11">
        <v>0</v>
      </c>
      <c r="G14" s="3"/>
      <c r="I14" s="7" t="s">
        <v>149</v>
      </c>
      <c r="J14" s="10">
        <v>3</v>
      </c>
      <c r="K14" s="10"/>
      <c r="L14" s="11">
        <v>0</v>
      </c>
      <c r="M14" s="3"/>
      <c r="N14" s="3"/>
      <c r="O14" s="3"/>
      <c r="P14" s="7" t="s">
        <v>7</v>
      </c>
      <c r="Q14" s="10">
        <v>963</v>
      </c>
      <c r="R14" s="10"/>
      <c r="S14" s="11">
        <v>0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</row>
    <row r="15" spans="2:48" x14ac:dyDescent="0.25">
      <c r="B15" s="7" t="s">
        <v>149</v>
      </c>
      <c r="C15" s="10">
        <v>11565</v>
      </c>
      <c r="D15" s="10">
        <v>36</v>
      </c>
      <c r="E15" s="11">
        <v>3.1128404669260703E-3</v>
      </c>
      <c r="G15" s="3"/>
      <c r="I15" s="7" t="s">
        <v>8</v>
      </c>
      <c r="J15" s="10">
        <v>53</v>
      </c>
      <c r="K15" s="10">
        <v>38</v>
      </c>
      <c r="L15" s="11">
        <v>0.71698113207547165</v>
      </c>
      <c r="M15" s="3"/>
      <c r="N15" s="3"/>
      <c r="O15" s="3"/>
      <c r="P15" s="7" t="s">
        <v>149</v>
      </c>
      <c r="Q15" s="10">
        <v>602</v>
      </c>
      <c r="R15" s="10"/>
      <c r="S15" s="11">
        <v>0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</row>
    <row r="16" spans="2:48" x14ac:dyDescent="0.25">
      <c r="B16" s="7" t="s">
        <v>8</v>
      </c>
      <c r="C16" s="10">
        <v>15322</v>
      </c>
      <c r="D16" s="10">
        <v>45</v>
      </c>
      <c r="E16" s="11">
        <v>2.9369534003393814E-3</v>
      </c>
      <c r="G16" s="3"/>
      <c r="I16" s="7" t="s">
        <v>9</v>
      </c>
      <c r="J16" s="10">
        <v>505</v>
      </c>
      <c r="K16" s="10">
        <v>298</v>
      </c>
      <c r="L16" s="11">
        <v>0.59009900990099007</v>
      </c>
      <c r="M16" s="3"/>
      <c r="N16" s="3"/>
      <c r="O16" s="3"/>
      <c r="P16" s="7" t="s">
        <v>8</v>
      </c>
      <c r="Q16" s="10">
        <v>1141</v>
      </c>
      <c r="R16" s="10"/>
      <c r="S16" s="11">
        <v>0</v>
      </c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</row>
    <row r="17" spans="2:48" x14ac:dyDescent="0.25">
      <c r="B17" s="7" t="s">
        <v>9</v>
      </c>
      <c r="C17" s="10">
        <v>31028</v>
      </c>
      <c r="D17" s="10"/>
      <c r="E17" s="11">
        <v>0</v>
      </c>
      <c r="G17" s="3"/>
      <c r="I17" s="7" t="s">
        <v>10</v>
      </c>
      <c r="J17" s="10">
        <v>154</v>
      </c>
      <c r="K17" s="10">
        <v>83</v>
      </c>
      <c r="L17" s="11">
        <v>0.53896103896103897</v>
      </c>
      <c r="M17" s="3"/>
      <c r="N17" s="3"/>
      <c r="O17" s="3"/>
      <c r="P17" s="7" t="s">
        <v>9</v>
      </c>
      <c r="Q17" s="10">
        <v>2176</v>
      </c>
      <c r="R17" s="10"/>
      <c r="S17" s="11">
        <v>0</v>
      </c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</row>
    <row r="18" spans="2:48" x14ac:dyDescent="0.25">
      <c r="B18" s="7" t="s">
        <v>10</v>
      </c>
      <c r="C18" s="10">
        <v>39386</v>
      </c>
      <c r="D18" s="10">
        <v>29000</v>
      </c>
      <c r="E18" s="11">
        <v>0.73630223937439698</v>
      </c>
      <c r="G18" s="3"/>
      <c r="I18" s="7" t="s">
        <v>150</v>
      </c>
      <c r="J18" s="10">
        <v>3</v>
      </c>
      <c r="K18" s="10">
        <v>1</v>
      </c>
      <c r="L18" s="11">
        <v>0.33333333333333331</v>
      </c>
      <c r="M18" s="3"/>
      <c r="N18" s="3"/>
      <c r="O18" s="3"/>
      <c r="P18" s="7" t="s">
        <v>10</v>
      </c>
      <c r="Q18" s="10">
        <v>1056</v>
      </c>
      <c r="R18" s="10"/>
      <c r="S18" s="11">
        <v>0</v>
      </c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</row>
    <row r="19" spans="2:48" x14ac:dyDescent="0.25">
      <c r="B19" s="7" t="s">
        <v>150</v>
      </c>
      <c r="C19" s="10">
        <v>11477</v>
      </c>
      <c r="D19" s="10">
        <v>12</v>
      </c>
      <c r="E19" s="11">
        <v>1.0455693996689031E-3</v>
      </c>
      <c r="G19" s="3"/>
      <c r="I19" s="7" t="s">
        <v>12</v>
      </c>
      <c r="J19" s="10">
        <v>2450</v>
      </c>
      <c r="K19" s="10">
        <v>1193</v>
      </c>
      <c r="L19" s="11">
        <v>0.48693877551020409</v>
      </c>
      <c r="M19" s="3"/>
      <c r="N19" s="3"/>
      <c r="O19" s="3"/>
      <c r="P19" s="7" t="s">
        <v>150</v>
      </c>
      <c r="Q19" s="10">
        <v>760</v>
      </c>
      <c r="R19" s="10"/>
      <c r="S19" s="11">
        <v>0</v>
      </c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</row>
    <row r="20" spans="2:48" x14ac:dyDescent="0.25">
      <c r="B20" s="7" t="s">
        <v>12</v>
      </c>
      <c r="C20" s="10">
        <v>234965</v>
      </c>
      <c r="D20" s="10">
        <v>90693</v>
      </c>
      <c r="E20" s="11">
        <v>0.38598514672398015</v>
      </c>
      <c r="G20" s="3"/>
      <c r="L20" s="3"/>
      <c r="M20" s="3"/>
      <c r="N20" s="3"/>
      <c r="O20" s="3"/>
      <c r="P20" s="7" t="s">
        <v>12</v>
      </c>
      <c r="Q20" s="10">
        <v>15403</v>
      </c>
      <c r="R20" s="10"/>
      <c r="S20" s="11">
        <v>0</v>
      </c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</row>
    <row r="21" spans="2:48" x14ac:dyDescent="0.25">
      <c r="G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</row>
    <row r="22" spans="2:48" x14ac:dyDescent="0.25">
      <c r="G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</row>
    <row r="23" spans="2:48" x14ac:dyDescent="0.25">
      <c r="B23" s="7"/>
      <c r="C23" s="10"/>
      <c r="D23" s="10"/>
      <c r="E23" s="11"/>
      <c r="G23" s="3"/>
      <c r="L23" s="3"/>
      <c r="M23" s="3"/>
      <c r="N23" s="3"/>
      <c r="O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</row>
    <row r="24" spans="2:48" x14ac:dyDescent="0.25">
      <c r="B24" s="136" t="s">
        <v>122</v>
      </c>
      <c r="C24" s="136"/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6"/>
      <c r="Q24" s="136"/>
      <c r="R24" s="136"/>
      <c r="S24" s="136"/>
      <c r="T24" s="136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</row>
    <row r="25" spans="2:48" ht="18" customHeight="1" x14ac:dyDescent="0.25">
      <c r="B25" s="136"/>
      <c r="C25" s="136"/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6"/>
      <c r="Q25" s="136"/>
      <c r="R25" s="136"/>
      <c r="S25" s="136"/>
      <c r="T25" s="136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</row>
    <row r="26" spans="2:48" ht="18" x14ac:dyDescent="0.25">
      <c r="B26" s="19"/>
      <c r="C26" s="19"/>
      <c r="D26" s="19"/>
      <c r="E26" s="19"/>
      <c r="F26" s="19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</row>
    <row r="27" spans="2:48" x14ac:dyDescent="0.25">
      <c r="F27" s="3"/>
      <c r="H27" s="3"/>
      <c r="I27" s="3" t="s">
        <v>45</v>
      </c>
      <c r="J27" s="3" t="s">
        <v>50</v>
      </c>
      <c r="K27" s="3"/>
      <c r="L27" s="3"/>
      <c r="M27" s="3"/>
      <c r="N27" s="3"/>
      <c r="O27" s="3"/>
      <c r="P27" s="3" t="s">
        <v>45</v>
      </c>
      <c r="Q27" s="3" t="s">
        <v>50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</row>
    <row r="28" spans="2:48" x14ac:dyDescent="0.25">
      <c r="B28" s="3" t="s">
        <v>45</v>
      </c>
      <c r="C28" s="3" t="s">
        <v>50</v>
      </c>
      <c r="H28" s="3"/>
      <c r="I28" s="3" t="s">
        <v>18</v>
      </c>
      <c r="J28" s="3" t="s">
        <v>50</v>
      </c>
      <c r="K28" s="3"/>
      <c r="L28" s="3"/>
      <c r="M28" s="3"/>
      <c r="N28" s="3"/>
      <c r="O28" s="3"/>
      <c r="P28" s="3" t="s">
        <v>18</v>
      </c>
      <c r="Q28" s="3" t="s">
        <v>50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</row>
    <row r="29" spans="2:48" x14ac:dyDescent="0.25">
      <c r="B29" s="3" t="s">
        <v>18</v>
      </c>
      <c r="C29" s="3" t="s">
        <v>50</v>
      </c>
      <c r="D29" s="3"/>
      <c r="E29" s="3"/>
      <c r="H29" s="3"/>
      <c r="I29" s="3" t="s">
        <v>19</v>
      </c>
      <c r="J29" s="17" t="s">
        <v>1</v>
      </c>
      <c r="K29" s="3"/>
      <c r="L29" s="3"/>
      <c r="M29" s="3"/>
      <c r="N29" s="3"/>
      <c r="O29" s="3"/>
      <c r="P29" s="3" t="s">
        <v>19</v>
      </c>
      <c r="Q29" s="18" t="s">
        <v>2</v>
      </c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</row>
    <row r="30" spans="2:48" x14ac:dyDescent="0.25">
      <c r="B30" s="3" t="s">
        <v>19</v>
      </c>
      <c r="C30" s="49" t="s">
        <v>0</v>
      </c>
      <c r="D30" s="3"/>
      <c r="E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</row>
    <row r="31" spans="2:48" x14ac:dyDescent="0.25">
      <c r="B31" s="3"/>
      <c r="C31" s="3"/>
      <c r="D31" s="3"/>
      <c r="E31" s="3"/>
      <c r="H31" s="3"/>
      <c r="I31" s="37" t="s">
        <v>138</v>
      </c>
      <c r="J31" s="37" t="s">
        <v>131</v>
      </c>
      <c r="K31" s="9" t="s">
        <v>47</v>
      </c>
      <c r="L31" s="9" t="s">
        <v>48</v>
      </c>
      <c r="M31" s="9" t="s">
        <v>49</v>
      </c>
      <c r="N31" s="3"/>
      <c r="O31" s="3"/>
      <c r="P31" s="37" t="s">
        <v>138</v>
      </c>
      <c r="Q31" s="37" t="s">
        <v>131</v>
      </c>
      <c r="R31" s="9" t="s">
        <v>47</v>
      </c>
      <c r="S31" s="9" t="s">
        <v>48</v>
      </c>
      <c r="T31" s="9" t="s">
        <v>49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</row>
    <row r="32" spans="2:48" x14ac:dyDescent="0.25">
      <c r="B32" s="37" t="s">
        <v>138</v>
      </c>
      <c r="C32" s="37" t="s">
        <v>131</v>
      </c>
      <c r="D32" s="9" t="s">
        <v>47</v>
      </c>
      <c r="E32" s="9" t="s">
        <v>48</v>
      </c>
      <c r="F32" s="9" t="s">
        <v>49</v>
      </c>
      <c r="H32" s="3"/>
      <c r="I32" s="3" t="s">
        <v>730</v>
      </c>
      <c r="J32" s="3" t="s">
        <v>268</v>
      </c>
      <c r="K32" s="10">
        <v>4</v>
      </c>
      <c r="L32" s="10">
        <v>4</v>
      </c>
      <c r="M32" s="11">
        <v>1</v>
      </c>
      <c r="N32" s="3"/>
      <c r="O32" s="3"/>
      <c r="P32" s="3" t="s">
        <v>1172</v>
      </c>
      <c r="Q32" s="3" t="s">
        <v>1171</v>
      </c>
      <c r="R32" s="10">
        <v>5420</v>
      </c>
      <c r="S32" s="10"/>
      <c r="T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</row>
    <row r="33" spans="2:48" x14ac:dyDescent="0.25">
      <c r="B33" s="3" t="s">
        <v>212</v>
      </c>
      <c r="C33" s="3" t="s">
        <v>181</v>
      </c>
      <c r="D33" s="10">
        <v>20000</v>
      </c>
      <c r="E33" s="10"/>
      <c r="F33" s="11">
        <v>0</v>
      </c>
      <c r="H33" s="3"/>
      <c r="I33" s="3" t="s">
        <v>732</v>
      </c>
      <c r="J33" s="3" t="s">
        <v>270</v>
      </c>
      <c r="K33" s="10">
        <v>235</v>
      </c>
      <c r="L33" s="10">
        <v>235</v>
      </c>
      <c r="M33" s="11">
        <v>1</v>
      </c>
      <c r="N33" s="3"/>
      <c r="O33" s="3"/>
      <c r="P33" s="3" t="s">
        <v>1174</v>
      </c>
      <c r="Q33" s="3" t="s">
        <v>1173</v>
      </c>
      <c r="R33" s="10">
        <v>171</v>
      </c>
      <c r="S33" s="10"/>
      <c r="T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</row>
    <row r="34" spans="2:48" x14ac:dyDescent="0.25">
      <c r="B34" s="3" t="s">
        <v>247</v>
      </c>
      <c r="C34" s="3" t="s">
        <v>246</v>
      </c>
      <c r="D34" s="10">
        <v>125000</v>
      </c>
      <c r="E34" s="10">
        <v>45000</v>
      </c>
      <c r="F34" s="11">
        <v>0.36</v>
      </c>
      <c r="H34" s="3"/>
      <c r="I34" s="3" t="s">
        <v>733</v>
      </c>
      <c r="J34" s="3" t="s">
        <v>271</v>
      </c>
      <c r="K34" s="10">
        <v>62</v>
      </c>
      <c r="L34" s="10">
        <v>62</v>
      </c>
      <c r="M34" s="11">
        <v>1</v>
      </c>
      <c r="N34" s="3"/>
      <c r="O34" s="3"/>
      <c r="P34" s="3" t="s">
        <v>439</v>
      </c>
      <c r="Q34" s="3" t="s">
        <v>438</v>
      </c>
      <c r="R34" s="10">
        <v>9700</v>
      </c>
      <c r="S34" s="10"/>
      <c r="T34" s="11">
        <v>0</v>
      </c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</row>
    <row r="35" spans="2:48" x14ac:dyDescent="0.25">
      <c r="B35" s="3" t="s">
        <v>249</v>
      </c>
      <c r="C35" s="3" t="s">
        <v>248</v>
      </c>
      <c r="D35" s="10">
        <v>85500</v>
      </c>
      <c r="E35" s="10">
        <v>45500</v>
      </c>
      <c r="F35" s="11">
        <v>0.53216374269005851</v>
      </c>
      <c r="H35" s="3"/>
      <c r="I35" s="3" t="s">
        <v>734</v>
      </c>
      <c r="J35" s="3" t="s">
        <v>272</v>
      </c>
      <c r="K35" s="10">
        <v>3</v>
      </c>
      <c r="L35" s="10">
        <v>3</v>
      </c>
      <c r="M35" s="11">
        <v>1</v>
      </c>
      <c r="N35" s="3"/>
      <c r="O35" s="3"/>
      <c r="P35" s="3" t="s">
        <v>1207</v>
      </c>
      <c r="Q35" s="3" t="s">
        <v>1206</v>
      </c>
      <c r="R35" s="10">
        <v>112</v>
      </c>
      <c r="S35" s="10"/>
      <c r="T35" s="11">
        <v>0</v>
      </c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</row>
    <row r="36" spans="2:48" x14ac:dyDescent="0.25">
      <c r="B36" s="3" t="s">
        <v>1170</v>
      </c>
      <c r="C36" s="3" t="s">
        <v>1169</v>
      </c>
      <c r="D36" s="10">
        <v>400</v>
      </c>
      <c r="E36" s="10">
        <v>192</v>
      </c>
      <c r="F36" s="11">
        <v>0.48</v>
      </c>
      <c r="H36" s="3"/>
      <c r="I36" s="3" t="s">
        <v>735</v>
      </c>
      <c r="J36" s="3" t="s">
        <v>273</v>
      </c>
      <c r="K36" s="10">
        <v>5</v>
      </c>
      <c r="L36" s="10">
        <v>5</v>
      </c>
      <c r="M36" s="11">
        <v>1</v>
      </c>
      <c r="N36" s="3"/>
      <c r="O36" s="3"/>
      <c r="P36" s="3" t="s">
        <v>12</v>
      </c>
      <c r="Q36" s="3"/>
      <c r="R36" s="10">
        <v>15403</v>
      </c>
      <c r="S36" s="10"/>
      <c r="T36" s="11">
        <v>0</v>
      </c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</row>
    <row r="37" spans="2:48" x14ac:dyDescent="0.25">
      <c r="B37" s="3" t="s">
        <v>1175</v>
      </c>
      <c r="C37" s="3" t="s">
        <v>433</v>
      </c>
      <c r="D37" s="10">
        <v>434</v>
      </c>
      <c r="E37" s="10"/>
      <c r="F37" s="11">
        <v>0</v>
      </c>
      <c r="H37" s="3"/>
      <c r="I37" s="3" t="s">
        <v>736</v>
      </c>
      <c r="J37" s="3" t="s">
        <v>274</v>
      </c>
      <c r="K37" s="10">
        <v>261</v>
      </c>
      <c r="L37" s="10">
        <v>261</v>
      </c>
      <c r="M37" s="11">
        <v>1</v>
      </c>
      <c r="N37" s="3"/>
      <c r="O37" s="3"/>
      <c r="P37"/>
      <c r="Q37"/>
      <c r="R37"/>
      <c r="S37"/>
      <c r="T37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</row>
    <row r="38" spans="2:48" x14ac:dyDescent="0.25">
      <c r="B38" s="3" t="s">
        <v>435</v>
      </c>
      <c r="C38" s="3" t="s">
        <v>434</v>
      </c>
      <c r="D38" s="10">
        <v>560</v>
      </c>
      <c r="E38" s="10"/>
      <c r="F38" s="11">
        <v>0</v>
      </c>
      <c r="H38" s="3"/>
      <c r="I38" s="3" t="s">
        <v>737</v>
      </c>
      <c r="J38" s="3" t="s">
        <v>275</v>
      </c>
      <c r="K38" s="10">
        <v>21</v>
      </c>
      <c r="L38" s="10">
        <v>21</v>
      </c>
      <c r="M38" s="11">
        <v>1</v>
      </c>
      <c r="N38" s="3"/>
      <c r="O38" s="3"/>
      <c r="P38"/>
      <c r="Q38"/>
      <c r="R38"/>
      <c r="S38"/>
      <c r="T38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</row>
    <row r="39" spans="2:48" x14ac:dyDescent="0.25">
      <c r="B39" s="3" t="s">
        <v>437</v>
      </c>
      <c r="C39" s="3" t="s">
        <v>436</v>
      </c>
      <c r="D39" s="10">
        <v>1499</v>
      </c>
      <c r="E39" s="10"/>
      <c r="F39" s="11">
        <v>0</v>
      </c>
      <c r="H39" s="3"/>
      <c r="I39" s="3" t="s">
        <v>278</v>
      </c>
      <c r="J39" s="3" t="s">
        <v>277</v>
      </c>
      <c r="K39" s="10">
        <v>251</v>
      </c>
      <c r="L39" s="10">
        <v>251</v>
      </c>
      <c r="M39" s="11">
        <v>1</v>
      </c>
      <c r="N39" s="3"/>
      <c r="O39" s="3"/>
      <c r="P39"/>
      <c r="Q39"/>
      <c r="R39"/>
      <c r="S39"/>
      <c r="T39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</row>
    <row r="40" spans="2:48" x14ac:dyDescent="0.25">
      <c r="B40" s="3" t="s">
        <v>742</v>
      </c>
      <c r="C40" s="3" t="s">
        <v>1182</v>
      </c>
      <c r="D40" s="10">
        <v>56</v>
      </c>
      <c r="E40" s="10"/>
      <c r="F40" s="11">
        <v>0</v>
      </c>
      <c r="H40" s="3"/>
      <c r="I40" s="3" t="s">
        <v>738</v>
      </c>
      <c r="J40" s="3" t="s">
        <v>276</v>
      </c>
      <c r="K40" s="10">
        <v>4</v>
      </c>
      <c r="L40" s="10">
        <v>4</v>
      </c>
      <c r="M40" s="11">
        <v>1</v>
      </c>
      <c r="N40" s="3"/>
      <c r="O40" s="3"/>
      <c r="P40"/>
      <c r="Q40"/>
      <c r="R40"/>
      <c r="S40"/>
      <c r="T40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</row>
    <row r="41" spans="2:48" x14ac:dyDescent="0.25">
      <c r="B41" s="3" t="s">
        <v>743</v>
      </c>
      <c r="C41" s="3" t="s">
        <v>245</v>
      </c>
      <c r="D41" s="10">
        <v>44</v>
      </c>
      <c r="E41" s="10"/>
      <c r="F41" s="11">
        <v>0</v>
      </c>
      <c r="H41" s="3"/>
      <c r="I41" s="3" t="s">
        <v>739</v>
      </c>
      <c r="J41" s="3" t="s">
        <v>294</v>
      </c>
      <c r="K41" s="10">
        <v>70</v>
      </c>
      <c r="L41" s="10">
        <v>70</v>
      </c>
      <c r="M41" s="11">
        <v>1</v>
      </c>
      <c r="N41" s="3"/>
      <c r="O41" s="3"/>
      <c r="P41"/>
      <c r="Q41"/>
      <c r="R41"/>
      <c r="S41"/>
      <c r="T41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</row>
    <row r="42" spans="2:48" x14ac:dyDescent="0.25">
      <c r="B42" s="3" t="s">
        <v>744</v>
      </c>
      <c r="C42" s="3" t="s">
        <v>244</v>
      </c>
      <c r="D42" s="10">
        <v>2</v>
      </c>
      <c r="E42" s="10"/>
      <c r="F42" s="11">
        <v>0</v>
      </c>
      <c r="H42" s="3"/>
      <c r="I42" s="3" t="s">
        <v>740</v>
      </c>
      <c r="J42" s="3" t="s">
        <v>295</v>
      </c>
      <c r="K42" s="10">
        <v>23</v>
      </c>
      <c r="L42" s="10">
        <v>23</v>
      </c>
      <c r="M42" s="11">
        <v>1</v>
      </c>
      <c r="N42" s="3"/>
      <c r="O42" s="3"/>
      <c r="P42"/>
      <c r="Q42"/>
      <c r="R42"/>
      <c r="S42"/>
      <c r="T42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</row>
    <row r="43" spans="2:48" x14ac:dyDescent="0.25">
      <c r="B43" s="3" t="s">
        <v>745</v>
      </c>
      <c r="C43" s="3" t="s">
        <v>391</v>
      </c>
      <c r="D43" s="10">
        <v>8</v>
      </c>
      <c r="E43" s="10"/>
      <c r="F43" s="11">
        <v>0</v>
      </c>
      <c r="H43" s="3"/>
      <c r="I43" s="3" t="s">
        <v>741</v>
      </c>
      <c r="J43" s="3" t="s">
        <v>296</v>
      </c>
      <c r="K43" s="10">
        <v>218</v>
      </c>
      <c r="L43" s="10">
        <v>218</v>
      </c>
      <c r="M43" s="11">
        <v>1</v>
      </c>
      <c r="N43" s="3"/>
      <c r="O43" s="3"/>
      <c r="P43"/>
      <c r="Q43"/>
      <c r="R43"/>
      <c r="S43"/>
      <c r="T4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</row>
    <row r="44" spans="2:48" x14ac:dyDescent="0.25">
      <c r="B44" s="3" t="s">
        <v>746</v>
      </c>
      <c r="C44" s="3" t="s">
        <v>1184</v>
      </c>
      <c r="D44" s="10">
        <v>2</v>
      </c>
      <c r="E44" s="10"/>
      <c r="F44" s="11">
        <v>0</v>
      </c>
      <c r="H44" s="3"/>
      <c r="I44" s="3" t="s">
        <v>298</v>
      </c>
      <c r="J44" s="3" t="s">
        <v>297</v>
      </c>
      <c r="K44" s="10">
        <v>13</v>
      </c>
      <c r="L44" s="10">
        <v>9</v>
      </c>
      <c r="M44" s="11">
        <v>0.69230769230769229</v>
      </c>
      <c r="N44" s="3"/>
      <c r="O44" s="3"/>
      <c r="P44"/>
      <c r="Q44"/>
      <c r="R44"/>
      <c r="S44"/>
      <c r="T44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</row>
    <row r="45" spans="2:48" x14ac:dyDescent="0.25">
      <c r="B45" s="3" t="s">
        <v>747</v>
      </c>
      <c r="C45" s="3" t="s">
        <v>1185</v>
      </c>
      <c r="D45" s="10">
        <v>1</v>
      </c>
      <c r="E45" s="10"/>
      <c r="F45" s="11">
        <v>0</v>
      </c>
      <c r="H45" s="3"/>
      <c r="I45" s="3" t="s">
        <v>300</v>
      </c>
      <c r="J45" s="3" t="s">
        <v>299</v>
      </c>
      <c r="K45" s="10">
        <v>8</v>
      </c>
      <c r="L45" s="10">
        <v>4</v>
      </c>
      <c r="M45" s="11">
        <v>0.5</v>
      </c>
      <c r="N45" s="3"/>
      <c r="O45" s="3"/>
      <c r="P45"/>
      <c r="Q45"/>
      <c r="R45"/>
      <c r="S45"/>
      <c r="T45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</row>
    <row r="46" spans="2:48" x14ac:dyDescent="0.25">
      <c r="B46" s="3" t="s">
        <v>748</v>
      </c>
      <c r="C46" s="3" t="s">
        <v>1186</v>
      </c>
      <c r="D46" s="10">
        <v>1</v>
      </c>
      <c r="E46" s="10"/>
      <c r="F46" s="11">
        <v>0</v>
      </c>
      <c r="H46" s="3"/>
      <c r="I46" s="3" t="s">
        <v>346</v>
      </c>
      <c r="J46" s="3" t="s">
        <v>345</v>
      </c>
      <c r="K46" s="10">
        <v>38</v>
      </c>
      <c r="L46" s="10">
        <v>23</v>
      </c>
      <c r="M46" s="11">
        <v>0.60526315789473684</v>
      </c>
      <c r="N46" s="3"/>
      <c r="O46" s="3"/>
      <c r="P46"/>
      <c r="Q46"/>
      <c r="R46"/>
      <c r="S46"/>
      <c r="T46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</row>
    <row r="47" spans="2:48" x14ac:dyDescent="0.25">
      <c r="B47" s="3" t="s">
        <v>393</v>
      </c>
      <c r="C47" s="3" t="s">
        <v>392</v>
      </c>
      <c r="D47" s="10">
        <v>2</v>
      </c>
      <c r="E47" s="10"/>
      <c r="F47" s="11">
        <v>0</v>
      </c>
      <c r="H47" s="3"/>
      <c r="I47" s="3" t="s">
        <v>376</v>
      </c>
      <c r="J47" s="3" t="s">
        <v>726</v>
      </c>
      <c r="K47" s="10">
        <v>1</v>
      </c>
      <c r="L47" s="10"/>
      <c r="M47" s="11">
        <v>0</v>
      </c>
      <c r="N47" s="3"/>
      <c r="O47" s="3"/>
      <c r="P47"/>
      <c r="Q47"/>
      <c r="R47"/>
      <c r="S47"/>
      <c r="T47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</row>
    <row r="48" spans="2:48" x14ac:dyDescent="0.25">
      <c r="B48" s="3" t="s">
        <v>749</v>
      </c>
      <c r="C48" s="3" t="s">
        <v>1187</v>
      </c>
      <c r="D48" s="10">
        <v>2</v>
      </c>
      <c r="E48" s="10"/>
      <c r="F48" s="11">
        <v>0</v>
      </c>
      <c r="H48" s="3"/>
      <c r="I48" s="3" t="s">
        <v>385</v>
      </c>
      <c r="J48" s="3" t="s">
        <v>384</v>
      </c>
      <c r="K48" s="10">
        <v>10</v>
      </c>
      <c r="L48" s="10"/>
      <c r="M48" s="11">
        <v>0</v>
      </c>
      <c r="N48" s="3"/>
      <c r="O48" s="3"/>
      <c r="P48"/>
      <c r="Q48"/>
      <c r="R48"/>
      <c r="S48"/>
      <c r="T48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</row>
    <row r="49" spans="2:48" x14ac:dyDescent="0.25">
      <c r="B49" s="3" t="s">
        <v>750</v>
      </c>
      <c r="C49" s="3" t="s">
        <v>243</v>
      </c>
      <c r="D49" s="10">
        <v>11</v>
      </c>
      <c r="E49" s="10"/>
      <c r="F49" s="11">
        <v>0</v>
      </c>
      <c r="H49" s="3"/>
      <c r="I49" s="3" t="s">
        <v>407</v>
      </c>
      <c r="J49" s="3" t="s">
        <v>406</v>
      </c>
      <c r="K49" s="10">
        <v>8</v>
      </c>
      <c r="L49" s="10"/>
      <c r="M49" s="11">
        <v>0</v>
      </c>
      <c r="N49" s="3"/>
      <c r="O49" s="3"/>
      <c r="P49"/>
      <c r="Q49"/>
      <c r="R49"/>
      <c r="S49"/>
      <c r="T49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</row>
    <row r="50" spans="2:48" x14ac:dyDescent="0.25">
      <c r="B50" s="3" t="s">
        <v>751</v>
      </c>
      <c r="C50" s="3" t="s">
        <v>1188</v>
      </c>
      <c r="D50" s="10">
        <v>2</v>
      </c>
      <c r="E50" s="10"/>
      <c r="F50" s="11">
        <v>0</v>
      </c>
      <c r="H50" s="3"/>
      <c r="I50" s="3" t="s">
        <v>412</v>
      </c>
      <c r="J50" s="3" t="s">
        <v>411</v>
      </c>
      <c r="K50" s="10">
        <v>128</v>
      </c>
      <c r="L50" s="10"/>
      <c r="M50" s="11">
        <v>0</v>
      </c>
      <c r="N50" s="3"/>
      <c r="O50" s="3"/>
      <c r="P50"/>
      <c r="Q50"/>
      <c r="R50"/>
      <c r="S50"/>
      <c r="T50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</row>
    <row r="51" spans="2:48" x14ac:dyDescent="0.25">
      <c r="B51" s="3" t="s">
        <v>752</v>
      </c>
      <c r="C51" s="3" t="s">
        <v>1189</v>
      </c>
      <c r="D51" s="10">
        <v>8</v>
      </c>
      <c r="E51" s="10"/>
      <c r="F51" s="11">
        <v>0</v>
      </c>
      <c r="H51" s="3"/>
      <c r="I51" s="3" t="s">
        <v>1176</v>
      </c>
      <c r="J51" s="3" t="s">
        <v>440</v>
      </c>
      <c r="K51" s="10">
        <v>17</v>
      </c>
      <c r="L51" s="10"/>
      <c r="M51" s="11">
        <v>0</v>
      </c>
      <c r="N51" s="3"/>
      <c r="O51" s="3"/>
      <c r="P51"/>
      <c r="Q51"/>
      <c r="R51"/>
      <c r="S51"/>
      <c r="T51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</row>
    <row r="52" spans="2:48" x14ac:dyDescent="0.25">
      <c r="B52" s="3" t="s">
        <v>753</v>
      </c>
      <c r="C52" s="3" t="s">
        <v>240</v>
      </c>
      <c r="D52" s="10">
        <v>16</v>
      </c>
      <c r="E52" s="10">
        <v>1</v>
      </c>
      <c r="F52" s="11">
        <v>6.25E-2</v>
      </c>
      <c r="H52" s="3"/>
      <c r="I52" s="3" t="s">
        <v>1178</v>
      </c>
      <c r="J52" s="3" t="s">
        <v>1177</v>
      </c>
      <c r="K52" s="10">
        <v>6</v>
      </c>
      <c r="L52" s="10"/>
      <c r="M52" s="11">
        <v>0</v>
      </c>
      <c r="N52" s="3"/>
      <c r="O52" s="3"/>
      <c r="P52"/>
      <c r="Q52"/>
      <c r="R52"/>
      <c r="S52"/>
      <c r="T52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</row>
    <row r="53" spans="2:48" x14ac:dyDescent="0.25">
      <c r="B53" s="3" t="s">
        <v>754</v>
      </c>
      <c r="C53" s="3" t="s">
        <v>238</v>
      </c>
      <c r="D53" s="10">
        <v>11</v>
      </c>
      <c r="E53" s="10"/>
      <c r="F53" s="11">
        <v>0</v>
      </c>
      <c r="H53" s="3"/>
      <c r="I53" s="3" t="s">
        <v>321</v>
      </c>
      <c r="J53" s="3" t="s">
        <v>1180</v>
      </c>
      <c r="K53" s="10">
        <v>29</v>
      </c>
      <c r="L53" s="10"/>
      <c r="M53" s="11">
        <v>0</v>
      </c>
      <c r="N53" s="3"/>
      <c r="O53" s="3"/>
      <c r="P53"/>
      <c r="Q53"/>
      <c r="R53"/>
      <c r="S53"/>
      <c r="T5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</row>
    <row r="54" spans="2:48" x14ac:dyDescent="0.25">
      <c r="B54" s="3" t="s">
        <v>755</v>
      </c>
      <c r="C54" s="3" t="s">
        <v>394</v>
      </c>
      <c r="D54" s="10">
        <v>2</v>
      </c>
      <c r="E54" s="10"/>
      <c r="F54" s="11">
        <v>0</v>
      </c>
      <c r="H54" s="3"/>
      <c r="I54" s="3" t="s">
        <v>445</v>
      </c>
      <c r="J54" s="3" t="s">
        <v>444</v>
      </c>
      <c r="K54" s="10">
        <v>15</v>
      </c>
      <c r="L54" s="10"/>
      <c r="M54" s="11">
        <v>0</v>
      </c>
      <c r="N54" s="3"/>
      <c r="O54" s="3"/>
      <c r="P54"/>
      <c r="Q54"/>
      <c r="R54"/>
      <c r="S54"/>
      <c r="T54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</row>
    <row r="55" spans="2:48" x14ac:dyDescent="0.25">
      <c r="B55" s="3" t="s">
        <v>1194</v>
      </c>
      <c r="C55" s="3" t="s">
        <v>1193</v>
      </c>
      <c r="D55" s="10">
        <v>66</v>
      </c>
      <c r="E55" s="10"/>
      <c r="F55" s="11">
        <v>0</v>
      </c>
      <c r="H55" s="3"/>
      <c r="I55" s="3" t="s">
        <v>264</v>
      </c>
      <c r="J55" s="3" t="s">
        <v>263</v>
      </c>
      <c r="K55" s="10">
        <v>2</v>
      </c>
      <c r="L55" s="10"/>
      <c r="M55" s="11">
        <v>0</v>
      </c>
      <c r="N55" s="3"/>
      <c r="O55" s="3"/>
      <c r="P55"/>
      <c r="Q55"/>
      <c r="R55"/>
      <c r="S55"/>
      <c r="T55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</row>
    <row r="56" spans="2:48" x14ac:dyDescent="0.25">
      <c r="B56" s="3" t="s">
        <v>1199</v>
      </c>
      <c r="C56" s="3" t="s">
        <v>1198</v>
      </c>
      <c r="D56" s="10">
        <v>125</v>
      </c>
      <c r="E56" s="10"/>
      <c r="F56" s="11">
        <v>0</v>
      </c>
      <c r="H56" s="3"/>
      <c r="I56" s="3" t="s">
        <v>1190</v>
      </c>
      <c r="J56" s="3" t="s">
        <v>446</v>
      </c>
      <c r="K56" s="10">
        <v>850</v>
      </c>
      <c r="L56" s="10"/>
      <c r="M56" s="11">
        <v>0</v>
      </c>
      <c r="N56" s="3"/>
      <c r="O56" s="3"/>
      <c r="P56"/>
      <c r="Q56"/>
      <c r="R56"/>
      <c r="S56"/>
      <c r="T56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</row>
    <row r="57" spans="2:48" x14ac:dyDescent="0.25">
      <c r="B57" s="3" t="s">
        <v>1201</v>
      </c>
      <c r="C57" s="3" t="s">
        <v>1200</v>
      </c>
      <c r="D57" s="10">
        <v>167</v>
      </c>
      <c r="E57" s="10"/>
      <c r="F57" s="11">
        <v>0</v>
      </c>
      <c r="H57" s="3"/>
      <c r="I57" s="3" t="s">
        <v>448</v>
      </c>
      <c r="J57" s="3" t="s">
        <v>447</v>
      </c>
      <c r="K57" s="10">
        <v>25</v>
      </c>
      <c r="L57" s="10"/>
      <c r="M57" s="11">
        <v>0</v>
      </c>
      <c r="N57" s="3"/>
      <c r="O57" s="3"/>
      <c r="P57"/>
      <c r="Q57"/>
      <c r="R57"/>
      <c r="S57"/>
      <c r="T57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</row>
    <row r="58" spans="2:48" x14ac:dyDescent="0.25">
      <c r="B58" s="3" t="s">
        <v>1203</v>
      </c>
      <c r="C58" s="3" t="s">
        <v>1202</v>
      </c>
      <c r="D58" s="10">
        <v>9</v>
      </c>
      <c r="E58" s="10"/>
      <c r="F58" s="11">
        <v>0</v>
      </c>
      <c r="H58" s="3"/>
      <c r="I58" s="3" t="s">
        <v>1191</v>
      </c>
      <c r="J58" s="3" t="s">
        <v>449</v>
      </c>
      <c r="K58" s="10">
        <v>60</v>
      </c>
      <c r="L58" s="10"/>
      <c r="M58" s="11">
        <v>0</v>
      </c>
      <c r="N58" s="3"/>
      <c r="O58" s="3"/>
      <c r="P58"/>
      <c r="Q58"/>
      <c r="R58"/>
      <c r="S58"/>
      <c r="T58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</row>
    <row r="59" spans="2:48" x14ac:dyDescent="0.25">
      <c r="B59" s="3" t="s">
        <v>1205</v>
      </c>
      <c r="C59" s="3" t="s">
        <v>1204</v>
      </c>
      <c r="D59" s="10">
        <v>1030</v>
      </c>
      <c r="E59" s="10"/>
      <c r="F59" s="11">
        <v>0</v>
      </c>
      <c r="H59" s="3"/>
      <c r="I59" s="3" t="s">
        <v>410</v>
      </c>
      <c r="J59" s="3" t="s">
        <v>409</v>
      </c>
      <c r="K59" s="10">
        <v>24</v>
      </c>
      <c r="L59" s="10"/>
      <c r="M59" s="11">
        <v>0</v>
      </c>
      <c r="N59" s="3"/>
      <c r="O59" s="3"/>
      <c r="P59"/>
      <c r="Q59"/>
      <c r="R59"/>
      <c r="S59"/>
      <c r="T59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</row>
    <row r="60" spans="2:48" x14ac:dyDescent="0.25">
      <c r="B60" s="3" t="s">
        <v>1197</v>
      </c>
      <c r="C60" s="3" t="s">
        <v>1196</v>
      </c>
      <c r="D60" s="10">
        <v>7</v>
      </c>
      <c r="E60" s="10"/>
      <c r="F60" s="11">
        <v>0</v>
      </c>
      <c r="H60" s="3"/>
      <c r="I60" s="3" t="s">
        <v>1194</v>
      </c>
      <c r="J60" s="3" t="s">
        <v>1193</v>
      </c>
      <c r="K60" s="10">
        <v>59</v>
      </c>
      <c r="L60" s="10"/>
      <c r="M60" s="11">
        <v>0</v>
      </c>
      <c r="N60" s="3"/>
      <c r="O60" s="3"/>
      <c r="P60"/>
      <c r="Q60"/>
      <c r="R60"/>
      <c r="S60"/>
      <c r="T60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</row>
    <row r="61" spans="2:48" x14ac:dyDescent="0.25">
      <c r="B61" s="3" t="s">
        <v>12</v>
      </c>
      <c r="C61" s="3"/>
      <c r="D61" s="10">
        <v>234965</v>
      </c>
      <c r="E61" s="10">
        <v>90693</v>
      </c>
      <c r="F61" s="11">
        <v>0.38598514672398015</v>
      </c>
      <c r="H61" s="3"/>
      <c r="I61" s="3" t="s">
        <v>12</v>
      </c>
      <c r="J61" s="3"/>
      <c r="K61" s="10">
        <v>2450</v>
      </c>
      <c r="L61" s="10">
        <v>1193</v>
      </c>
      <c r="M61" s="11">
        <v>0.48693877551020409</v>
      </c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</row>
    <row r="62" spans="2:48" x14ac:dyDescent="0.25">
      <c r="B62"/>
      <c r="C62"/>
      <c r="D62"/>
      <c r="E62"/>
      <c r="F62"/>
      <c r="H62" s="3"/>
      <c r="I62"/>
      <c r="J62"/>
      <c r="K62"/>
      <c r="L62"/>
      <c r="M62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</row>
    <row r="63" spans="2:48" x14ac:dyDescent="0.25">
      <c r="B63"/>
      <c r="C63"/>
      <c r="D63"/>
      <c r="E63"/>
      <c r="F63"/>
      <c r="H63" s="3"/>
      <c r="I63"/>
      <c r="J63"/>
      <c r="K63"/>
      <c r="L63"/>
      <c r="M6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</row>
    <row r="64" spans="2:48" x14ac:dyDescent="0.25">
      <c r="H64" s="3"/>
      <c r="I64"/>
      <c r="J64"/>
      <c r="K64"/>
      <c r="L64"/>
      <c r="M64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</row>
    <row r="65" spans="2:48" x14ac:dyDescent="0.25">
      <c r="B65" s="3"/>
      <c r="C65" s="3"/>
      <c r="D65" s="10"/>
      <c r="E65" s="10"/>
      <c r="F65" s="11"/>
      <c r="H65" s="3"/>
      <c r="I65"/>
      <c r="J65"/>
      <c r="K65"/>
      <c r="L65"/>
      <c r="M65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</row>
    <row r="66" spans="2:48" x14ac:dyDescent="0.25">
      <c r="B66" s="3"/>
      <c r="C66" s="3"/>
      <c r="D66" s="10"/>
      <c r="E66" s="10"/>
      <c r="F66" s="11"/>
      <c r="H66" s="3"/>
      <c r="I66"/>
      <c r="J66"/>
      <c r="K66"/>
      <c r="L66"/>
      <c r="M66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</row>
    <row r="67" spans="2:48" x14ac:dyDescent="0.25">
      <c r="B67" s="3"/>
      <c r="C67" s="3"/>
      <c r="D67" s="10"/>
      <c r="E67" s="10"/>
      <c r="F67" s="11"/>
      <c r="H67" s="3"/>
      <c r="I67"/>
      <c r="J67"/>
      <c r="K67"/>
      <c r="L67"/>
      <c r="M67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</row>
    <row r="68" spans="2:48" x14ac:dyDescent="0.25">
      <c r="B68" s="3"/>
      <c r="C68" s="3"/>
      <c r="D68" s="10"/>
      <c r="E68" s="10"/>
      <c r="F68" s="11"/>
      <c r="H68" s="3"/>
      <c r="I68"/>
      <c r="J68"/>
      <c r="K68"/>
      <c r="L68"/>
      <c r="M68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</row>
    <row r="69" spans="2:48" x14ac:dyDescent="0.25">
      <c r="B69" s="3"/>
      <c r="C69" s="3"/>
      <c r="D69" s="10"/>
      <c r="E69" s="10"/>
      <c r="F69" s="11"/>
      <c r="H69" s="3"/>
      <c r="I69"/>
      <c r="J69"/>
      <c r="K69"/>
      <c r="L69"/>
      <c r="M69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</row>
    <row r="70" spans="2:48" x14ac:dyDescent="0.25">
      <c r="B70" s="3"/>
      <c r="C70" s="3"/>
      <c r="D70" s="10"/>
      <c r="E70" s="10"/>
      <c r="F70" s="11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</row>
    <row r="71" spans="2:48" x14ac:dyDescent="0.25">
      <c r="B71" s="3"/>
      <c r="C71" s="3"/>
      <c r="D71" s="10"/>
      <c r="E71" s="10"/>
      <c r="F71" s="11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</row>
    <row r="72" spans="2:48" x14ac:dyDescent="0.25">
      <c r="B72" s="3"/>
      <c r="C72" s="3"/>
      <c r="D72" s="10"/>
      <c r="E72" s="10"/>
      <c r="F72" s="11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</row>
    <row r="73" spans="2:48" x14ac:dyDescent="0.25">
      <c r="B73" s="3"/>
      <c r="C73" s="3"/>
      <c r="D73" s="10"/>
      <c r="E73" s="10"/>
      <c r="F73" s="11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</row>
    <row r="74" spans="2:48" x14ac:dyDescent="0.25"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</row>
    <row r="75" spans="2:48" x14ac:dyDescent="0.25"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</row>
    <row r="76" spans="2:48" x14ac:dyDescent="0.25"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</row>
    <row r="77" spans="2:48" x14ac:dyDescent="0.25">
      <c r="D77" s="3"/>
      <c r="E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</row>
    <row r="78" spans="2:48" x14ac:dyDescent="0.25">
      <c r="D78" s="3"/>
      <c r="E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</row>
    <row r="79" spans="2:48" x14ac:dyDescent="0.25">
      <c r="B79" s="3"/>
      <c r="C79" s="3"/>
      <c r="D79" s="3"/>
      <c r="E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</row>
    <row r="80" spans="2:48" x14ac:dyDescent="0.25"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</row>
    <row r="81" spans="6:48" x14ac:dyDescent="0.25"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</row>
    <row r="82" spans="6:48" x14ac:dyDescent="0.25"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</row>
    <row r="83" spans="6:48" x14ac:dyDescent="0.25"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</row>
    <row r="84" spans="6:48" x14ac:dyDescent="0.25"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</row>
    <row r="85" spans="6:48" x14ac:dyDescent="0.25"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</row>
    <row r="86" spans="6:48" x14ac:dyDescent="0.25"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</row>
    <row r="87" spans="6:48" x14ac:dyDescent="0.25"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</row>
    <row r="88" spans="6:48" x14ac:dyDescent="0.25"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</row>
    <row r="89" spans="6:48" x14ac:dyDescent="0.25"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</row>
    <row r="90" spans="6:48" x14ac:dyDescent="0.25"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</row>
    <row r="91" spans="6:48" x14ac:dyDescent="0.25"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</row>
    <row r="92" spans="6:48" x14ac:dyDescent="0.25"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</row>
    <row r="93" spans="6:48" x14ac:dyDescent="0.25"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</row>
    <row r="94" spans="6:48" x14ac:dyDescent="0.25"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</row>
    <row r="95" spans="6:48" x14ac:dyDescent="0.25"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</row>
    <row r="96" spans="6:48" x14ac:dyDescent="0.25"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</row>
    <row r="97" spans="6:48" x14ac:dyDescent="0.25"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</row>
    <row r="98" spans="6:48" x14ac:dyDescent="0.25"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</row>
    <row r="99" spans="6:48" x14ac:dyDescent="0.25"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</row>
    <row r="100" spans="6:48" x14ac:dyDescent="0.25"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</row>
    <row r="101" spans="6:48" x14ac:dyDescent="0.25"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</row>
    <row r="102" spans="6:48" x14ac:dyDescent="0.25"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</row>
    <row r="103" spans="6:48" x14ac:dyDescent="0.25"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</row>
    <row r="104" spans="6:48" x14ac:dyDescent="0.25"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</row>
    <row r="105" spans="6:48" x14ac:dyDescent="0.25"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</row>
    <row r="106" spans="6:48" x14ac:dyDescent="0.25"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</row>
    <row r="107" spans="6:48" x14ac:dyDescent="0.25"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</row>
    <row r="108" spans="6:48" x14ac:dyDescent="0.25"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</row>
    <row r="109" spans="6:48" x14ac:dyDescent="0.25"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</row>
    <row r="110" spans="6:48" x14ac:dyDescent="0.25"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</row>
    <row r="111" spans="6:48" x14ac:dyDescent="0.25"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</row>
    <row r="112" spans="6:48" x14ac:dyDescent="0.25"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</row>
    <row r="113" spans="6:48" x14ac:dyDescent="0.25"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</row>
    <row r="114" spans="6:48" x14ac:dyDescent="0.25"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</row>
    <row r="115" spans="6:48" x14ac:dyDescent="0.25"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</row>
    <row r="116" spans="6:48" x14ac:dyDescent="0.25"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</row>
    <row r="117" spans="6:48" x14ac:dyDescent="0.25"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</row>
    <row r="118" spans="6:48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</row>
    <row r="119" spans="6:48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</row>
    <row r="120" spans="6:48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</row>
    <row r="121" spans="6:48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</row>
    <row r="122" spans="6:48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</row>
    <row r="123" spans="6:48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</row>
    <row r="124" spans="6:48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</row>
    <row r="125" spans="6:48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</row>
    <row r="126" spans="6:48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</row>
    <row r="127" spans="6:48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</row>
    <row r="128" spans="6:48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</row>
    <row r="129" spans="6:48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</row>
    <row r="130" spans="6:48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</row>
    <row r="131" spans="6:48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</row>
    <row r="132" spans="6:48" x14ac:dyDescent="0.25"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</row>
    <row r="133" spans="6:48" x14ac:dyDescent="0.25"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</row>
    <row r="134" spans="6:48" x14ac:dyDescent="0.25"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</row>
    <row r="135" spans="6:48" x14ac:dyDescent="0.25"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</row>
    <row r="136" spans="6:48" x14ac:dyDescent="0.25"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</row>
    <row r="137" spans="6:48" x14ac:dyDescent="0.25"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</row>
    <row r="138" spans="6:48" x14ac:dyDescent="0.25"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</row>
    <row r="139" spans="6:48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</row>
    <row r="140" spans="6:48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</row>
    <row r="141" spans="6:48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</row>
    <row r="142" spans="6:48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</row>
    <row r="143" spans="6:48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</row>
    <row r="144" spans="6:48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</row>
    <row r="145" spans="6:48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</row>
    <row r="146" spans="6:48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</row>
    <row r="147" spans="6:48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</row>
    <row r="148" spans="6:48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</row>
    <row r="149" spans="6:48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</row>
    <row r="150" spans="6:48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</row>
    <row r="151" spans="6:48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</row>
    <row r="152" spans="6:48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</row>
    <row r="153" spans="6:48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</row>
    <row r="154" spans="6:48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</row>
    <row r="155" spans="6:48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</row>
    <row r="156" spans="6:48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</row>
    <row r="157" spans="6:48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</row>
    <row r="158" spans="6:48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</row>
    <row r="159" spans="6:48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</row>
    <row r="160" spans="6:48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</row>
    <row r="161" spans="2:78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</row>
    <row r="162" spans="2:78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</row>
    <row r="163" spans="2:78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</row>
    <row r="164" spans="2:78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</row>
    <row r="165" spans="2:78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</row>
    <row r="166" spans="2:78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</row>
    <row r="167" spans="2:78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</row>
    <row r="168" spans="2:78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</row>
    <row r="169" spans="2:78" x14ac:dyDescent="0.25"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</row>
    <row r="170" spans="2:78" x14ac:dyDescent="0.25"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</row>
    <row r="171" spans="2:78" x14ac:dyDescent="0.25"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</row>
    <row r="172" spans="2:78" x14ac:dyDescent="0.25"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</row>
    <row r="173" spans="2:78" x14ac:dyDescent="0.25"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</row>
    <row r="174" spans="2:78" x14ac:dyDescent="0.25"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</row>
    <row r="175" spans="2:78" x14ac:dyDescent="0.25"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</row>
    <row r="176" spans="2:78" x14ac:dyDescent="0.25"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</row>
    <row r="177" spans="2:78" x14ac:dyDescent="0.25"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</row>
    <row r="178" spans="2:78" x14ac:dyDescent="0.25"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</row>
    <row r="179" spans="2:78" x14ac:dyDescent="0.25"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</row>
    <row r="180" spans="2:78" x14ac:dyDescent="0.25"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</row>
    <row r="181" spans="2:78" x14ac:dyDescent="0.25"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</row>
    <row r="182" spans="2:78" x14ac:dyDescent="0.25"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</row>
    <row r="183" spans="2:78" x14ac:dyDescent="0.25"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</row>
    <row r="184" spans="2:78" x14ac:dyDescent="0.25"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</row>
    <row r="185" spans="2:78" x14ac:dyDescent="0.25"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</row>
    <row r="186" spans="2:78" x14ac:dyDescent="0.25"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</row>
    <row r="187" spans="2:78" x14ac:dyDescent="0.25"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</row>
    <row r="188" spans="2:78" x14ac:dyDescent="0.25"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</row>
    <row r="189" spans="2:78" x14ac:dyDescent="0.25"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</row>
    <row r="190" spans="2:78" x14ac:dyDescent="0.25"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</row>
    <row r="191" spans="2:78" x14ac:dyDescent="0.25"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</row>
    <row r="192" spans="2:78" x14ac:dyDescent="0.25"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</row>
    <row r="193" spans="2:78" x14ac:dyDescent="0.2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</row>
    <row r="194" spans="2:78" x14ac:dyDescent="0.25"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</row>
    <row r="195" spans="2:78" x14ac:dyDescent="0.25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</row>
    <row r="196" spans="2:78" x14ac:dyDescent="0.25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</row>
    <row r="197" spans="2:78" x14ac:dyDescent="0.25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</row>
    <row r="198" spans="2:78" x14ac:dyDescent="0.25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</row>
    <row r="199" spans="2:78" x14ac:dyDescent="0.25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</row>
    <row r="200" spans="2:78" x14ac:dyDescent="0.25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</row>
    <row r="201" spans="2:78" x14ac:dyDescent="0.25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</row>
    <row r="202" spans="2:78" x14ac:dyDescent="0.25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</row>
    <row r="203" spans="2:78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</row>
    <row r="204" spans="2:78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</row>
    <row r="205" spans="2:78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</row>
    <row r="206" spans="2:78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</row>
    <row r="207" spans="2:78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</row>
    <row r="208" spans="2:78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</row>
    <row r="209" spans="2:78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</row>
    <row r="210" spans="2:78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</row>
    <row r="211" spans="2:78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</row>
    <row r="212" spans="2:78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</row>
    <row r="213" spans="2:78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</row>
    <row r="214" spans="2:78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</row>
    <row r="215" spans="2:78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</row>
    <row r="216" spans="2:78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</row>
    <row r="217" spans="2:78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</row>
    <row r="218" spans="2:78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</row>
    <row r="219" spans="2:78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</row>
    <row r="220" spans="2:78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</row>
    <row r="221" spans="2:78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</row>
    <row r="222" spans="2:78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</row>
    <row r="223" spans="2:78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</row>
    <row r="224" spans="2:78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</row>
    <row r="225" spans="2:78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</row>
    <row r="226" spans="2:78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</row>
    <row r="227" spans="2:78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</row>
    <row r="228" spans="2:78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</row>
    <row r="229" spans="2:78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</row>
    <row r="230" spans="2:78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</row>
    <row r="231" spans="2:78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</row>
    <row r="232" spans="2:78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</row>
    <row r="233" spans="2:78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</row>
    <row r="234" spans="2:78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</row>
    <row r="235" spans="2:78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</row>
    <row r="236" spans="2:78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</row>
    <row r="237" spans="2:78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</row>
    <row r="238" spans="2:78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</row>
    <row r="239" spans="2:78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</row>
    <row r="240" spans="2:78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</row>
    <row r="241" spans="2:78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</row>
    <row r="242" spans="2:78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</row>
    <row r="243" spans="2:78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</row>
    <row r="244" spans="2:78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</row>
    <row r="245" spans="2:78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</row>
    <row r="246" spans="2:78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</row>
    <row r="247" spans="2:78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</row>
    <row r="248" spans="2:78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</row>
    <row r="249" spans="2:78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</row>
    <row r="250" spans="2:78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</row>
    <row r="251" spans="2:78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</row>
    <row r="252" spans="2:78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</row>
    <row r="253" spans="2:78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</row>
    <row r="254" spans="2:78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</row>
    <row r="255" spans="2:78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</row>
    <row r="256" spans="2:78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</row>
    <row r="257" spans="2:78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</row>
    <row r="258" spans="2:78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</row>
    <row r="259" spans="2:78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</row>
    <row r="260" spans="2:78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</row>
    <row r="261" spans="2:78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</row>
    <row r="262" spans="2:78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</row>
    <row r="263" spans="2:78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</row>
    <row r="264" spans="2:78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</row>
    <row r="265" spans="2:78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</row>
    <row r="266" spans="2:78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</row>
    <row r="267" spans="2:78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</row>
    <row r="268" spans="2:78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</row>
    <row r="269" spans="2:78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</row>
    <row r="270" spans="2:78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</row>
    <row r="271" spans="2:78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</row>
    <row r="272" spans="2:78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</row>
    <row r="273" spans="2:78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</row>
    <row r="274" spans="2:78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</row>
    <row r="275" spans="2:78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</row>
    <row r="276" spans="2:78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</row>
    <row r="277" spans="2:78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</row>
    <row r="278" spans="2:78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</row>
    <row r="279" spans="2:78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</row>
    <row r="280" spans="2:78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</row>
    <row r="281" spans="2:78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</row>
    <row r="282" spans="2:78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</row>
    <row r="283" spans="2:78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</row>
    <row r="284" spans="2:78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</row>
    <row r="285" spans="2:78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</row>
    <row r="286" spans="2:78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</row>
    <row r="287" spans="2:78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</row>
    <row r="288" spans="2:78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</row>
    <row r="289" spans="2:78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</row>
    <row r="290" spans="2:78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</row>
    <row r="291" spans="2:78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</row>
    <row r="292" spans="2:78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</row>
    <row r="293" spans="2:78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</row>
    <row r="294" spans="2:78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</row>
    <row r="295" spans="2:78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</row>
    <row r="296" spans="2:78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</row>
    <row r="297" spans="2:78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</row>
    <row r="298" spans="2:78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</row>
    <row r="299" spans="2:78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</row>
    <row r="300" spans="2:78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</row>
    <row r="301" spans="2:78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</row>
    <row r="302" spans="2:78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</row>
    <row r="303" spans="2:78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</row>
    <row r="304" spans="2:78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</row>
    <row r="305" spans="2:78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</row>
    <row r="306" spans="2:78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</row>
    <row r="307" spans="2:78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</row>
    <row r="308" spans="2:78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</row>
    <row r="309" spans="2:78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</row>
    <row r="310" spans="2:78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</row>
    <row r="311" spans="2:78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</row>
    <row r="312" spans="2:78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</row>
    <row r="313" spans="2:78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</row>
    <row r="314" spans="2:78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</row>
    <row r="315" spans="2:78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</row>
    <row r="316" spans="2:78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</row>
    <row r="317" spans="2:78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</row>
    <row r="318" spans="2:78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</row>
    <row r="319" spans="2:78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</row>
    <row r="320" spans="2:78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</row>
    <row r="321" spans="2:78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</row>
    <row r="322" spans="2:78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</row>
    <row r="323" spans="2:78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</row>
    <row r="324" spans="2:78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</row>
    <row r="325" spans="2:78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</row>
    <row r="326" spans="2:78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</row>
    <row r="327" spans="2:78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</row>
    <row r="328" spans="2:78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</row>
    <row r="329" spans="2:78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</row>
    <row r="330" spans="2:78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</row>
    <row r="331" spans="2:78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</row>
    <row r="332" spans="2:78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</row>
    <row r="333" spans="2:78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</row>
    <row r="334" spans="2:78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</row>
    <row r="335" spans="2:78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</row>
    <row r="336" spans="2:78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</row>
    <row r="337" spans="2:78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</row>
    <row r="338" spans="2:78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</row>
    <row r="339" spans="2:78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</row>
    <row r="340" spans="2:78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</row>
    <row r="341" spans="2:78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</row>
    <row r="342" spans="2:78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</row>
    <row r="343" spans="2:78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</row>
    <row r="344" spans="2:78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</row>
    <row r="345" spans="2:78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</row>
    <row r="346" spans="2:78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</row>
    <row r="347" spans="2:78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</row>
    <row r="348" spans="2:78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</row>
    <row r="349" spans="2:78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</row>
    <row r="350" spans="2:78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</row>
    <row r="351" spans="2:78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</row>
    <row r="352" spans="2:78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</row>
    <row r="353" spans="2:78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</row>
    <row r="354" spans="2:78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</row>
    <row r="355" spans="2:78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</row>
    <row r="356" spans="2:78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</row>
    <row r="357" spans="2:78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</row>
    <row r="358" spans="2:78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</row>
  </sheetData>
  <mergeCells count="2">
    <mergeCell ref="B1:S2"/>
    <mergeCell ref="B24:T25"/>
  </mergeCells>
  <pageMargins left="0.7" right="0.7" top="0.75" bottom="0.75" header="0.3" footer="0.3"/>
  <pageSetup orientation="portrait" r:id="rId7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92D050"/>
  </sheetPr>
  <dimension ref="B3:CD501"/>
  <sheetViews>
    <sheetView showGridLines="0" topLeftCell="A4" zoomScale="115" zoomScaleNormal="115" workbookViewId="0"/>
  </sheetViews>
  <sheetFormatPr baseColWidth="10" defaultRowHeight="15" x14ac:dyDescent="0.25"/>
  <cols>
    <col min="1" max="1" width="42.140625" style="46" customWidth="1"/>
    <col min="2" max="2" width="18.85546875" style="46" customWidth="1"/>
    <col min="3" max="3" width="9.85546875" style="46" bestFit="1" customWidth="1"/>
    <col min="4" max="4" width="8.5703125" style="46" bestFit="1" customWidth="1"/>
    <col min="5" max="6" width="10.5703125" style="46" bestFit="1" customWidth="1"/>
    <col min="7" max="7" width="12.5703125" style="46" bestFit="1" customWidth="1"/>
    <col min="8" max="8" width="9.85546875" style="46" bestFit="1" customWidth="1"/>
    <col min="9" max="9" width="8.5703125" style="46" bestFit="1" customWidth="1"/>
    <col min="10" max="10" width="10.5703125" style="46" bestFit="1" customWidth="1"/>
    <col min="11" max="11" width="5.7109375" style="46" customWidth="1"/>
    <col min="12" max="12" width="12.5703125" style="46" customWidth="1"/>
    <col min="13" max="13" width="26.28515625" style="46" bestFit="1" customWidth="1"/>
    <col min="14" max="14" width="8.5703125" style="46" bestFit="1" customWidth="1"/>
    <col min="15" max="15" width="10.5703125" style="46" bestFit="1" customWidth="1"/>
    <col min="16" max="16" width="12.28515625" style="46" bestFit="1" customWidth="1"/>
    <col min="17" max="17" width="9.140625" style="46" bestFit="1" customWidth="1"/>
    <col min="18" max="18" width="8.5703125" style="46" bestFit="1" customWidth="1"/>
    <col min="19" max="19" width="10.5703125" style="46" customWidth="1"/>
    <col min="20" max="20" width="10.42578125" style="46" bestFit="1" customWidth="1"/>
    <col min="21" max="82" width="3" style="46" customWidth="1"/>
    <col min="83" max="150" width="4" style="46" customWidth="1"/>
    <col min="151" max="170" width="5" style="46" customWidth="1"/>
    <col min="171" max="180" width="6" style="46" customWidth="1"/>
    <col min="181" max="181" width="12.5703125" style="46" bestFit="1" customWidth="1"/>
    <col min="182" max="16384" width="11.42578125" style="46"/>
  </cols>
  <sheetData>
    <row r="3" spans="2:82" ht="25.5" x14ac:dyDescent="0.25">
      <c r="B3" s="135" t="s">
        <v>179</v>
      </c>
      <c r="C3" s="135"/>
      <c r="D3" s="135"/>
      <c r="E3" s="135"/>
      <c r="F3" s="135"/>
      <c r="G3" s="135"/>
      <c r="H3" s="135"/>
      <c r="I3" s="135"/>
      <c r="J3" s="135"/>
    </row>
    <row r="5" spans="2:82" ht="18" x14ac:dyDescent="0.25">
      <c r="B5" s="137" t="s">
        <v>110</v>
      </c>
      <c r="C5" s="137"/>
      <c r="D5" s="137"/>
      <c r="E5" s="137"/>
      <c r="F5" s="137"/>
      <c r="G5" s="137"/>
      <c r="H5" s="137"/>
      <c r="I5" s="137"/>
      <c r="J5" s="137"/>
      <c r="L5" s="137" t="s">
        <v>221</v>
      </c>
      <c r="M5" s="137"/>
      <c r="N5" s="137"/>
      <c r="O5" s="137"/>
      <c r="P5" s="137"/>
      <c r="Q5" s="137"/>
      <c r="R5" s="137"/>
      <c r="S5" s="137"/>
      <c r="T5" s="137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250637</v>
      </c>
      <c r="D10" s="10">
        <v>91670</v>
      </c>
      <c r="E10" s="14">
        <v>0.36574807390768321</v>
      </c>
      <c r="F10" s="15"/>
      <c r="L10" s="37" t="s">
        <v>154</v>
      </c>
      <c r="M10" s="49" t="s">
        <v>131</v>
      </c>
      <c r="N10" s="49" t="s">
        <v>138</v>
      </c>
      <c r="O10" s="49" t="s">
        <v>19</v>
      </c>
      <c r="P10" s="76" t="s">
        <v>220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2181</v>
      </c>
      <c r="D11" s="10">
        <v>216</v>
      </c>
      <c r="E11" s="14">
        <v>9.9037138927097659E-2</v>
      </c>
      <c r="F11" s="15"/>
      <c r="L11" s="3" t="s">
        <v>3</v>
      </c>
      <c r="M11" s="3" t="s">
        <v>181</v>
      </c>
      <c r="N11" s="3" t="s">
        <v>212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270</v>
      </c>
      <c r="N12" s="3" t="s">
        <v>732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252818</v>
      </c>
      <c r="D13" s="10">
        <v>91886</v>
      </c>
      <c r="E13" s="11">
        <v>0.36344722290343251</v>
      </c>
      <c r="F13" s="15"/>
      <c r="G13" s="7"/>
      <c r="H13" s="10"/>
      <c r="I13" s="10"/>
      <c r="J13" s="11"/>
      <c r="L13" s="3"/>
      <c r="M13" s="3" t="s">
        <v>274</v>
      </c>
      <c r="N13" s="3" t="s">
        <v>736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7" t="s">
        <v>111</v>
      </c>
      <c r="C14" s="137"/>
      <c r="D14" s="137"/>
      <c r="E14" s="137"/>
      <c r="F14" s="137"/>
      <c r="G14" s="137"/>
      <c r="H14" s="137"/>
      <c r="I14" s="137"/>
      <c r="J14" s="137"/>
      <c r="L14" s="3"/>
      <c r="M14" s="3" t="s">
        <v>275</v>
      </c>
      <c r="N14" s="3" t="s">
        <v>737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277</v>
      </c>
      <c r="N15" s="3" t="s">
        <v>278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294</v>
      </c>
      <c r="N16" s="3" t="s">
        <v>739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295</v>
      </c>
      <c r="N17" s="3" t="s">
        <v>740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296</v>
      </c>
      <c r="N18" s="3" t="s">
        <v>741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 t="s">
        <v>16</v>
      </c>
      <c r="C19" s="9" t="s">
        <v>47</v>
      </c>
      <c r="D19" s="9" t="s">
        <v>48</v>
      </c>
      <c r="E19" s="9" t="s">
        <v>49</v>
      </c>
      <c r="F19" s="3"/>
      <c r="G19" s="37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384</v>
      </c>
      <c r="N19" s="3" t="s">
        <v>385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2051</v>
      </c>
      <c r="D20" s="10">
        <v>122</v>
      </c>
      <c r="E20" s="11">
        <v>5.9483178937103851E-2</v>
      </c>
      <c r="F20" s="3"/>
      <c r="G20" s="7" t="s">
        <v>3</v>
      </c>
      <c r="H20" s="10">
        <v>2051</v>
      </c>
      <c r="I20" s="10">
        <v>122</v>
      </c>
      <c r="J20" s="11">
        <v>5.9483178937103851E-2</v>
      </c>
      <c r="L20" s="3"/>
      <c r="M20" s="3" t="s">
        <v>411</v>
      </c>
      <c r="N20" s="3" t="s">
        <v>412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51386</v>
      </c>
      <c r="D21" s="10">
        <v>45428</v>
      </c>
      <c r="E21" s="11">
        <v>0.88405402249639975</v>
      </c>
      <c r="F21" s="3"/>
      <c r="G21" s="7" t="s">
        <v>4</v>
      </c>
      <c r="H21" s="10">
        <v>51386</v>
      </c>
      <c r="I21" s="10">
        <v>45428</v>
      </c>
      <c r="J21" s="11">
        <v>0.88405402249639975</v>
      </c>
      <c r="L21" s="3"/>
      <c r="M21" s="3" t="s">
        <v>1169</v>
      </c>
      <c r="N21" s="3" t="s">
        <v>1170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724</v>
      </c>
      <c r="C22" s="10">
        <v>18730</v>
      </c>
      <c r="D22" s="10">
        <v>16524</v>
      </c>
      <c r="E22" s="11">
        <v>0.88222103577148958</v>
      </c>
      <c r="F22" s="3"/>
      <c r="G22" s="7" t="s">
        <v>724</v>
      </c>
      <c r="H22" s="10">
        <v>18730</v>
      </c>
      <c r="I22" s="10">
        <v>16524</v>
      </c>
      <c r="J22" s="11">
        <v>0.88222103577148958</v>
      </c>
      <c r="L22" s="3"/>
      <c r="M22" s="3" t="s">
        <v>1171</v>
      </c>
      <c r="N22" s="3" t="s">
        <v>1172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43428</v>
      </c>
      <c r="D23" s="10">
        <v>73</v>
      </c>
      <c r="E23" s="11">
        <v>1.6809431703048725E-3</v>
      </c>
      <c r="F23" s="3"/>
      <c r="G23" s="7" t="s">
        <v>5</v>
      </c>
      <c r="H23" s="10">
        <v>43428</v>
      </c>
      <c r="I23" s="10">
        <v>73</v>
      </c>
      <c r="J23" s="11">
        <v>1.6809431703048725E-3</v>
      </c>
      <c r="L23" s="3"/>
      <c r="M23" s="3" t="s">
        <v>1173</v>
      </c>
      <c r="N23" s="3" t="s">
        <v>1174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20660</v>
      </c>
      <c r="D24" s="10">
        <v>123</v>
      </c>
      <c r="E24" s="11">
        <v>5.9535333978702806E-3</v>
      </c>
      <c r="F24" s="3"/>
      <c r="G24" s="7" t="s">
        <v>6</v>
      </c>
      <c r="H24" s="10">
        <v>20660</v>
      </c>
      <c r="I24" s="10">
        <v>123</v>
      </c>
      <c r="J24" s="11">
        <v>5.9535333978702806E-3</v>
      </c>
      <c r="L24" s="3"/>
      <c r="M24" s="3" t="s">
        <v>433</v>
      </c>
      <c r="N24" s="3" t="s">
        <v>1175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1332</v>
      </c>
      <c r="D25" s="10">
        <v>103</v>
      </c>
      <c r="E25" s="11">
        <v>7.7327327327327333E-2</v>
      </c>
      <c r="F25" s="3"/>
      <c r="G25" s="7" t="s">
        <v>7</v>
      </c>
      <c r="H25" s="10">
        <v>1332</v>
      </c>
      <c r="I25" s="10">
        <v>103</v>
      </c>
      <c r="J25" s="11">
        <v>7.7327327327327333E-2</v>
      </c>
      <c r="L25" s="3"/>
      <c r="M25" s="3" t="s">
        <v>434</v>
      </c>
      <c r="N25" s="3" t="s">
        <v>435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12170</v>
      </c>
      <c r="D26" s="10">
        <v>36</v>
      </c>
      <c r="E26" s="11">
        <v>2.9580936729663105E-3</v>
      </c>
      <c r="F26" s="3"/>
      <c r="G26" s="7" t="s">
        <v>149</v>
      </c>
      <c r="H26" s="10">
        <v>12170</v>
      </c>
      <c r="I26" s="10">
        <v>36</v>
      </c>
      <c r="J26" s="11">
        <v>2.9580936729663105E-3</v>
      </c>
      <c r="L26" s="3"/>
      <c r="M26" s="3" t="s">
        <v>436</v>
      </c>
      <c r="N26" s="3" t="s">
        <v>437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16516</v>
      </c>
      <c r="D27" s="10">
        <v>83</v>
      </c>
      <c r="E27" s="11">
        <v>5.0254298861709861E-3</v>
      </c>
      <c r="F27" s="3"/>
      <c r="G27" s="7" t="s">
        <v>8</v>
      </c>
      <c r="H27" s="10">
        <v>16516</v>
      </c>
      <c r="I27" s="10">
        <v>83</v>
      </c>
      <c r="J27" s="11">
        <v>5.0254298861709861E-3</v>
      </c>
      <c r="L27" s="3"/>
      <c r="M27" s="3" t="s">
        <v>438</v>
      </c>
      <c r="N27" s="3" t="s">
        <v>439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33709</v>
      </c>
      <c r="D28" s="10">
        <v>298</v>
      </c>
      <c r="E28" s="11">
        <v>8.8403690409089557E-3</v>
      </c>
      <c r="F28" s="3"/>
      <c r="G28" s="7" t="s">
        <v>9</v>
      </c>
      <c r="H28" s="10">
        <v>33709</v>
      </c>
      <c r="I28" s="10">
        <v>298</v>
      </c>
      <c r="J28" s="11">
        <v>8.8403690409089557E-3</v>
      </c>
      <c r="L28" s="3"/>
      <c r="M28" s="3" t="s">
        <v>440</v>
      </c>
      <c r="N28" s="3" t="s">
        <v>1176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40596</v>
      </c>
      <c r="D29" s="10">
        <v>29083</v>
      </c>
      <c r="E29" s="11">
        <v>0.71640063060400039</v>
      </c>
      <c r="F29" s="3"/>
      <c r="G29" s="7" t="s">
        <v>10</v>
      </c>
      <c r="H29" s="10">
        <v>40596</v>
      </c>
      <c r="I29" s="10">
        <v>29083</v>
      </c>
      <c r="J29" s="11">
        <v>0.71640063060400039</v>
      </c>
      <c r="L29" s="3"/>
      <c r="M29" s="3" t="s">
        <v>1180</v>
      </c>
      <c r="N29" s="3" t="s">
        <v>321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12240</v>
      </c>
      <c r="D30" s="10">
        <v>13</v>
      </c>
      <c r="E30" s="11">
        <v>1.0620915032679738E-3</v>
      </c>
      <c r="F30" s="3"/>
      <c r="G30" s="7" t="s">
        <v>150</v>
      </c>
      <c r="H30" s="10">
        <v>12240</v>
      </c>
      <c r="I30" s="10">
        <v>13</v>
      </c>
      <c r="J30" s="11">
        <v>1.0620915032679738E-3</v>
      </c>
      <c r="L30" s="3"/>
      <c r="M30" s="3" t="s">
        <v>446</v>
      </c>
      <c r="N30" s="3" t="s">
        <v>1190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447</v>
      </c>
      <c r="N31" s="3" t="s">
        <v>448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252818</v>
      </c>
      <c r="D32" s="10">
        <v>91886</v>
      </c>
      <c r="E32" s="11">
        <v>0.36344722290343251</v>
      </c>
      <c r="F32" s="3"/>
      <c r="G32" s="7" t="s">
        <v>12</v>
      </c>
      <c r="H32" s="10">
        <v>252818</v>
      </c>
      <c r="I32" s="10">
        <v>91886</v>
      </c>
      <c r="J32" s="11">
        <v>0.36344722290343251</v>
      </c>
      <c r="L32" s="3"/>
      <c r="M32" s="3" t="s">
        <v>449</v>
      </c>
      <c r="N32" s="3" t="s">
        <v>1191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409</v>
      </c>
      <c r="N33" s="3" t="s">
        <v>410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/>
      <c r="C34"/>
      <c r="D34"/>
      <c r="E34"/>
      <c r="F34"/>
      <c r="G34"/>
      <c r="H34"/>
      <c r="I34"/>
      <c r="J34"/>
      <c r="K34"/>
      <c r="L34" s="3"/>
      <c r="M34" s="3" t="s">
        <v>1193</v>
      </c>
      <c r="N34" s="3" t="s">
        <v>1194</v>
      </c>
      <c r="O34" s="3" t="s">
        <v>1</v>
      </c>
      <c r="P34" s="3" t="s">
        <v>124</v>
      </c>
      <c r="Q34" s="10">
        <v>1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/>
      <c r="C35"/>
      <c r="D35"/>
      <c r="E35"/>
      <c r="F35"/>
      <c r="G35"/>
      <c r="H35"/>
      <c r="I35"/>
      <c r="J35"/>
      <c r="K35"/>
      <c r="L35" s="3"/>
      <c r="M35" s="3" t="s">
        <v>1200</v>
      </c>
      <c r="N35" s="3" t="s">
        <v>1201</v>
      </c>
      <c r="O35" s="3" t="s">
        <v>0</v>
      </c>
      <c r="P35" s="3" t="s">
        <v>124</v>
      </c>
      <c r="Q35" s="10">
        <v>4</v>
      </c>
      <c r="R35" s="10"/>
      <c r="S35" s="11">
        <v>0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/>
      <c r="C36"/>
      <c r="D36"/>
      <c r="E36"/>
      <c r="F36"/>
      <c r="G36"/>
      <c r="H36"/>
      <c r="I36"/>
      <c r="J36"/>
      <c r="K36"/>
      <c r="L36" s="3"/>
      <c r="M36" s="3" t="s">
        <v>1204</v>
      </c>
      <c r="N36" s="3" t="s">
        <v>1205</v>
      </c>
      <c r="O36" s="3" t="s">
        <v>0</v>
      </c>
      <c r="P36" s="3" t="s">
        <v>124</v>
      </c>
      <c r="Q36" s="10">
        <v>10</v>
      </c>
      <c r="R36" s="10"/>
      <c r="S36" s="11">
        <v>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/>
      <c r="C37"/>
      <c r="D37"/>
      <c r="E37"/>
      <c r="F37"/>
      <c r="G37"/>
      <c r="H37"/>
      <c r="I37"/>
      <c r="J37"/>
      <c r="K37"/>
      <c r="L37" s="3"/>
      <c r="M37" s="3" t="s">
        <v>1206</v>
      </c>
      <c r="N37" s="3" t="s">
        <v>1207</v>
      </c>
      <c r="O37" s="3" t="s">
        <v>2</v>
      </c>
      <c r="P37" s="3" t="s">
        <v>124</v>
      </c>
      <c r="Q37" s="10">
        <v>6</v>
      </c>
      <c r="R37" s="10"/>
      <c r="S37" s="11">
        <v>0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/>
      <c r="C38"/>
      <c r="D38"/>
      <c r="E38"/>
      <c r="F38"/>
      <c r="G38"/>
      <c r="H38"/>
      <c r="I38"/>
      <c r="J38"/>
      <c r="K38"/>
      <c r="L38" s="3" t="s">
        <v>4</v>
      </c>
      <c r="M38" s="3" t="s">
        <v>181</v>
      </c>
      <c r="N38" s="3" t="s">
        <v>212</v>
      </c>
      <c r="O38" s="3" t="s">
        <v>0</v>
      </c>
      <c r="P38" s="3" t="s">
        <v>124</v>
      </c>
      <c r="Q38" s="10">
        <v>1500</v>
      </c>
      <c r="R38" s="10"/>
      <c r="S38" s="11">
        <v>0</v>
      </c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/>
      <c r="C39"/>
      <c r="D39"/>
      <c r="E39"/>
      <c r="F39"/>
      <c r="G39"/>
      <c r="H39"/>
      <c r="I39"/>
      <c r="J39"/>
      <c r="K39"/>
      <c r="L39" s="3"/>
      <c r="M39" s="3" t="s">
        <v>246</v>
      </c>
      <c r="N39" s="3" t="s">
        <v>247</v>
      </c>
      <c r="O39" s="3" t="s">
        <v>0</v>
      </c>
      <c r="P39" s="3" t="s">
        <v>124</v>
      </c>
      <c r="Q39" s="10">
        <v>15000</v>
      </c>
      <c r="R39" s="10">
        <v>15000</v>
      </c>
      <c r="S39" s="11">
        <v>1</v>
      </c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/>
      <c r="C40"/>
      <c r="D40"/>
      <c r="E40"/>
      <c r="F40"/>
      <c r="G40"/>
      <c r="H40"/>
      <c r="I40"/>
      <c r="J40"/>
      <c r="K40"/>
      <c r="L40" s="3"/>
      <c r="M40" s="3" t="s">
        <v>248</v>
      </c>
      <c r="N40" s="3" t="s">
        <v>249</v>
      </c>
      <c r="O40" s="3" t="s">
        <v>0</v>
      </c>
      <c r="P40" s="3" t="s">
        <v>124</v>
      </c>
      <c r="Q40" s="10">
        <v>30000</v>
      </c>
      <c r="R40" s="10">
        <v>30000</v>
      </c>
      <c r="S40" s="11">
        <v>1</v>
      </c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/>
      <c r="C41"/>
      <c r="D41"/>
      <c r="E41"/>
      <c r="F41"/>
      <c r="G41"/>
      <c r="H41"/>
      <c r="I41"/>
      <c r="J41"/>
      <c r="K41"/>
      <c r="L41" s="3"/>
      <c r="M41" s="3" t="s">
        <v>270</v>
      </c>
      <c r="N41" s="3" t="s">
        <v>732</v>
      </c>
      <c r="O41" s="3" t="s">
        <v>1</v>
      </c>
      <c r="P41" s="3" t="s">
        <v>124</v>
      </c>
      <c r="Q41" s="10">
        <v>111</v>
      </c>
      <c r="R41" s="10">
        <v>111</v>
      </c>
      <c r="S41" s="11">
        <v>1</v>
      </c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/>
      <c r="C42"/>
      <c r="D42"/>
      <c r="E42"/>
      <c r="F42"/>
      <c r="G42"/>
      <c r="H42"/>
      <c r="I42"/>
      <c r="J42"/>
      <c r="K42"/>
      <c r="L42" s="3"/>
      <c r="M42" s="3" t="s">
        <v>271</v>
      </c>
      <c r="N42" s="3" t="s">
        <v>733</v>
      </c>
      <c r="O42" s="3" t="s">
        <v>1</v>
      </c>
      <c r="P42" s="3" t="s">
        <v>124</v>
      </c>
      <c r="Q42" s="10">
        <v>18</v>
      </c>
      <c r="R42" s="10">
        <v>18</v>
      </c>
      <c r="S42" s="11">
        <v>1</v>
      </c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/>
      <c r="C43"/>
      <c r="D43"/>
      <c r="E43"/>
      <c r="F43"/>
      <c r="G43"/>
      <c r="H43"/>
      <c r="I43"/>
      <c r="J43"/>
      <c r="K43"/>
      <c r="L43" s="3"/>
      <c r="M43" s="3" t="s">
        <v>272</v>
      </c>
      <c r="N43" s="3" t="s">
        <v>734</v>
      </c>
      <c r="O43" s="3" t="s">
        <v>1</v>
      </c>
      <c r="P43" s="3" t="s">
        <v>124</v>
      </c>
      <c r="Q43" s="10">
        <v>1</v>
      </c>
      <c r="R43" s="10">
        <v>1</v>
      </c>
      <c r="S43" s="11">
        <v>1</v>
      </c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/>
      <c r="C44"/>
      <c r="D44"/>
      <c r="E44"/>
      <c r="F44"/>
      <c r="G44"/>
      <c r="H44"/>
      <c r="I44"/>
      <c r="J44"/>
      <c r="K44"/>
      <c r="L44" s="3"/>
      <c r="M44" s="3" t="s">
        <v>273</v>
      </c>
      <c r="N44" s="3" t="s">
        <v>735</v>
      </c>
      <c r="O44" s="3" t="s">
        <v>1</v>
      </c>
      <c r="P44" s="3" t="s">
        <v>124</v>
      </c>
      <c r="Q44" s="10">
        <v>4</v>
      </c>
      <c r="R44" s="10">
        <v>4</v>
      </c>
      <c r="S44" s="11">
        <v>1</v>
      </c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/>
      <c r="C45"/>
      <c r="D45"/>
      <c r="E45"/>
      <c r="F45"/>
      <c r="G45"/>
      <c r="H45"/>
      <c r="I45"/>
      <c r="J45"/>
      <c r="K45"/>
      <c r="L45" s="3"/>
      <c r="M45" s="3" t="s">
        <v>274</v>
      </c>
      <c r="N45" s="3" t="s">
        <v>736</v>
      </c>
      <c r="O45" s="3" t="s">
        <v>1</v>
      </c>
      <c r="P45" s="3" t="s">
        <v>124</v>
      </c>
      <c r="Q45" s="10">
        <v>97</v>
      </c>
      <c r="R45" s="10">
        <v>97</v>
      </c>
      <c r="S45" s="11">
        <v>1</v>
      </c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/>
      <c r="C46"/>
      <c r="D46"/>
      <c r="E46"/>
      <c r="F46"/>
      <c r="G46"/>
      <c r="H46"/>
      <c r="I46"/>
      <c r="J46"/>
      <c r="K46"/>
      <c r="L46" s="3"/>
      <c r="M46" s="3" t="s">
        <v>275</v>
      </c>
      <c r="N46" s="3" t="s">
        <v>737</v>
      </c>
      <c r="O46" s="3" t="s">
        <v>1</v>
      </c>
      <c r="P46" s="3" t="s">
        <v>124</v>
      </c>
      <c r="Q46" s="10">
        <v>3</v>
      </c>
      <c r="R46" s="10">
        <v>3</v>
      </c>
      <c r="S46" s="11">
        <v>1</v>
      </c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/>
      <c r="C47"/>
      <c r="D47"/>
      <c r="E47"/>
      <c r="F47"/>
      <c r="G47"/>
      <c r="H47"/>
      <c r="I47"/>
      <c r="J47"/>
      <c r="K47"/>
      <c r="L47" s="3"/>
      <c r="M47" s="3" t="s">
        <v>276</v>
      </c>
      <c r="N47" s="3" t="s">
        <v>738</v>
      </c>
      <c r="O47" s="3" t="s">
        <v>1</v>
      </c>
      <c r="P47" s="3" t="s">
        <v>124</v>
      </c>
      <c r="Q47" s="10">
        <v>1</v>
      </c>
      <c r="R47" s="10">
        <v>1</v>
      </c>
      <c r="S47" s="11">
        <v>1</v>
      </c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/>
      <c r="C48"/>
      <c r="D48"/>
      <c r="E48"/>
      <c r="F48"/>
      <c r="G48"/>
      <c r="H48"/>
      <c r="I48"/>
      <c r="J48"/>
      <c r="K48"/>
      <c r="L48" s="3"/>
      <c r="M48" s="3" t="s">
        <v>277</v>
      </c>
      <c r="N48" s="3" t="s">
        <v>278</v>
      </c>
      <c r="O48" s="3" t="s">
        <v>1</v>
      </c>
      <c r="P48" s="3" t="s">
        <v>124</v>
      </c>
      <c r="Q48" s="10">
        <v>76</v>
      </c>
      <c r="R48" s="10">
        <v>76</v>
      </c>
      <c r="S48" s="11">
        <v>1</v>
      </c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/>
      <c r="C49"/>
      <c r="D49"/>
      <c r="E49"/>
      <c r="F49"/>
      <c r="G49"/>
      <c r="H49"/>
      <c r="I49"/>
      <c r="J49"/>
      <c r="K49"/>
      <c r="L49" s="3"/>
      <c r="M49" s="3" t="s">
        <v>294</v>
      </c>
      <c r="N49" s="3" t="s">
        <v>739</v>
      </c>
      <c r="O49" s="3" t="s">
        <v>1</v>
      </c>
      <c r="P49" s="3" t="s">
        <v>124</v>
      </c>
      <c r="Q49" s="10">
        <v>16</v>
      </c>
      <c r="R49" s="10">
        <v>16</v>
      </c>
      <c r="S49" s="11">
        <v>1</v>
      </c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/>
      <c r="C50"/>
      <c r="D50"/>
      <c r="E50"/>
      <c r="F50"/>
      <c r="G50"/>
      <c r="H50"/>
      <c r="I50"/>
      <c r="J50"/>
      <c r="K50"/>
      <c r="L50" s="3"/>
      <c r="M50" s="3" t="s">
        <v>295</v>
      </c>
      <c r="N50" s="3" t="s">
        <v>740</v>
      </c>
      <c r="O50" s="3" t="s">
        <v>1</v>
      </c>
      <c r="P50" s="3" t="s">
        <v>124</v>
      </c>
      <c r="Q50" s="10">
        <v>10</v>
      </c>
      <c r="R50" s="10">
        <v>10</v>
      </c>
      <c r="S50" s="11">
        <v>1</v>
      </c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/>
      <c r="C51"/>
      <c r="D51"/>
      <c r="E51"/>
      <c r="F51"/>
      <c r="G51"/>
      <c r="H51"/>
      <c r="I51"/>
      <c r="J51"/>
      <c r="K51"/>
      <c r="L51" s="3"/>
      <c r="M51" s="3" t="s">
        <v>297</v>
      </c>
      <c r="N51" s="3" t="s">
        <v>298</v>
      </c>
      <c r="O51" s="3" t="s">
        <v>1</v>
      </c>
      <c r="P51" s="3" t="s">
        <v>124</v>
      </c>
      <c r="Q51" s="10">
        <v>5</v>
      </c>
      <c r="R51" s="10">
        <v>5</v>
      </c>
      <c r="S51" s="11">
        <v>1</v>
      </c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/>
      <c r="C52"/>
      <c r="D52"/>
      <c r="E52"/>
      <c r="F52"/>
      <c r="G52"/>
      <c r="H52"/>
      <c r="I52"/>
      <c r="J52"/>
      <c r="K52"/>
      <c r="L52" s="3"/>
      <c r="M52" s="3" t="s">
        <v>299</v>
      </c>
      <c r="N52" s="3" t="s">
        <v>300</v>
      </c>
      <c r="O52" s="3" t="s">
        <v>1</v>
      </c>
      <c r="P52" s="3" t="s">
        <v>124</v>
      </c>
      <c r="Q52" s="10">
        <v>2</v>
      </c>
      <c r="R52" s="10">
        <v>2</v>
      </c>
      <c r="S52" s="11">
        <v>1</v>
      </c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/>
      <c r="C53"/>
      <c r="D53"/>
      <c r="E53"/>
      <c r="F53"/>
      <c r="G53"/>
      <c r="H53"/>
      <c r="I53"/>
      <c r="J53"/>
      <c r="K53"/>
      <c r="L53" s="3"/>
      <c r="M53" s="3" t="s">
        <v>345</v>
      </c>
      <c r="N53" s="3" t="s">
        <v>346</v>
      </c>
      <c r="O53" s="3" t="s">
        <v>1</v>
      </c>
      <c r="P53" s="3" t="s">
        <v>124</v>
      </c>
      <c r="Q53" s="10">
        <v>17</v>
      </c>
      <c r="R53" s="10">
        <v>8</v>
      </c>
      <c r="S53" s="11">
        <v>0.47058823529411764</v>
      </c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/>
      <c r="C54"/>
      <c r="D54"/>
      <c r="E54"/>
      <c r="F54"/>
      <c r="G54"/>
      <c r="H54"/>
      <c r="I54"/>
      <c r="J54"/>
      <c r="K54"/>
      <c r="L54" s="3"/>
      <c r="M54" s="3" t="s">
        <v>384</v>
      </c>
      <c r="N54" s="3" t="s">
        <v>385</v>
      </c>
      <c r="O54" s="3" t="s">
        <v>1</v>
      </c>
      <c r="P54" s="3" t="s">
        <v>124</v>
      </c>
      <c r="Q54" s="10">
        <v>7</v>
      </c>
      <c r="R54" s="10"/>
      <c r="S54" s="11">
        <v>0</v>
      </c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/>
      <c r="C55"/>
      <c r="D55"/>
      <c r="E55"/>
      <c r="F55"/>
      <c r="G55"/>
      <c r="H55"/>
      <c r="I55"/>
      <c r="J55"/>
      <c r="K55"/>
      <c r="L55" s="3"/>
      <c r="M55" s="3" t="s">
        <v>406</v>
      </c>
      <c r="N55" s="3" t="s">
        <v>407</v>
      </c>
      <c r="O55" s="3" t="s">
        <v>1</v>
      </c>
      <c r="P55" s="3" t="s">
        <v>124</v>
      </c>
      <c r="Q55" s="10">
        <v>5</v>
      </c>
      <c r="R55" s="10"/>
      <c r="S55" s="11">
        <v>0</v>
      </c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/>
      <c r="C56"/>
      <c r="D56"/>
      <c r="E56"/>
      <c r="F56"/>
      <c r="G56"/>
      <c r="H56"/>
      <c r="I56"/>
      <c r="J56"/>
      <c r="K56"/>
      <c r="L56" s="3"/>
      <c r="M56" s="3" t="s">
        <v>411</v>
      </c>
      <c r="N56" s="3" t="s">
        <v>412</v>
      </c>
      <c r="O56" s="3" t="s">
        <v>1</v>
      </c>
      <c r="P56" s="3" t="s">
        <v>124</v>
      </c>
      <c r="Q56" s="10">
        <v>30</v>
      </c>
      <c r="R56" s="10"/>
      <c r="S56" s="11">
        <v>0</v>
      </c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/>
      <c r="C57"/>
      <c r="D57"/>
      <c r="E57"/>
      <c r="F57"/>
      <c r="G57"/>
      <c r="H57"/>
      <c r="I57"/>
      <c r="J57"/>
      <c r="K57"/>
      <c r="L57" s="3"/>
      <c r="M57" s="3" t="s">
        <v>1169</v>
      </c>
      <c r="N57" s="3" t="s">
        <v>1170</v>
      </c>
      <c r="O57" s="3" t="s">
        <v>0</v>
      </c>
      <c r="P57" s="3" t="s">
        <v>124</v>
      </c>
      <c r="Q57" s="10">
        <v>76</v>
      </c>
      <c r="R57" s="10">
        <v>76</v>
      </c>
      <c r="S57" s="11">
        <v>1</v>
      </c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/>
      <c r="C58"/>
      <c r="D58"/>
      <c r="E58"/>
      <c r="F58"/>
      <c r="G58"/>
      <c r="H58"/>
      <c r="I58"/>
      <c r="J58"/>
      <c r="K58"/>
      <c r="L58" s="3"/>
      <c r="M58" s="3" t="s">
        <v>1171</v>
      </c>
      <c r="N58" s="3" t="s">
        <v>1172</v>
      </c>
      <c r="O58" s="3" t="s">
        <v>2</v>
      </c>
      <c r="P58" s="3" t="s">
        <v>124</v>
      </c>
      <c r="Q58" s="10">
        <v>1230</v>
      </c>
      <c r="R58" s="10"/>
      <c r="S58" s="11">
        <v>0</v>
      </c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/>
      <c r="C59"/>
      <c r="D59"/>
      <c r="E59"/>
      <c r="F59"/>
      <c r="G59"/>
      <c r="H59"/>
      <c r="I59"/>
      <c r="J59"/>
      <c r="K59"/>
      <c r="L59" s="3"/>
      <c r="M59" s="3" t="s">
        <v>1173</v>
      </c>
      <c r="N59" s="3" t="s">
        <v>1174</v>
      </c>
      <c r="O59" s="3" t="s">
        <v>2</v>
      </c>
      <c r="P59" s="3" t="s">
        <v>124</v>
      </c>
      <c r="Q59" s="10">
        <v>69</v>
      </c>
      <c r="R59" s="10"/>
      <c r="S59" s="11">
        <v>0</v>
      </c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/>
      <c r="C60"/>
      <c r="D60"/>
      <c r="E60"/>
      <c r="F60"/>
      <c r="G60"/>
      <c r="H60"/>
      <c r="I60"/>
      <c r="J60"/>
      <c r="K60"/>
      <c r="L60" s="3"/>
      <c r="M60" s="3" t="s">
        <v>433</v>
      </c>
      <c r="N60" s="3" t="s">
        <v>1175</v>
      </c>
      <c r="O60" s="3" t="s">
        <v>0</v>
      </c>
      <c r="P60" s="3" t="s">
        <v>124</v>
      </c>
      <c r="Q60" s="10">
        <v>15</v>
      </c>
      <c r="R60" s="10"/>
      <c r="S60" s="11">
        <v>0</v>
      </c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/>
      <c r="C61"/>
      <c r="D61"/>
      <c r="E61"/>
      <c r="F61"/>
      <c r="G61"/>
      <c r="H61"/>
      <c r="I61"/>
      <c r="J61"/>
      <c r="K61"/>
      <c r="L61" s="3"/>
      <c r="M61" s="3" t="s">
        <v>434</v>
      </c>
      <c r="N61" s="3" t="s">
        <v>435</v>
      </c>
      <c r="O61" s="3" t="s">
        <v>0</v>
      </c>
      <c r="P61" s="3" t="s">
        <v>124</v>
      </c>
      <c r="Q61" s="10">
        <v>50</v>
      </c>
      <c r="R61" s="10"/>
      <c r="S61" s="11">
        <v>0</v>
      </c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/>
      <c r="C62"/>
      <c r="D62"/>
      <c r="E62"/>
      <c r="F62"/>
      <c r="G62"/>
      <c r="H62"/>
      <c r="I62"/>
      <c r="J62"/>
      <c r="K62"/>
      <c r="L62" s="3"/>
      <c r="M62" s="3" t="s">
        <v>436</v>
      </c>
      <c r="N62" s="3" t="s">
        <v>437</v>
      </c>
      <c r="O62" s="3" t="s">
        <v>0</v>
      </c>
      <c r="P62" s="3" t="s">
        <v>124</v>
      </c>
      <c r="Q62" s="10">
        <v>200</v>
      </c>
      <c r="R62" s="10"/>
      <c r="S62" s="11">
        <v>0</v>
      </c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/>
      <c r="C63"/>
      <c r="D63"/>
      <c r="E63"/>
      <c r="F63"/>
      <c r="G63"/>
      <c r="H63"/>
      <c r="I63"/>
      <c r="J63"/>
      <c r="K63"/>
      <c r="L63" s="3"/>
      <c r="M63" s="3" t="s">
        <v>438</v>
      </c>
      <c r="N63" s="3" t="s">
        <v>439</v>
      </c>
      <c r="O63" s="3" t="s">
        <v>2</v>
      </c>
      <c r="P63" s="3" t="s">
        <v>124</v>
      </c>
      <c r="Q63" s="10">
        <v>2000</v>
      </c>
      <c r="R63" s="10"/>
      <c r="S63" s="11">
        <v>0</v>
      </c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/>
      <c r="C64"/>
      <c r="D64"/>
      <c r="E64"/>
      <c r="F64"/>
      <c r="G64"/>
      <c r="H64"/>
      <c r="I64"/>
      <c r="J64"/>
      <c r="K64"/>
      <c r="L64" s="3"/>
      <c r="M64" s="3" t="s">
        <v>440</v>
      </c>
      <c r="N64" s="3" t="s">
        <v>1176</v>
      </c>
      <c r="O64" s="3" t="s">
        <v>1</v>
      </c>
      <c r="P64" s="3" t="s">
        <v>124</v>
      </c>
      <c r="Q64" s="10">
        <v>3</v>
      </c>
      <c r="R64" s="10"/>
      <c r="S64" s="11">
        <v>0</v>
      </c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/>
      <c r="C65"/>
      <c r="D65"/>
      <c r="E65"/>
      <c r="F65"/>
      <c r="G65"/>
      <c r="H65"/>
      <c r="I65"/>
      <c r="J65"/>
      <c r="K65"/>
      <c r="L65" s="3"/>
      <c r="M65" s="3" t="s">
        <v>1180</v>
      </c>
      <c r="N65" s="3" t="s">
        <v>321</v>
      </c>
      <c r="O65" s="3" t="s">
        <v>1</v>
      </c>
      <c r="P65" s="3" t="s">
        <v>124</v>
      </c>
      <c r="Q65" s="10">
        <v>14</v>
      </c>
      <c r="R65" s="10"/>
      <c r="S65" s="11">
        <v>0</v>
      </c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/>
      <c r="C66"/>
      <c r="D66"/>
      <c r="E66"/>
      <c r="F66"/>
      <c r="G66"/>
      <c r="H66"/>
      <c r="I66"/>
      <c r="J66"/>
      <c r="K66"/>
      <c r="L66" s="3"/>
      <c r="M66" s="3" t="s">
        <v>391</v>
      </c>
      <c r="N66" s="3" t="s">
        <v>745</v>
      </c>
      <c r="O66" s="3" t="s">
        <v>0</v>
      </c>
      <c r="P66" s="3" t="s">
        <v>124</v>
      </c>
      <c r="Q66" s="10">
        <v>1</v>
      </c>
      <c r="R66" s="10"/>
      <c r="S66" s="11">
        <v>0</v>
      </c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/>
      <c r="C67"/>
      <c r="D67"/>
      <c r="E67"/>
      <c r="F67"/>
      <c r="G67"/>
      <c r="H67"/>
      <c r="I67"/>
      <c r="J67"/>
      <c r="K67"/>
      <c r="L67" s="3"/>
      <c r="M67" s="3" t="s">
        <v>240</v>
      </c>
      <c r="N67" s="3" t="s">
        <v>753</v>
      </c>
      <c r="O67" s="3" t="s">
        <v>0</v>
      </c>
      <c r="P67" s="3" t="s">
        <v>124</v>
      </c>
      <c r="Q67" s="10">
        <v>1</v>
      </c>
      <c r="R67" s="10"/>
      <c r="S67" s="11">
        <v>0</v>
      </c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/>
      <c r="C68"/>
      <c r="D68"/>
      <c r="E68"/>
      <c r="F68"/>
      <c r="G68"/>
      <c r="H68"/>
      <c r="I68"/>
      <c r="J68"/>
      <c r="K68"/>
      <c r="L68" s="3"/>
      <c r="M68" s="3" t="s">
        <v>238</v>
      </c>
      <c r="N68" s="3" t="s">
        <v>754</v>
      </c>
      <c r="O68" s="3" t="s">
        <v>0</v>
      </c>
      <c r="P68" s="3" t="s">
        <v>124</v>
      </c>
      <c r="Q68" s="10">
        <v>1</v>
      </c>
      <c r="R68" s="10"/>
      <c r="S68" s="11">
        <v>0</v>
      </c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/>
      <c r="C69"/>
      <c r="D69"/>
      <c r="E69"/>
      <c r="F69"/>
      <c r="G69"/>
      <c r="H69"/>
      <c r="I69"/>
      <c r="J69"/>
      <c r="K69"/>
      <c r="L69" s="3"/>
      <c r="M69" s="3" t="s">
        <v>444</v>
      </c>
      <c r="N69" s="3" t="s">
        <v>445</v>
      </c>
      <c r="O69" s="3" t="s">
        <v>1</v>
      </c>
      <c r="P69" s="3" t="s">
        <v>124</v>
      </c>
      <c r="Q69" s="10">
        <v>8</v>
      </c>
      <c r="R69" s="10"/>
      <c r="S69" s="11">
        <v>0</v>
      </c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/>
      <c r="C70"/>
      <c r="D70"/>
      <c r="E70"/>
      <c r="F70"/>
      <c r="G70"/>
      <c r="H70"/>
      <c r="I70"/>
      <c r="J70"/>
      <c r="K70"/>
      <c r="L70" s="3"/>
      <c r="M70" s="3" t="s">
        <v>263</v>
      </c>
      <c r="N70" s="3" t="s">
        <v>264</v>
      </c>
      <c r="O70" s="3" t="s">
        <v>1</v>
      </c>
      <c r="P70" s="3" t="s">
        <v>124</v>
      </c>
      <c r="Q70" s="10">
        <v>2</v>
      </c>
      <c r="R70" s="10"/>
      <c r="S70" s="11">
        <v>0</v>
      </c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/>
      <c r="C71"/>
      <c r="D71"/>
      <c r="E71"/>
      <c r="F71"/>
      <c r="G71"/>
      <c r="H71"/>
      <c r="I71"/>
      <c r="J71"/>
      <c r="K71"/>
      <c r="L71" s="3"/>
      <c r="M71" s="3" t="s">
        <v>446</v>
      </c>
      <c r="N71" s="3" t="s">
        <v>1190</v>
      </c>
      <c r="O71" s="3" t="s">
        <v>1</v>
      </c>
      <c r="P71" s="3" t="s">
        <v>124</v>
      </c>
      <c r="Q71" s="10">
        <v>400</v>
      </c>
      <c r="R71" s="10"/>
      <c r="S71" s="11">
        <v>0</v>
      </c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/>
      <c r="C72"/>
      <c r="D72"/>
      <c r="E72"/>
      <c r="F72"/>
      <c r="G72"/>
      <c r="H72"/>
      <c r="I72"/>
      <c r="J72"/>
      <c r="K72"/>
      <c r="L72" s="3"/>
      <c r="M72" s="3" t="s">
        <v>447</v>
      </c>
      <c r="N72" s="3" t="s">
        <v>448</v>
      </c>
      <c r="O72" s="3" t="s">
        <v>1</v>
      </c>
      <c r="P72" s="3" t="s">
        <v>124</v>
      </c>
      <c r="Q72" s="10">
        <v>10</v>
      </c>
      <c r="R72" s="10"/>
      <c r="S72" s="11">
        <v>0</v>
      </c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/>
      <c r="C73"/>
      <c r="D73"/>
      <c r="E73"/>
      <c r="F73"/>
      <c r="G73"/>
      <c r="H73"/>
      <c r="I73"/>
      <c r="J73"/>
      <c r="K73"/>
      <c r="L73" s="3"/>
      <c r="M73" s="3" t="s">
        <v>449</v>
      </c>
      <c r="N73" s="3" t="s">
        <v>1191</v>
      </c>
      <c r="O73" s="3" t="s">
        <v>1</v>
      </c>
      <c r="P73" s="3" t="s">
        <v>124</v>
      </c>
      <c r="Q73" s="10">
        <v>30</v>
      </c>
      <c r="R73" s="10"/>
      <c r="S73" s="11">
        <v>0</v>
      </c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/>
      <c r="C74"/>
      <c r="D74"/>
      <c r="E74"/>
      <c r="F74"/>
      <c r="G74"/>
      <c r="H74"/>
      <c r="I74"/>
      <c r="J74"/>
      <c r="K74"/>
      <c r="L74" s="3"/>
      <c r="M74" s="3" t="s">
        <v>409</v>
      </c>
      <c r="N74" s="3" t="s">
        <v>410</v>
      </c>
      <c r="O74" s="3" t="s">
        <v>1</v>
      </c>
      <c r="P74" s="3" t="s">
        <v>124</v>
      </c>
      <c r="Q74" s="10">
        <v>10</v>
      </c>
      <c r="R74" s="10"/>
      <c r="S74" s="11">
        <v>0</v>
      </c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/>
      <c r="C75"/>
      <c r="D75"/>
      <c r="E75"/>
      <c r="F75"/>
      <c r="G75"/>
      <c r="H75"/>
      <c r="I75"/>
      <c r="J75"/>
      <c r="K75"/>
      <c r="L75" s="3"/>
      <c r="M75" s="3" t="s">
        <v>1193</v>
      </c>
      <c r="N75" s="3" t="s">
        <v>1194</v>
      </c>
      <c r="O75" s="3" t="s">
        <v>0</v>
      </c>
      <c r="P75" s="3" t="s">
        <v>124</v>
      </c>
      <c r="Q75" s="10">
        <v>10</v>
      </c>
      <c r="R75" s="10"/>
      <c r="S75" s="11">
        <v>0</v>
      </c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/>
      <c r="C76"/>
      <c r="D76"/>
      <c r="E76"/>
      <c r="F76"/>
      <c r="G76"/>
      <c r="H76"/>
      <c r="I76"/>
      <c r="J76"/>
      <c r="K76"/>
      <c r="L76" s="3"/>
      <c r="M76" s="3"/>
      <c r="N76" s="3"/>
      <c r="O76" s="3" t="s">
        <v>1</v>
      </c>
      <c r="P76" s="3" t="s">
        <v>124</v>
      </c>
      <c r="Q76" s="10">
        <v>24</v>
      </c>
      <c r="R76" s="10"/>
      <c r="S76" s="11">
        <v>0</v>
      </c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/>
      <c r="C77"/>
      <c r="D77"/>
      <c r="E77"/>
      <c r="F77"/>
      <c r="G77"/>
      <c r="H77"/>
      <c r="I77"/>
      <c r="J77"/>
      <c r="K77"/>
      <c r="L77" s="3"/>
      <c r="M77" s="3" t="s">
        <v>1200</v>
      </c>
      <c r="N77" s="3" t="s">
        <v>1201</v>
      </c>
      <c r="O77" s="3" t="s">
        <v>0</v>
      </c>
      <c r="P77" s="3" t="s">
        <v>124</v>
      </c>
      <c r="Q77" s="10">
        <v>51</v>
      </c>
      <c r="R77" s="10"/>
      <c r="S77" s="11">
        <v>0</v>
      </c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/>
      <c r="C78"/>
      <c r="D78"/>
      <c r="E78"/>
      <c r="F78"/>
      <c r="G78"/>
      <c r="H78"/>
      <c r="I78"/>
      <c r="J78"/>
      <c r="K78"/>
      <c r="L78" s="3"/>
      <c r="M78" s="3" t="s">
        <v>1202</v>
      </c>
      <c r="N78" s="3" t="s">
        <v>1203</v>
      </c>
      <c r="O78" s="3" t="s">
        <v>0</v>
      </c>
      <c r="P78" s="3" t="s">
        <v>124</v>
      </c>
      <c r="Q78" s="10">
        <v>3</v>
      </c>
      <c r="R78" s="10"/>
      <c r="S78" s="11">
        <v>0</v>
      </c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/>
      <c r="C79"/>
      <c r="D79"/>
      <c r="E79"/>
      <c r="F79"/>
      <c r="G79"/>
      <c r="H79"/>
      <c r="I79"/>
      <c r="J79"/>
      <c r="K79"/>
      <c r="L79" s="3"/>
      <c r="M79" s="3" t="s">
        <v>1204</v>
      </c>
      <c r="N79" s="3" t="s">
        <v>1205</v>
      </c>
      <c r="O79" s="3" t="s">
        <v>0</v>
      </c>
      <c r="P79" s="3" t="s">
        <v>124</v>
      </c>
      <c r="Q79" s="10">
        <v>270</v>
      </c>
      <c r="R79" s="10"/>
      <c r="S79" s="11">
        <v>0</v>
      </c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/>
      <c r="C80"/>
      <c r="D80"/>
      <c r="E80"/>
      <c r="F80"/>
      <c r="G80"/>
      <c r="H80"/>
      <c r="I80"/>
      <c r="J80"/>
      <c r="K80"/>
      <c r="L80" s="3"/>
      <c r="M80" s="3" t="s">
        <v>1206</v>
      </c>
      <c r="N80" s="3" t="s">
        <v>1207</v>
      </c>
      <c r="O80" s="3" t="s">
        <v>2</v>
      </c>
      <c r="P80" s="3" t="s">
        <v>124</v>
      </c>
      <c r="Q80" s="10">
        <v>5</v>
      </c>
      <c r="R80" s="10"/>
      <c r="S80" s="11">
        <v>0</v>
      </c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/>
      <c r="C81"/>
      <c r="D81"/>
      <c r="E81"/>
      <c r="F81"/>
      <c r="G81"/>
      <c r="H81"/>
      <c r="I81"/>
      <c r="J81"/>
      <c r="K81"/>
      <c r="L81" s="3" t="s">
        <v>724</v>
      </c>
      <c r="M81" s="3" t="s">
        <v>181</v>
      </c>
      <c r="N81" s="3" t="s">
        <v>212</v>
      </c>
      <c r="O81" s="3" t="s">
        <v>0</v>
      </c>
      <c r="P81" s="3" t="s">
        <v>124</v>
      </c>
      <c r="Q81" s="10">
        <v>400</v>
      </c>
      <c r="R81" s="10"/>
      <c r="S81" s="11">
        <v>0</v>
      </c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/>
      <c r="C82"/>
      <c r="D82"/>
      <c r="E82"/>
      <c r="F82"/>
      <c r="G82"/>
      <c r="H82"/>
      <c r="I82"/>
      <c r="J82"/>
      <c r="K82"/>
      <c r="L82" s="3"/>
      <c r="M82" s="3" t="s">
        <v>246</v>
      </c>
      <c r="N82" s="3" t="s">
        <v>247</v>
      </c>
      <c r="O82" s="3" t="s">
        <v>0</v>
      </c>
      <c r="P82" s="3" t="s">
        <v>124</v>
      </c>
      <c r="Q82" s="10">
        <v>15000</v>
      </c>
      <c r="R82" s="10">
        <v>15000</v>
      </c>
      <c r="S82" s="11">
        <v>1</v>
      </c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/>
      <c r="C83"/>
      <c r="D83"/>
      <c r="E83"/>
      <c r="F83"/>
      <c r="G83"/>
      <c r="H83"/>
      <c r="I83"/>
      <c r="J83"/>
      <c r="K83"/>
      <c r="L83" s="3"/>
      <c r="M83" s="3" t="s">
        <v>248</v>
      </c>
      <c r="N83" s="3" t="s">
        <v>249</v>
      </c>
      <c r="O83" s="3" t="s">
        <v>0</v>
      </c>
      <c r="P83" s="3" t="s">
        <v>124</v>
      </c>
      <c r="Q83" s="10">
        <v>1500</v>
      </c>
      <c r="R83" s="10">
        <v>1500</v>
      </c>
      <c r="S83" s="11">
        <v>1</v>
      </c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/>
      <c r="C84"/>
      <c r="D84"/>
      <c r="E84"/>
      <c r="F84"/>
      <c r="G84"/>
      <c r="H84"/>
      <c r="I84"/>
      <c r="J84"/>
      <c r="K84"/>
      <c r="L84" s="3"/>
      <c r="M84" s="3" t="s">
        <v>1169</v>
      </c>
      <c r="N84" s="3" t="s">
        <v>1170</v>
      </c>
      <c r="O84" s="3" t="s">
        <v>0</v>
      </c>
      <c r="P84" s="3" t="s">
        <v>124</v>
      </c>
      <c r="Q84" s="10">
        <v>24</v>
      </c>
      <c r="R84" s="10">
        <v>24</v>
      </c>
      <c r="S84" s="11">
        <v>1</v>
      </c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/>
      <c r="C85"/>
      <c r="D85"/>
      <c r="E85"/>
      <c r="F85"/>
      <c r="G85"/>
      <c r="H85"/>
      <c r="I85"/>
      <c r="J85"/>
      <c r="K85"/>
      <c r="L85" s="3"/>
      <c r="M85" s="3" t="s">
        <v>1171</v>
      </c>
      <c r="N85" s="3" t="s">
        <v>1172</v>
      </c>
      <c r="O85" s="3" t="s">
        <v>2</v>
      </c>
      <c r="P85" s="3" t="s">
        <v>124</v>
      </c>
      <c r="Q85" s="10">
        <v>500</v>
      </c>
      <c r="R85" s="10"/>
      <c r="S85" s="11">
        <v>0</v>
      </c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/>
      <c r="C86"/>
      <c r="D86"/>
      <c r="E86"/>
      <c r="F86"/>
      <c r="G86"/>
      <c r="H86"/>
      <c r="I86"/>
      <c r="J86"/>
      <c r="K86"/>
      <c r="L86" s="3"/>
      <c r="M86" s="3" t="s">
        <v>433</v>
      </c>
      <c r="N86" s="3" t="s">
        <v>1175</v>
      </c>
      <c r="O86" s="3" t="s">
        <v>0</v>
      </c>
      <c r="P86" s="3" t="s">
        <v>124</v>
      </c>
      <c r="Q86" s="10">
        <v>30</v>
      </c>
      <c r="R86" s="10"/>
      <c r="S86" s="11">
        <v>0</v>
      </c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/>
      <c r="H87"/>
      <c r="I87"/>
      <c r="J87"/>
      <c r="K87"/>
      <c r="L87" s="3"/>
      <c r="M87" s="3" t="s">
        <v>434</v>
      </c>
      <c r="N87" s="3" t="s">
        <v>435</v>
      </c>
      <c r="O87" s="3" t="s">
        <v>0</v>
      </c>
      <c r="P87" s="3" t="s">
        <v>124</v>
      </c>
      <c r="Q87" s="10">
        <v>30</v>
      </c>
      <c r="R87" s="10"/>
      <c r="S87" s="11">
        <v>0</v>
      </c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/>
      <c r="C88"/>
      <c r="D88"/>
      <c r="E88"/>
      <c r="F88"/>
      <c r="G88"/>
      <c r="H88"/>
      <c r="I88"/>
      <c r="J88"/>
      <c r="K88"/>
      <c r="L88" s="3"/>
      <c r="M88" s="3" t="s">
        <v>436</v>
      </c>
      <c r="N88" s="3" t="s">
        <v>437</v>
      </c>
      <c r="O88" s="3" t="s">
        <v>0</v>
      </c>
      <c r="P88" s="3" t="s">
        <v>124</v>
      </c>
      <c r="Q88" s="10">
        <v>150</v>
      </c>
      <c r="R88" s="10"/>
      <c r="S88" s="11">
        <v>0</v>
      </c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/>
      <c r="C89"/>
      <c r="D89"/>
      <c r="E89"/>
      <c r="F89"/>
      <c r="G89"/>
      <c r="H89"/>
      <c r="I89"/>
      <c r="J89"/>
      <c r="K89"/>
      <c r="L89" s="3"/>
      <c r="M89" s="3" t="s">
        <v>438</v>
      </c>
      <c r="N89" s="3" t="s">
        <v>439</v>
      </c>
      <c r="O89" s="3" t="s">
        <v>2</v>
      </c>
      <c r="P89" s="3" t="s">
        <v>124</v>
      </c>
      <c r="Q89" s="10">
        <v>1000</v>
      </c>
      <c r="R89" s="10"/>
      <c r="S89" s="11">
        <v>0</v>
      </c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/>
      <c r="C90"/>
      <c r="D90"/>
      <c r="E90"/>
      <c r="F90"/>
      <c r="G90"/>
      <c r="H90"/>
      <c r="I90"/>
      <c r="J90"/>
      <c r="K90"/>
      <c r="L90" s="3"/>
      <c r="M90" s="3" t="s">
        <v>1193</v>
      </c>
      <c r="N90" s="3" t="s">
        <v>1194</v>
      </c>
      <c r="O90" s="3" t="s">
        <v>0</v>
      </c>
      <c r="P90" s="3" t="s">
        <v>124</v>
      </c>
      <c r="Q90" s="10">
        <v>3</v>
      </c>
      <c r="R90" s="10"/>
      <c r="S90" s="11">
        <v>0</v>
      </c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/>
      <c r="C91"/>
      <c r="D91"/>
      <c r="E91"/>
      <c r="F91"/>
      <c r="G91"/>
      <c r="H91"/>
      <c r="I91"/>
      <c r="J91"/>
      <c r="K91"/>
      <c r="L91" s="3"/>
      <c r="M91" s="3" t="s">
        <v>1198</v>
      </c>
      <c r="N91" s="3" t="s">
        <v>1199</v>
      </c>
      <c r="O91" s="3" t="s">
        <v>0</v>
      </c>
      <c r="P91" s="3" t="s">
        <v>124</v>
      </c>
      <c r="Q91" s="10">
        <v>45</v>
      </c>
      <c r="R91" s="10"/>
      <c r="S91" s="11">
        <v>0</v>
      </c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/>
      <c r="C92"/>
      <c r="D92"/>
      <c r="E92"/>
      <c r="F92"/>
      <c r="G92"/>
      <c r="H92"/>
      <c r="I92"/>
      <c r="J92"/>
      <c r="K92"/>
      <c r="L92" s="3"/>
      <c r="M92" s="3" t="s">
        <v>1200</v>
      </c>
      <c r="N92" s="3" t="s">
        <v>1201</v>
      </c>
      <c r="O92" s="3" t="s">
        <v>0</v>
      </c>
      <c r="P92" s="3" t="s">
        <v>124</v>
      </c>
      <c r="Q92" s="10">
        <v>9</v>
      </c>
      <c r="R92" s="10"/>
      <c r="S92" s="11">
        <v>0</v>
      </c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/>
      <c r="C93"/>
      <c r="D93"/>
      <c r="E93"/>
      <c r="F93"/>
      <c r="G93"/>
      <c r="H93"/>
      <c r="I93"/>
      <c r="J93"/>
      <c r="K93"/>
      <c r="L93" s="3"/>
      <c r="M93" s="3" t="s">
        <v>1204</v>
      </c>
      <c r="N93" s="3" t="s">
        <v>1205</v>
      </c>
      <c r="O93" s="3" t="s">
        <v>0</v>
      </c>
      <c r="P93" s="3" t="s">
        <v>124</v>
      </c>
      <c r="Q93" s="10">
        <v>30</v>
      </c>
      <c r="R93" s="10"/>
      <c r="S93" s="11">
        <v>0</v>
      </c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/>
      <c r="C94"/>
      <c r="D94"/>
      <c r="E94"/>
      <c r="F94"/>
      <c r="G94"/>
      <c r="H94"/>
      <c r="I94"/>
      <c r="J94"/>
      <c r="K94"/>
      <c r="L94" s="3"/>
      <c r="M94" s="3" t="s">
        <v>1206</v>
      </c>
      <c r="N94" s="3" t="s">
        <v>1207</v>
      </c>
      <c r="O94" s="3" t="s">
        <v>2</v>
      </c>
      <c r="P94" s="3" t="s">
        <v>124</v>
      </c>
      <c r="Q94" s="10">
        <v>9</v>
      </c>
      <c r="R94" s="10"/>
      <c r="S94" s="11">
        <v>0</v>
      </c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/>
      <c r="C95"/>
      <c r="D95"/>
      <c r="E95"/>
      <c r="F95"/>
      <c r="G95"/>
      <c r="H95"/>
      <c r="I95"/>
      <c r="J95"/>
      <c r="K95"/>
      <c r="L95" s="3" t="s">
        <v>5</v>
      </c>
      <c r="M95" s="3" t="s">
        <v>181</v>
      </c>
      <c r="N95" s="3" t="s">
        <v>212</v>
      </c>
      <c r="O95" s="3" t="s">
        <v>0</v>
      </c>
      <c r="P95" s="3" t="s">
        <v>124</v>
      </c>
      <c r="Q95" s="10">
        <v>400</v>
      </c>
      <c r="R95" s="10"/>
      <c r="S95" s="11">
        <v>0</v>
      </c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/>
      <c r="C96"/>
      <c r="D96"/>
      <c r="E96"/>
      <c r="F96"/>
      <c r="G96"/>
      <c r="H96"/>
      <c r="I96"/>
      <c r="J96"/>
      <c r="K96"/>
      <c r="L96" s="3"/>
      <c r="M96" s="3" t="s">
        <v>246</v>
      </c>
      <c r="N96" s="3" t="s">
        <v>247</v>
      </c>
      <c r="O96" s="3" t="s">
        <v>0</v>
      </c>
      <c r="P96" s="3" t="s">
        <v>124</v>
      </c>
      <c r="Q96" s="10">
        <v>28000</v>
      </c>
      <c r="R96" s="10"/>
      <c r="S96" s="11">
        <v>0</v>
      </c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/>
      <c r="C97"/>
      <c r="D97"/>
      <c r="E97"/>
      <c r="F97"/>
      <c r="G97"/>
      <c r="H97"/>
      <c r="I97"/>
      <c r="J97"/>
      <c r="K97"/>
      <c r="L97" s="3"/>
      <c r="M97" s="3" t="s">
        <v>248</v>
      </c>
      <c r="N97" s="3" t="s">
        <v>249</v>
      </c>
      <c r="O97" s="3" t="s">
        <v>0</v>
      </c>
      <c r="P97" s="3" t="s">
        <v>124</v>
      </c>
      <c r="Q97" s="10">
        <v>13000</v>
      </c>
      <c r="R97" s="10"/>
      <c r="S97" s="11">
        <v>0</v>
      </c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/>
      <c r="C98"/>
      <c r="D98"/>
      <c r="E98"/>
      <c r="F98"/>
      <c r="G98"/>
      <c r="H98"/>
      <c r="I98"/>
      <c r="J98"/>
      <c r="K98"/>
      <c r="L98" s="3"/>
      <c r="M98" s="3" t="s">
        <v>270</v>
      </c>
      <c r="N98" s="3" t="s">
        <v>732</v>
      </c>
      <c r="O98" s="3" t="s">
        <v>1</v>
      </c>
      <c r="P98" s="3" t="s">
        <v>124</v>
      </c>
      <c r="Q98" s="10">
        <v>8</v>
      </c>
      <c r="R98" s="10">
        <v>8</v>
      </c>
      <c r="S98" s="11">
        <v>1</v>
      </c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/>
      <c r="C99"/>
      <c r="D99"/>
      <c r="E99"/>
      <c r="F99"/>
      <c r="G99"/>
      <c r="H99"/>
      <c r="I99"/>
      <c r="J99"/>
      <c r="K99"/>
      <c r="L99" s="3"/>
      <c r="M99" s="3" t="s">
        <v>271</v>
      </c>
      <c r="N99" s="3" t="s">
        <v>733</v>
      </c>
      <c r="O99" s="3" t="s">
        <v>1</v>
      </c>
      <c r="P99" s="3" t="s">
        <v>124</v>
      </c>
      <c r="Q99" s="10">
        <v>2</v>
      </c>
      <c r="R99" s="10">
        <v>2</v>
      </c>
      <c r="S99" s="11">
        <v>1</v>
      </c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/>
      <c r="C100"/>
      <c r="D100"/>
      <c r="E100"/>
      <c r="F100"/>
      <c r="G100"/>
      <c r="H100"/>
      <c r="I100"/>
      <c r="J100"/>
      <c r="K100"/>
      <c r="L100" s="3"/>
      <c r="M100" s="3" t="s">
        <v>274</v>
      </c>
      <c r="N100" s="3" t="s">
        <v>736</v>
      </c>
      <c r="O100" s="3" t="s">
        <v>1</v>
      </c>
      <c r="P100" s="3" t="s">
        <v>124</v>
      </c>
      <c r="Q100" s="10">
        <v>22</v>
      </c>
      <c r="R100" s="10">
        <v>22</v>
      </c>
      <c r="S100" s="11">
        <v>1</v>
      </c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/>
      <c r="C101"/>
      <c r="D101"/>
      <c r="E101"/>
      <c r="F101"/>
      <c r="G101"/>
      <c r="H101"/>
      <c r="I101"/>
      <c r="J101"/>
      <c r="K101"/>
      <c r="L101" s="3"/>
      <c r="M101" s="3" t="s">
        <v>277</v>
      </c>
      <c r="N101" s="3" t="s">
        <v>278</v>
      </c>
      <c r="O101" s="3" t="s">
        <v>1</v>
      </c>
      <c r="P101" s="3" t="s">
        <v>124</v>
      </c>
      <c r="Q101" s="10">
        <v>11</v>
      </c>
      <c r="R101" s="10">
        <v>11</v>
      </c>
      <c r="S101" s="11">
        <v>1</v>
      </c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/>
      <c r="C102"/>
      <c r="D102"/>
      <c r="E102"/>
      <c r="F102"/>
      <c r="G102"/>
      <c r="H102"/>
      <c r="I102"/>
      <c r="J102"/>
      <c r="K102"/>
      <c r="L102" s="3"/>
      <c r="M102" s="3" t="s">
        <v>294</v>
      </c>
      <c r="N102" s="3" t="s">
        <v>739</v>
      </c>
      <c r="O102" s="3" t="s">
        <v>1</v>
      </c>
      <c r="P102" s="3" t="s">
        <v>124</v>
      </c>
      <c r="Q102" s="10">
        <v>4</v>
      </c>
      <c r="R102" s="10">
        <v>4</v>
      </c>
      <c r="S102" s="11">
        <v>1</v>
      </c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/>
      <c r="C103"/>
      <c r="D103"/>
      <c r="E103"/>
      <c r="F103"/>
      <c r="G103"/>
      <c r="H103"/>
      <c r="I103"/>
      <c r="J103"/>
      <c r="K103"/>
      <c r="L103" s="3"/>
      <c r="M103" s="3" t="s">
        <v>296</v>
      </c>
      <c r="N103" s="3" t="s">
        <v>741</v>
      </c>
      <c r="O103" s="3" t="s">
        <v>1</v>
      </c>
      <c r="P103" s="3" t="s">
        <v>124</v>
      </c>
      <c r="Q103" s="10">
        <v>25</v>
      </c>
      <c r="R103" s="10">
        <v>25</v>
      </c>
      <c r="S103" s="11">
        <v>1</v>
      </c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/>
      <c r="C104"/>
      <c r="D104"/>
      <c r="E104"/>
      <c r="F104"/>
      <c r="G104"/>
      <c r="H104"/>
      <c r="I104"/>
      <c r="J104"/>
      <c r="K104"/>
      <c r="L104" s="3"/>
      <c r="M104" s="3" t="s">
        <v>297</v>
      </c>
      <c r="N104" s="3" t="s">
        <v>298</v>
      </c>
      <c r="O104" s="3" t="s">
        <v>1</v>
      </c>
      <c r="P104" s="3" t="s">
        <v>124</v>
      </c>
      <c r="Q104" s="10">
        <v>1</v>
      </c>
      <c r="R104" s="10">
        <v>1</v>
      </c>
      <c r="S104" s="11">
        <v>1</v>
      </c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/>
      <c r="C105"/>
      <c r="D105"/>
      <c r="E105"/>
      <c r="F105"/>
      <c r="G105"/>
      <c r="H105"/>
      <c r="I105"/>
      <c r="J105"/>
      <c r="K105"/>
      <c r="L105" s="3"/>
      <c r="M105" s="3" t="s">
        <v>345</v>
      </c>
      <c r="N105" s="3" t="s">
        <v>346</v>
      </c>
      <c r="O105" s="3" t="s">
        <v>1</v>
      </c>
      <c r="P105" s="3" t="s">
        <v>124</v>
      </c>
      <c r="Q105" s="10">
        <v>1</v>
      </c>
      <c r="R105" s="10"/>
      <c r="S105" s="11">
        <v>0</v>
      </c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/>
      <c r="C106"/>
      <c r="D106"/>
      <c r="E106"/>
      <c r="F106"/>
      <c r="G106"/>
      <c r="H106"/>
      <c r="I106"/>
      <c r="J106"/>
      <c r="K106"/>
      <c r="L106" s="3"/>
      <c r="M106" s="3" t="s">
        <v>406</v>
      </c>
      <c r="N106" s="3" t="s">
        <v>407</v>
      </c>
      <c r="O106" s="3" t="s">
        <v>1</v>
      </c>
      <c r="P106" s="3" t="s">
        <v>124</v>
      </c>
      <c r="Q106" s="10">
        <v>2</v>
      </c>
      <c r="R106" s="10"/>
      <c r="S106" s="11">
        <v>0</v>
      </c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/>
      <c r="C107"/>
      <c r="D107"/>
      <c r="E107"/>
      <c r="F107"/>
      <c r="G107"/>
      <c r="H107"/>
      <c r="I107"/>
      <c r="J107"/>
      <c r="K107"/>
      <c r="L107" s="3"/>
      <c r="M107" s="3" t="s">
        <v>411</v>
      </c>
      <c r="N107" s="3" t="s">
        <v>412</v>
      </c>
      <c r="O107" s="3" t="s">
        <v>1</v>
      </c>
      <c r="P107" s="3" t="s">
        <v>124</v>
      </c>
      <c r="Q107" s="10">
        <v>10</v>
      </c>
      <c r="R107" s="10"/>
      <c r="S107" s="11">
        <v>0</v>
      </c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/>
      <c r="C108"/>
      <c r="D108"/>
      <c r="E108"/>
      <c r="F108"/>
      <c r="G108"/>
      <c r="H108"/>
      <c r="I108"/>
      <c r="J108"/>
      <c r="K108"/>
      <c r="L108" s="3"/>
      <c r="M108" s="3" t="s">
        <v>1169</v>
      </c>
      <c r="N108" s="3" t="s">
        <v>1170</v>
      </c>
      <c r="O108" s="3" t="s">
        <v>0</v>
      </c>
      <c r="P108" s="3" t="s">
        <v>124</v>
      </c>
      <c r="Q108" s="10">
        <v>60</v>
      </c>
      <c r="R108" s="10"/>
      <c r="S108" s="11">
        <v>0</v>
      </c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/>
      <c r="C109"/>
      <c r="D109"/>
      <c r="E109"/>
      <c r="F109"/>
      <c r="G109"/>
      <c r="H109"/>
      <c r="I109"/>
      <c r="J109"/>
      <c r="K109"/>
      <c r="L109" s="3"/>
      <c r="M109" s="3" t="s">
        <v>1171</v>
      </c>
      <c r="N109" s="3" t="s">
        <v>1172</v>
      </c>
      <c r="O109" s="3" t="s">
        <v>2</v>
      </c>
      <c r="P109" s="3" t="s">
        <v>124</v>
      </c>
      <c r="Q109" s="10">
        <v>415</v>
      </c>
      <c r="R109" s="10"/>
      <c r="S109" s="11">
        <v>0</v>
      </c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/>
      <c r="C110"/>
      <c r="D110"/>
      <c r="E110"/>
      <c r="F110"/>
      <c r="G110"/>
      <c r="H110"/>
      <c r="I110"/>
      <c r="J110"/>
      <c r="K110"/>
      <c r="L110" s="3"/>
      <c r="M110" s="3" t="s">
        <v>1173</v>
      </c>
      <c r="N110" s="3" t="s">
        <v>1174</v>
      </c>
      <c r="O110" s="3" t="s">
        <v>2</v>
      </c>
      <c r="P110" s="3" t="s">
        <v>124</v>
      </c>
      <c r="Q110" s="10">
        <v>12</v>
      </c>
      <c r="R110" s="10"/>
      <c r="S110" s="11">
        <v>0</v>
      </c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/>
      <c r="C111"/>
      <c r="D111"/>
      <c r="E111"/>
      <c r="F111"/>
      <c r="G111"/>
      <c r="H111"/>
      <c r="I111"/>
      <c r="J111"/>
      <c r="K111"/>
      <c r="L111" s="3"/>
      <c r="M111" s="3" t="s">
        <v>433</v>
      </c>
      <c r="N111" s="3" t="s">
        <v>1175</v>
      </c>
      <c r="O111" s="3" t="s">
        <v>0</v>
      </c>
      <c r="P111" s="3" t="s">
        <v>124</v>
      </c>
      <c r="Q111" s="10">
        <v>40</v>
      </c>
      <c r="R111" s="10"/>
      <c r="S111" s="11">
        <v>0</v>
      </c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/>
      <c r="C112"/>
      <c r="D112"/>
      <c r="E112"/>
      <c r="F112"/>
      <c r="G112"/>
      <c r="H112"/>
      <c r="I112"/>
      <c r="J112"/>
      <c r="K112"/>
      <c r="L112" s="3"/>
      <c r="M112" s="3" t="s">
        <v>434</v>
      </c>
      <c r="N112" s="3" t="s">
        <v>435</v>
      </c>
      <c r="O112" s="3" t="s">
        <v>0</v>
      </c>
      <c r="P112" s="3" t="s">
        <v>124</v>
      </c>
      <c r="Q112" s="10">
        <v>60</v>
      </c>
      <c r="R112" s="10"/>
      <c r="S112" s="11">
        <v>0</v>
      </c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/>
      <c r="C113"/>
      <c r="D113"/>
      <c r="E113"/>
      <c r="F113"/>
      <c r="G113"/>
      <c r="H113"/>
      <c r="I113"/>
      <c r="J113"/>
      <c r="K113"/>
      <c r="L113" s="3"/>
      <c r="M113" s="3" t="s">
        <v>436</v>
      </c>
      <c r="N113" s="3" t="s">
        <v>437</v>
      </c>
      <c r="O113" s="3" t="s">
        <v>0</v>
      </c>
      <c r="P113" s="3" t="s">
        <v>124</v>
      </c>
      <c r="Q113" s="10">
        <v>240</v>
      </c>
      <c r="R113" s="10"/>
      <c r="S113" s="11">
        <v>0</v>
      </c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/>
      <c r="C114"/>
      <c r="D114"/>
      <c r="E114"/>
      <c r="F114"/>
      <c r="G114"/>
      <c r="H114"/>
      <c r="I114"/>
      <c r="J114"/>
      <c r="K114"/>
      <c r="L114" s="3"/>
      <c r="M114" s="3" t="s">
        <v>438</v>
      </c>
      <c r="N114" s="3" t="s">
        <v>439</v>
      </c>
      <c r="O114" s="3" t="s">
        <v>2</v>
      </c>
      <c r="P114" s="3" t="s">
        <v>124</v>
      </c>
      <c r="Q114" s="10">
        <v>750</v>
      </c>
      <c r="R114" s="10"/>
      <c r="S114" s="11">
        <v>0</v>
      </c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/>
      <c r="C115"/>
      <c r="D115"/>
      <c r="E115"/>
      <c r="F115"/>
      <c r="G115"/>
      <c r="H115"/>
      <c r="I115"/>
      <c r="J115"/>
      <c r="K115"/>
      <c r="L115" s="3"/>
      <c r="M115" s="3" t="s">
        <v>440</v>
      </c>
      <c r="N115" s="3" t="s">
        <v>1176</v>
      </c>
      <c r="O115" s="3" t="s">
        <v>1</v>
      </c>
      <c r="P115" s="3" t="s">
        <v>124</v>
      </c>
      <c r="Q115" s="10">
        <v>2</v>
      </c>
      <c r="R115" s="10"/>
      <c r="S115" s="11">
        <v>0</v>
      </c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/>
      <c r="C116"/>
      <c r="D116"/>
      <c r="E116"/>
      <c r="F116"/>
      <c r="G116"/>
      <c r="H116"/>
      <c r="I116"/>
      <c r="J116"/>
      <c r="K116"/>
      <c r="L116" s="3"/>
      <c r="M116" s="3" t="s">
        <v>1180</v>
      </c>
      <c r="N116" s="3" t="s">
        <v>321</v>
      </c>
      <c r="O116" s="3" t="s">
        <v>1</v>
      </c>
      <c r="P116" s="3" t="s">
        <v>124</v>
      </c>
      <c r="Q116" s="10">
        <v>1</v>
      </c>
      <c r="R116" s="10"/>
      <c r="S116" s="11">
        <v>0</v>
      </c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/>
      <c r="C117"/>
      <c r="D117"/>
      <c r="E117"/>
      <c r="F117"/>
      <c r="G117"/>
      <c r="H117"/>
      <c r="I117"/>
      <c r="J117"/>
      <c r="K117"/>
      <c r="L117" s="3"/>
      <c r="M117" s="3" t="s">
        <v>1182</v>
      </c>
      <c r="N117" s="3" t="s">
        <v>742</v>
      </c>
      <c r="O117" s="3" t="s">
        <v>0</v>
      </c>
      <c r="P117" s="3" t="s">
        <v>124</v>
      </c>
      <c r="Q117" s="10">
        <v>40</v>
      </c>
      <c r="R117" s="10"/>
      <c r="S117" s="11">
        <v>0</v>
      </c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/>
      <c r="C118"/>
      <c r="D118"/>
      <c r="E118"/>
      <c r="F118"/>
      <c r="G118"/>
      <c r="H118"/>
      <c r="I118"/>
      <c r="J118"/>
      <c r="K118"/>
      <c r="L118" s="3"/>
      <c r="M118" s="3" t="s">
        <v>245</v>
      </c>
      <c r="N118" s="3" t="s">
        <v>743</v>
      </c>
      <c r="O118" s="3" t="s">
        <v>0</v>
      </c>
      <c r="P118" s="3" t="s">
        <v>124</v>
      </c>
      <c r="Q118" s="10">
        <v>40</v>
      </c>
      <c r="R118" s="10"/>
      <c r="S118" s="11">
        <v>0</v>
      </c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/>
      <c r="C119"/>
      <c r="D119"/>
      <c r="E119"/>
      <c r="F119"/>
      <c r="G119"/>
      <c r="H119"/>
      <c r="I119"/>
      <c r="J119"/>
      <c r="K119"/>
      <c r="L119" s="3"/>
      <c r="M119" s="3" t="s">
        <v>240</v>
      </c>
      <c r="N119" s="3" t="s">
        <v>753</v>
      </c>
      <c r="O119" s="3" t="s">
        <v>0</v>
      </c>
      <c r="P119" s="3" t="s">
        <v>124</v>
      </c>
      <c r="Q119" s="10">
        <v>6</v>
      </c>
      <c r="R119" s="10"/>
      <c r="S119" s="11">
        <v>0</v>
      </c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/>
      <c r="H120"/>
      <c r="I120"/>
      <c r="J120"/>
      <c r="K120"/>
      <c r="L120" s="3"/>
      <c r="M120" s="3" t="s">
        <v>238</v>
      </c>
      <c r="N120" s="3" t="s">
        <v>754</v>
      </c>
      <c r="O120" s="3" t="s">
        <v>0</v>
      </c>
      <c r="P120" s="3" t="s">
        <v>124</v>
      </c>
      <c r="Q120" s="10">
        <v>4</v>
      </c>
      <c r="R120" s="10"/>
      <c r="S120" s="11">
        <v>0</v>
      </c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/>
      <c r="H121"/>
      <c r="I121"/>
      <c r="J121"/>
      <c r="K121"/>
      <c r="L121" s="3"/>
      <c r="M121" s="3" t="s">
        <v>1193</v>
      </c>
      <c r="N121" s="3" t="s">
        <v>1194</v>
      </c>
      <c r="O121" s="3" t="s">
        <v>1</v>
      </c>
      <c r="P121" s="3" t="s">
        <v>124</v>
      </c>
      <c r="Q121" s="10">
        <v>2</v>
      </c>
      <c r="R121" s="10"/>
      <c r="S121" s="11">
        <v>0</v>
      </c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/>
      <c r="H122"/>
      <c r="I122"/>
      <c r="J122"/>
      <c r="K122"/>
      <c r="L122" s="3"/>
      <c r="M122" s="3" t="s">
        <v>1198</v>
      </c>
      <c r="N122" s="3" t="s">
        <v>1199</v>
      </c>
      <c r="O122" s="3" t="s">
        <v>0</v>
      </c>
      <c r="P122" s="3" t="s">
        <v>124</v>
      </c>
      <c r="Q122" s="10">
        <v>4</v>
      </c>
      <c r="R122" s="10"/>
      <c r="S122" s="11">
        <v>0</v>
      </c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/>
      <c r="H123"/>
      <c r="I123"/>
      <c r="J123"/>
      <c r="K123"/>
      <c r="L123" s="3"/>
      <c r="M123" s="3" t="s">
        <v>1200</v>
      </c>
      <c r="N123" s="3" t="s">
        <v>1201</v>
      </c>
      <c r="O123" s="3" t="s">
        <v>0</v>
      </c>
      <c r="P123" s="3" t="s">
        <v>124</v>
      </c>
      <c r="Q123" s="10">
        <v>18</v>
      </c>
      <c r="R123" s="10"/>
      <c r="S123" s="11">
        <v>0</v>
      </c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/>
      <c r="H124"/>
      <c r="I124"/>
      <c r="J124"/>
      <c r="K124"/>
      <c r="L124" s="3"/>
      <c r="M124" s="3" t="s">
        <v>1204</v>
      </c>
      <c r="N124" s="3" t="s">
        <v>1205</v>
      </c>
      <c r="O124" s="3" t="s">
        <v>0</v>
      </c>
      <c r="P124" s="3" t="s">
        <v>124</v>
      </c>
      <c r="Q124" s="10">
        <v>240</v>
      </c>
      <c r="R124" s="10"/>
      <c r="S124" s="11">
        <v>0</v>
      </c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/>
      <c r="H125"/>
      <c r="I125"/>
      <c r="J125"/>
      <c r="K125"/>
      <c r="L125" s="3"/>
      <c r="M125" s="3" t="s">
        <v>1206</v>
      </c>
      <c r="N125" s="3" t="s">
        <v>1207</v>
      </c>
      <c r="O125" s="3" t="s">
        <v>2</v>
      </c>
      <c r="P125" s="3" t="s">
        <v>124</v>
      </c>
      <c r="Q125" s="10">
        <v>8</v>
      </c>
      <c r="R125" s="10"/>
      <c r="S125" s="11">
        <v>0</v>
      </c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/>
      <c r="H126"/>
      <c r="I126"/>
      <c r="J126"/>
      <c r="K126"/>
      <c r="L126" s="3" t="s">
        <v>6</v>
      </c>
      <c r="M126" s="3" t="s">
        <v>181</v>
      </c>
      <c r="N126" s="3" t="s">
        <v>212</v>
      </c>
      <c r="O126" s="3" t="s">
        <v>0</v>
      </c>
      <c r="P126" s="3" t="s">
        <v>124</v>
      </c>
      <c r="Q126" s="10">
        <v>6000</v>
      </c>
      <c r="R126" s="10"/>
      <c r="S126" s="11">
        <v>0</v>
      </c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/>
      <c r="H127"/>
      <c r="I127"/>
      <c r="J127"/>
      <c r="K127"/>
      <c r="L127" s="3"/>
      <c r="M127" s="3" t="s">
        <v>246</v>
      </c>
      <c r="N127" s="3" t="s">
        <v>247</v>
      </c>
      <c r="O127" s="3" t="s">
        <v>0</v>
      </c>
      <c r="P127" s="3" t="s">
        <v>124</v>
      </c>
      <c r="Q127" s="10">
        <v>10000</v>
      </c>
      <c r="R127" s="10"/>
      <c r="S127" s="11">
        <v>0</v>
      </c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/>
      <c r="H128"/>
      <c r="I128"/>
      <c r="J128"/>
      <c r="K128"/>
      <c r="L128" s="3"/>
      <c r="M128" s="3" t="s">
        <v>248</v>
      </c>
      <c r="N128" s="3" t="s">
        <v>249</v>
      </c>
      <c r="O128" s="3" t="s">
        <v>0</v>
      </c>
      <c r="P128" s="3" t="s">
        <v>124</v>
      </c>
      <c r="Q128" s="10">
        <v>3000</v>
      </c>
      <c r="R128" s="10"/>
      <c r="S128" s="11">
        <v>0</v>
      </c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/>
      <c r="H129"/>
      <c r="I129"/>
      <c r="J129"/>
      <c r="K129"/>
      <c r="L129" s="3"/>
      <c r="M129" s="3" t="s">
        <v>270</v>
      </c>
      <c r="N129" s="3" t="s">
        <v>732</v>
      </c>
      <c r="O129" s="3" t="s">
        <v>1</v>
      </c>
      <c r="P129" s="3" t="s">
        <v>124</v>
      </c>
      <c r="Q129" s="10">
        <v>34</v>
      </c>
      <c r="R129" s="10">
        <v>34</v>
      </c>
      <c r="S129" s="11">
        <v>1</v>
      </c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/>
      <c r="H130"/>
      <c r="I130"/>
      <c r="J130"/>
      <c r="K130"/>
      <c r="L130" s="3"/>
      <c r="M130" s="3" t="s">
        <v>271</v>
      </c>
      <c r="N130" s="3" t="s">
        <v>733</v>
      </c>
      <c r="O130" s="3" t="s">
        <v>1</v>
      </c>
      <c r="P130" s="3" t="s">
        <v>124</v>
      </c>
      <c r="Q130" s="10">
        <v>20</v>
      </c>
      <c r="R130" s="10">
        <v>20</v>
      </c>
      <c r="S130" s="11">
        <v>1</v>
      </c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/>
      <c r="H131"/>
      <c r="I131"/>
      <c r="J131"/>
      <c r="K131"/>
      <c r="L131" s="3"/>
      <c r="M131" s="3" t="s">
        <v>273</v>
      </c>
      <c r="N131" s="3" t="s">
        <v>735</v>
      </c>
      <c r="O131" s="3" t="s">
        <v>1</v>
      </c>
      <c r="P131" s="3" t="s">
        <v>124</v>
      </c>
      <c r="Q131" s="10">
        <v>1</v>
      </c>
      <c r="R131" s="10">
        <v>1</v>
      </c>
      <c r="S131" s="11">
        <v>1</v>
      </c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G132"/>
      <c r="H132"/>
      <c r="I132"/>
      <c r="J132"/>
      <c r="K132"/>
      <c r="L132" s="3"/>
      <c r="M132" s="3" t="s">
        <v>274</v>
      </c>
      <c r="N132" s="3" t="s">
        <v>736</v>
      </c>
      <c r="O132" s="3" t="s">
        <v>1</v>
      </c>
      <c r="P132" s="3" t="s">
        <v>124</v>
      </c>
      <c r="Q132" s="10">
        <v>20</v>
      </c>
      <c r="R132" s="10">
        <v>20</v>
      </c>
      <c r="S132" s="11">
        <v>1</v>
      </c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G133"/>
      <c r="H133"/>
      <c r="I133"/>
      <c r="J133"/>
      <c r="K133"/>
      <c r="L133" s="3"/>
      <c r="M133" s="3" t="s">
        <v>275</v>
      </c>
      <c r="N133" s="3" t="s">
        <v>737</v>
      </c>
      <c r="O133" s="3" t="s">
        <v>1</v>
      </c>
      <c r="P133" s="3" t="s">
        <v>124</v>
      </c>
      <c r="Q133" s="10">
        <v>2</v>
      </c>
      <c r="R133" s="10">
        <v>2</v>
      </c>
      <c r="S133" s="11">
        <v>1</v>
      </c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G134"/>
      <c r="H134"/>
      <c r="I134"/>
      <c r="J134"/>
      <c r="K134"/>
      <c r="L134" s="3"/>
      <c r="M134" s="3" t="s">
        <v>276</v>
      </c>
      <c r="N134" s="3" t="s">
        <v>738</v>
      </c>
      <c r="O134" s="3" t="s">
        <v>1</v>
      </c>
      <c r="P134" s="3" t="s">
        <v>124</v>
      </c>
      <c r="Q134" s="10">
        <v>2</v>
      </c>
      <c r="R134" s="10">
        <v>2</v>
      </c>
      <c r="S134" s="11">
        <v>1</v>
      </c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G135"/>
      <c r="H135"/>
      <c r="I135"/>
      <c r="J135"/>
      <c r="K135"/>
      <c r="L135" s="3"/>
      <c r="M135" s="3" t="s">
        <v>277</v>
      </c>
      <c r="N135" s="3" t="s">
        <v>278</v>
      </c>
      <c r="O135" s="3" t="s">
        <v>1</v>
      </c>
      <c r="P135" s="3" t="s">
        <v>124</v>
      </c>
      <c r="Q135" s="10">
        <v>35</v>
      </c>
      <c r="R135" s="10">
        <v>35</v>
      </c>
      <c r="S135" s="11">
        <v>1</v>
      </c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G136"/>
      <c r="H136"/>
      <c r="I136"/>
      <c r="J136"/>
      <c r="K136"/>
      <c r="L136" s="3"/>
      <c r="M136" s="3" t="s">
        <v>294</v>
      </c>
      <c r="N136" s="3" t="s">
        <v>739</v>
      </c>
      <c r="O136" s="3" t="s">
        <v>1</v>
      </c>
      <c r="P136" s="3" t="s">
        <v>124</v>
      </c>
      <c r="Q136" s="10">
        <v>8</v>
      </c>
      <c r="R136" s="10">
        <v>8</v>
      </c>
      <c r="S136" s="11">
        <v>1</v>
      </c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G137"/>
      <c r="H137"/>
      <c r="I137"/>
      <c r="J137"/>
      <c r="K137"/>
      <c r="L137" s="3"/>
      <c r="M137" s="3" t="s">
        <v>299</v>
      </c>
      <c r="N137" s="3" t="s">
        <v>300</v>
      </c>
      <c r="O137" s="3" t="s">
        <v>1</v>
      </c>
      <c r="P137" s="3" t="s">
        <v>124</v>
      </c>
      <c r="Q137" s="10">
        <v>1</v>
      </c>
      <c r="R137" s="10">
        <v>1</v>
      </c>
      <c r="S137" s="11">
        <v>1</v>
      </c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G138"/>
      <c r="H138"/>
      <c r="I138"/>
      <c r="J138"/>
      <c r="K138"/>
      <c r="L138" s="3"/>
      <c r="M138" s="3" t="s">
        <v>345</v>
      </c>
      <c r="N138" s="3" t="s">
        <v>346</v>
      </c>
      <c r="O138" s="3" t="s">
        <v>1</v>
      </c>
      <c r="P138" s="3" t="s">
        <v>124</v>
      </c>
      <c r="Q138" s="10">
        <v>2</v>
      </c>
      <c r="R138" s="10"/>
      <c r="S138" s="11">
        <v>0</v>
      </c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/>
      <c r="H139"/>
      <c r="I139"/>
      <c r="J139"/>
      <c r="K139"/>
      <c r="L139" s="3"/>
      <c r="M139" s="3" t="s">
        <v>411</v>
      </c>
      <c r="N139" s="3" t="s">
        <v>412</v>
      </c>
      <c r="O139" s="3" t="s">
        <v>1</v>
      </c>
      <c r="P139" s="3" t="s">
        <v>124</v>
      </c>
      <c r="Q139" s="10">
        <v>6</v>
      </c>
      <c r="R139" s="10"/>
      <c r="S139" s="11">
        <v>0</v>
      </c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/>
      <c r="H140"/>
      <c r="I140"/>
      <c r="J140"/>
      <c r="K140"/>
      <c r="L140" s="3"/>
      <c r="M140" s="3" t="s">
        <v>1169</v>
      </c>
      <c r="N140" s="3" t="s">
        <v>1170</v>
      </c>
      <c r="O140" s="3" t="s">
        <v>0</v>
      </c>
      <c r="P140" s="3" t="s">
        <v>124</v>
      </c>
      <c r="Q140" s="10">
        <v>36</v>
      </c>
      <c r="R140" s="10"/>
      <c r="S140" s="11">
        <v>0</v>
      </c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/>
      <c r="H141"/>
      <c r="I141"/>
      <c r="J141"/>
      <c r="K141"/>
      <c r="L141" s="3"/>
      <c r="M141" s="3" t="s">
        <v>1171</v>
      </c>
      <c r="N141" s="3" t="s">
        <v>1172</v>
      </c>
      <c r="O141" s="3" t="s">
        <v>2</v>
      </c>
      <c r="P141" s="3" t="s">
        <v>124</v>
      </c>
      <c r="Q141" s="10">
        <v>405</v>
      </c>
      <c r="R141" s="10"/>
      <c r="S141" s="11">
        <v>0</v>
      </c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/>
      <c r="H142"/>
      <c r="I142"/>
      <c r="J142"/>
      <c r="K142"/>
      <c r="L142" s="3"/>
      <c r="M142" s="3" t="s">
        <v>1173</v>
      </c>
      <c r="N142" s="3" t="s">
        <v>1174</v>
      </c>
      <c r="O142" s="3" t="s">
        <v>2</v>
      </c>
      <c r="P142" s="3" t="s">
        <v>124</v>
      </c>
      <c r="Q142" s="10">
        <v>9</v>
      </c>
      <c r="R142" s="10"/>
      <c r="S142" s="11">
        <v>0</v>
      </c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/>
      <c r="H143"/>
      <c r="I143"/>
      <c r="J143"/>
      <c r="K143"/>
      <c r="L143" s="3"/>
      <c r="M143" s="3" t="s">
        <v>433</v>
      </c>
      <c r="N143" s="3" t="s">
        <v>1175</v>
      </c>
      <c r="O143" s="3" t="s">
        <v>0</v>
      </c>
      <c r="P143" s="3" t="s">
        <v>124</v>
      </c>
      <c r="Q143" s="10">
        <v>30</v>
      </c>
      <c r="R143" s="10"/>
      <c r="S143" s="11">
        <v>0</v>
      </c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B144"/>
      <c r="C144"/>
      <c r="D144"/>
      <c r="E144"/>
      <c r="F144"/>
      <c r="G144"/>
      <c r="H144"/>
      <c r="I144"/>
      <c r="J144"/>
      <c r="K144"/>
      <c r="L144" s="3"/>
      <c r="M144" s="3" t="s">
        <v>434</v>
      </c>
      <c r="N144" s="3" t="s">
        <v>435</v>
      </c>
      <c r="O144" s="3" t="s">
        <v>0</v>
      </c>
      <c r="P144" s="3" t="s">
        <v>124</v>
      </c>
      <c r="Q144" s="10">
        <v>30</v>
      </c>
      <c r="R144" s="10"/>
      <c r="S144" s="11">
        <v>0</v>
      </c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2:52" x14ac:dyDescent="0.25">
      <c r="B145"/>
      <c r="C145"/>
      <c r="D145"/>
      <c r="E145"/>
      <c r="F145"/>
      <c r="G145"/>
      <c r="H145"/>
      <c r="I145"/>
      <c r="J145"/>
      <c r="K145"/>
      <c r="L145" s="3"/>
      <c r="M145" s="3" t="s">
        <v>436</v>
      </c>
      <c r="N145" s="3" t="s">
        <v>437</v>
      </c>
      <c r="O145" s="3" t="s">
        <v>0</v>
      </c>
      <c r="P145" s="3" t="s">
        <v>124</v>
      </c>
      <c r="Q145" s="10">
        <v>60</v>
      </c>
      <c r="R145" s="10"/>
      <c r="S145" s="11">
        <v>0</v>
      </c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2:52" x14ac:dyDescent="0.25">
      <c r="B146"/>
      <c r="C146"/>
      <c r="D146"/>
      <c r="E146"/>
      <c r="F146"/>
      <c r="G146"/>
      <c r="H146"/>
      <c r="I146"/>
      <c r="J146"/>
      <c r="K146"/>
      <c r="L146" s="3"/>
      <c r="M146" s="3" t="s">
        <v>438</v>
      </c>
      <c r="N146" s="3" t="s">
        <v>439</v>
      </c>
      <c r="O146" s="3" t="s">
        <v>2</v>
      </c>
      <c r="P146" s="3" t="s">
        <v>124</v>
      </c>
      <c r="Q146" s="10">
        <v>750</v>
      </c>
      <c r="R146" s="10"/>
      <c r="S146" s="11">
        <v>0</v>
      </c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2:52" x14ac:dyDescent="0.25">
      <c r="B147"/>
      <c r="C147"/>
      <c r="D147"/>
      <c r="E147"/>
      <c r="F147"/>
      <c r="G147"/>
      <c r="H147"/>
      <c r="I147"/>
      <c r="J147"/>
      <c r="K147"/>
      <c r="L147" s="3"/>
      <c r="M147" s="3" t="s">
        <v>440</v>
      </c>
      <c r="N147" s="3" t="s">
        <v>1176</v>
      </c>
      <c r="O147" s="3" t="s">
        <v>1</v>
      </c>
      <c r="P147" s="3" t="s">
        <v>124</v>
      </c>
      <c r="Q147" s="10">
        <v>1</v>
      </c>
      <c r="R147" s="10"/>
      <c r="S147" s="11">
        <v>0</v>
      </c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2:52" x14ac:dyDescent="0.25">
      <c r="B148"/>
      <c r="C148"/>
      <c r="D148"/>
      <c r="E148"/>
      <c r="F148"/>
      <c r="G148"/>
      <c r="H148"/>
      <c r="I148"/>
      <c r="J148"/>
      <c r="K148"/>
      <c r="L148" s="3"/>
      <c r="M148" s="3" t="s">
        <v>1177</v>
      </c>
      <c r="N148" s="3" t="s">
        <v>1178</v>
      </c>
      <c r="O148" s="3" t="s">
        <v>1</v>
      </c>
      <c r="P148" s="3" t="s">
        <v>124</v>
      </c>
      <c r="Q148" s="10">
        <v>6</v>
      </c>
      <c r="R148" s="10"/>
      <c r="S148" s="11">
        <v>0</v>
      </c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2:52" x14ac:dyDescent="0.25">
      <c r="B149"/>
      <c r="C149"/>
      <c r="D149"/>
      <c r="E149"/>
      <c r="F149"/>
      <c r="G149"/>
      <c r="H149"/>
      <c r="I149"/>
      <c r="J149"/>
      <c r="K149"/>
      <c r="L149" s="3"/>
      <c r="M149" s="3" t="s">
        <v>1180</v>
      </c>
      <c r="N149" s="3" t="s">
        <v>321</v>
      </c>
      <c r="O149" s="3" t="s">
        <v>1</v>
      </c>
      <c r="P149" s="3" t="s">
        <v>124</v>
      </c>
      <c r="Q149" s="10">
        <v>2</v>
      </c>
      <c r="R149" s="10"/>
      <c r="S149" s="11">
        <v>0</v>
      </c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2:52" x14ac:dyDescent="0.25">
      <c r="B150"/>
      <c r="C150"/>
      <c r="D150"/>
      <c r="E150"/>
      <c r="F150"/>
      <c r="G150"/>
      <c r="H150"/>
      <c r="I150"/>
      <c r="J150"/>
      <c r="K150"/>
      <c r="L150" s="3"/>
      <c r="M150" s="3" t="s">
        <v>245</v>
      </c>
      <c r="N150" s="3" t="s">
        <v>743</v>
      </c>
      <c r="O150" s="3" t="s">
        <v>0</v>
      </c>
      <c r="P150" s="3" t="s">
        <v>124</v>
      </c>
      <c r="Q150" s="10">
        <v>2</v>
      </c>
      <c r="R150" s="10"/>
      <c r="S150" s="11">
        <v>0</v>
      </c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2:52" x14ac:dyDescent="0.25">
      <c r="B151"/>
      <c r="C151"/>
      <c r="D151"/>
      <c r="E151"/>
      <c r="F151"/>
      <c r="G151"/>
      <c r="H151"/>
      <c r="I151"/>
      <c r="J151"/>
      <c r="K151"/>
      <c r="L151" s="3"/>
      <c r="M151" s="3" t="s">
        <v>391</v>
      </c>
      <c r="N151" s="3" t="s">
        <v>745</v>
      </c>
      <c r="O151" s="3" t="s">
        <v>0</v>
      </c>
      <c r="P151" s="3" t="s">
        <v>124</v>
      </c>
      <c r="Q151" s="10">
        <v>3</v>
      </c>
      <c r="R151" s="10"/>
      <c r="S151" s="11">
        <v>0</v>
      </c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2:52" x14ac:dyDescent="0.25">
      <c r="B152"/>
      <c r="C152"/>
      <c r="D152"/>
      <c r="E152"/>
      <c r="F152"/>
      <c r="G152"/>
      <c r="H152"/>
      <c r="I152"/>
      <c r="J152"/>
      <c r="K152"/>
      <c r="L152" s="3"/>
      <c r="M152" s="3" t="s">
        <v>1185</v>
      </c>
      <c r="N152" s="3" t="s">
        <v>747</v>
      </c>
      <c r="O152" s="3" t="s">
        <v>0</v>
      </c>
      <c r="P152" s="3" t="s">
        <v>124</v>
      </c>
      <c r="Q152" s="10">
        <v>1</v>
      </c>
      <c r="R152" s="10"/>
      <c r="S152" s="11">
        <v>0</v>
      </c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2:52" x14ac:dyDescent="0.25">
      <c r="B153"/>
      <c r="C153"/>
      <c r="D153"/>
      <c r="E153"/>
      <c r="F153"/>
      <c r="G153"/>
      <c r="H153"/>
      <c r="I153"/>
      <c r="J153"/>
      <c r="K153"/>
      <c r="L153" s="3"/>
      <c r="M153" s="3" t="s">
        <v>392</v>
      </c>
      <c r="N153" s="3" t="s">
        <v>393</v>
      </c>
      <c r="O153" s="3" t="s">
        <v>0</v>
      </c>
      <c r="P153" s="3" t="s">
        <v>124</v>
      </c>
      <c r="Q153" s="10">
        <v>1</v>
      </c>
      <c r="R153" s="10"/>
      <c r="S153" s="11">
        <v>0</v>
      </c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2:52" x14ac:dyDescent="0.25">
      <c r="B154"/>
      <c r="C154"/>
      <c r="D154"/>
      <c r="E154"/>
      <c r="F154"/>
      <c r="G154"/>
      <c r="H154"/>
      <c r="I154"/>
      <c r="J154"/>
      <c r="K154"/>
      <c r="L154" s="3"/>
      <c r="M154" s="3" t="s">
        <v>243</v>
      </c>
      <c r="N154" s="3" t="s">
        <v>750</v>
      </c>
      <c r="O154" s="3" t="s">
        <v>0</v>
      </c>
      <c r="P154" s="3" t="s">
        <v>124</v>
      </c>
      <c r="Q154" s="10">
        <v>1</v>
      </c>
      <c r="R154" s="10"/>
      <c r="S154" s="11">
        <v>0</v>
      </c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2:52" x14ac:dyDescent="0.25">
      <c r="B155"/>
      <c r="C155"/>
      <c r="D155"/>
      <c r="E155"/>
      <c r="F155"/>
      <c r="G155"/>
      <c r="H155"/>
      <c r="I155"/>
      <c r="J155"/>
      <c r="K155"/>
      <c r="L155" s="3"/>
      <c r="M155" s="3" t="s">
        <v>1189</v>
      </c>
      <c r="N155" s="3" t="s">
        <v>752</v>
      </c>
      <c r="O155" s="3" t="s">
        <v>0</v>
      </c>
      <c r="P155" s="3" t="s">
        <v>124</v>
      </c>
      <c r="Q155" s="10">
        <v>7</v>
      </c>
      <c r="R155" s="10"/>
      <c r="S155" s="11">
        <v>0</v>
      </c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2:52" x14ac:dyDescent="0.25">
      <c r="B156"/>
      <c r="C156"/>
      <c r="D156"/>
      <c r="E156"/>
      <c r="F156"/>
      <c r="G156"/>
      <c r="H156"/>
      <c r="I156"/>
      <c r="J156"/>
      <c r="K156"/>
      <c r="L156" s="3"/>
      <c r="M156" s="3" t="s">
        <v>240</v>
      </c>
      <c r="N156" s="3" t="s">
        <v>753</v>
      </c>
      <c r="O156" s="3" t="s">
        <v>0</v>
      </c>
      <c r="P156" s="3" t="s">
        <v>124</v>
      </c>
      <c r="Q156" s="10">
        <v>8</v>
      </c>
      <c r="R156" s="10"/>
      <c r="S156" s="11">
        <v>0</v>
      </c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2:52" x14ac:dyDescent="0.25">
      <c r="B157"/>
      <c r="C157"/>
      <c r="D157"/>
      <c r="E157"/>
      <c r="F157"/>
      <c r="G157"/>
      <c r="H157"/>
      <c r="I157"/>
      <c r="J157"/>
      <c r="K157"/>
      <c r="L157" s="3"/>
      <c r="M157" s="3" t="s">
        <v>238</v>
      </c>
      <c r="N157" s="3" t="s">
        <v>754</v>
      </c>
      <c r="O157" s="3" t="s">
        <v>0</v>
      </c>
      <c r="P157" s="3" t="s">
        <v>124</v>
      </c>
      <c r="Q157" s="10">
        <v>6</v>
      </c>
      <c r="R157" s="10"/>
      <c r="S157" s="11">
        <v>0</v>
      </c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2:52" x14ac:dyDescent="0.25">
      <c r="F158" s="3"/>
      <c r="G158" s="3"/>
      <c r="H158" s="3"/>
      <c r="I158" s="3"/>
      <c r="J158" s="3"/>
      <c r="K158" s="3"/>
      <c r="L158" s="3"/>
      <c r="M158" s="3" t="s">
        <v>394</v>
      </c>
      <c r="N158" s="3" t="s">
        <v>755</v>
      </c>
      <c r="O158" s="3" t="s">
        <v>0</v>
      </c>
      <c r="P158" s="3" t="s">
        <v>124</v>
      </c>
      <c r="Q158" s="10">
        <v>2</v>
      </c>
      <c r="R158" s="10"/>
      <c r="S158" s="11">
        <v>0</v>
      </c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2:52" x14ac:dyDescent="0.25">
      <c r="F159" s="3"/>
      <c r="G159" s="3"/>
      <c r="H159" s="3"/>
      <c r="I159" s="3"/>
      <c r="J159" s="3"/>
      <c r="K159" s="3"/>
      <c r="L159" s="3"/>
      <c r="M159" s="3" t="s">
        <v>444</v>
      </c>
      <c r="N159" s="3" t="s">
        <v>445</v>
      </c>
      <c r="O159" s="3" t="s">
        <v>1</v>
      </c>
      <c r="P159" s="3" t="s">
        <v>124</v>
      </c>
      <c r="Q159" s="10">
        <v>2</v>
      </c>
      <c r="R159" s="10"/>
      <c r="S159" s="11">
        <v>0</v>
      </c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2:52" x14ac:dyDescent="0.25">
      <c r="F160" s="3"/>
      <c r="G160" s="3"/>
      <c r="H160" s="3"/>
      <c r="I160" s="3"/>
      <c r="J160" s="3"/>
      <c r="K160" s="3"/>
      <c r="L160" s="3"/>
      <c r="M160" s="3" t="s">
        <v>446</v>
      </c>
      <c r="N160" s="3" t="s">
        <v>1190</v>
      </c>
      <c r="O160" s="3" t="s">
        <v>1</v>
      </c>
      <c r="P160" s="3" t="s">
        <v>124</v>
      </c>
      <c r="Q160" s="10">
        <v>50</v>
      </c>
      <c r="R160" s="10"/>
      <c r="S160" s="11">
        <v>0</v>
      </c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 t="s">
        <v>447</v>
      </c>
      <c r="N161" s="3" t="s">
        <v>448</v>
      </c>
      <c r="O161" s="3" t="s">
        <v>1</v>
      </c>
      <c r="P161" s="3" t="s">
        <v>124</v>
      </c>
      <c r="Q161" s="10">
        <v>2</v>
      </c>
      <c r="R161" s="10"/>
      <c r="S161" s="11">
        <v>0</v>
      </c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 t="s">
        <v>449</v>
      </c>
      <c r="N162" s="3" t="s">
        <v>1191</v>
      </c>
      <c r="O162" s="3" t="s">
        <v>1</v>
      </c>
      <c r="P162" s="3" t="s">
        <v>124</v>
      </c>
      <c r="Q162" s="10">
        <v>5</v>
      </c>
      <c r="R162" s="10"/>
      <c r="S162" s="11">
        <v>0</v>
      </c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 t="s">
        <v>409</v>
      </c>
      <c r="N163" s="3" t="s">
        <v>410</v>
      </c>
      <c r="O163" s="3" t="s">
        <v>1</v>
      </c>
      <c r="P163" s="3" t="s">
        <v>124</v>
      </c>
      <c r="Q163" s="10">
        <v>4</v>
      </c>
      <c r="R163" s="10"/>
      <c r="S163" s="11">
        <v>0</v>
      </c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 t="s">
        <v>1193</v>
      </c>
      <c r="N164" s="3" t="s">
        <v>1194</v>
      </c>
      <c r="O164" s="3" t="s">
        <v>0</v>
      </c>
      <c r="P164" s="3" t="s">
        <v>124</v>
      </c>
      <c r="Q164" s="10">
        <v>1</v>
      </c>
      <c r="R164" s="10"/>
      <c r="S164" s="11">
        <v>0</v>
      </c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 t="s">
        <v>1</v>
      </c>
      <c r="P165" s="3" t="s">
        <v>124</v>
      </c>
      <c r="Q165" s="10">
        <v>9</v>
      </c>
      <c r="R165" s="10"/>
      <c r="S165" s="11">
        <v>0</v>
      </c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 t="s">
        <v>1198</v>
      </c>
      <c r="N166" s="3" t="s">
        <v>1199</v>
      </c>
      <c r="O166" s="3" t="s">
        <v>0</v>
      </c>
      <c r="P166" s="3" t="s">
        <v>124</v>
      </c>
      <c r="Q166" s="10">
        <v>6</v>
      </c>
      <c r="R166" s="10"/>
      <c r="S166" s="11">
        <v>0</v>
      </c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 t="s">
        <v>1200</v>
      </c>
      <c r="N167" s="3" t="s">
        <v>1201</v>
      </c>
      <c r="O167" s="3" t="s">
        <v>0</v>
      </c>
      <c r="P167" s="3" t="s">
        <v>124</v>
      </c>
      <c r="Q167" s="10">
        <v>2</v>
      </c>
      <c r="R167" s="10"/>
      <c r="S167" s="11">
        <v>0</v>
      </c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 t="s">
        <v>1202</v>
      </c>
      <c r="N168" s="3" t="s">
        <v>1203</v>
      </c>
      <c r="O168" s="3" t="s">
        <v>0</v>
      </c>
      <c r="P168" s="3" t="s">
        <v>124</v>
      </c>
      <c r="Q168" s="10">
        <v>2</v>
      </c>
      <c r="R168" s="10"/>
      <c r="S168" s="11">
        <v>0</v>
      </c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 t="s">
        <v>1204</v>
      </c>
      <c r="N169" s="3" t="s">
        <v>1205</v>
      </c>
      <c r="O169" s="3" t="s">
        <v>0</v>
      </c>
      <c r="P169" s="3" t="s">
        <v>124</v>
      </c>
      <c r="Q169" s="10">
        <v>60</v>
      </c>
      <c r="R169" s="10"/>
      <c r="S169" s="11">
        <v>0</v>
      </c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 t="s">
        <v>1206</v>
      </c>
      <c r="N170" s="3" t="s">
        <v>1207</v>
      </c>
      <c r="O170" s="3" t="s">
        <v>2</v>
      </c>
      <c r="P170" s="3" t="s">
        <v>124</v>
      </c>
      <c r="Q170" s="10">
        <v>24</v>
      </c>
      <c r="R170" s="10"/>
      <c r="S170" s="11">
        <v>0</v>
      </c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 t="s">
        <v>1196</v>
      </c>
      <c r="N171" s="3" t="s">
        <v>1197</v>
      </c>
      <c r="O171" s="3" t="s">
        <v>0</v>
      </c>
      <c r="P171" s="3" t="s">
        <v>124</v>
      </c>
      <c r="Q171" s="10">
        <v>2</v>
      </c>
      <c r="R171" s="10"/>
      <c r="S171" s="11">
        <v>0</v>
      </c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 t="s">
        <v>7</v>
      </c>
      <c r="M172" s="3" t="s">
        <v>181</v>
      </c>
      <c r="N172" s="3" t="s">
        <v>212</v>
      </c>
      <c r="O172" s="3" t="s">
        <v>0</v>
      </c>
      <c r="P172" s="3" t="s">
        <v>124</v>
      </c>
      <c r="Q172" s="10">
        <v>100</v>
      </c>
      <c r="R172" s="10"/>
      <c r="S172" s="11">
        <v>0</v>
      </c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 t="s">
        <v>268</v>
      </c>
      <c r="N173" s="3" t="s">
        <v>730</v>
      </c>
      <c r="O173" s="3" t="s">
        <v>1</v>
      </c>
      <c r="P173" s="3" t="s">
        <v>124</v>
      </c>
      <c r="Q173" s="10">
        <v>4</v>
      </c>
      <c r="R173" s="10">
        <v>4</v>
      </c>
      <c r="S173" s="11">
        <v>1</v>
      </c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 t="s">
        <v>270</v>
      </c>
      <c r="N174" s="3" t="s">
        <v>732</v>
      </c>
      <c r="O174" s="3" t="s">
        <v>1</v>
      </c>
      <c r="P174" s="3" t="s">
        <v>124</v>
      </c>
      <c r="Q174" s="10">
        <v>14</v>
      </c>
      <c r="R174" s="10">
        <v>14</v>
      </c>
      <c r="S174" s="11">
        <v>1</v>
      </c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 t="s">
        <v>271</v>
      </c>
      <c r="N175" s="3" t="s">
        <v>733</v>
      </c>
      <c r="O175" s="3" t="s">
        <v>1</v>
      </c>
      <c r="P175" s="3" t="s">
        <v>124</v>
      </c>
      <c r="Q175" s="10">
        <v>2</v>
      </c>
      <c r="R175" s="10">
        <v>2</v>
      </c>
      <c r="S175" s="11">
        <v>1</v>
      </c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 t="s">
        <v>274</v>
      </c>
      <c r="N176" s="3" t="s">
        <v>736</v>
      </c>
      <c r="O176" s="3" t="s">
        <v>1</v>
      </c>
      <c r="P176" s="3" t="s">
        <v>124</v>
      </c>
      <c r="Q176" s="10">
        <v>17</v>
      </c>
      <c r="R176" s="10">
        <v>17</v>
      </c>
      <c r="S176" s="11">
        <v>1</v>
      </c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 t="s">
        <v>275</v>
      </c>
      <c r="N177" s="3" t="s">
        <v>737</v>
      </c>
      <c r="O177" s="3" t="s">
        <v>1</v>
      </c>
      <c r="P177" s="3" t="s">
        <v>124</v>
      </c>
      <c r="Q177" s="10">
        <v>1</v>
      </c>
      <c r="R177" s="10">
        <v>1</v>
      </c>
      <c r="S177" s="11">
        <v>1</v>
      </c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 t="s">
        <v>277</v>
      </c>
      <c r="N178" s="3" t="s">
        <v>278</v>
      </c>
      <c r="O178" s="3" t="s">
        <v>1</v>
      </c>
      <c r="P178" s="3" t="s">
        <v>124</v>
      </c>
      <c r="Q178" s="10">
        <v>18</v>
      </c>
      <c r="R178" s="10">
        <v>18</v>
      </c>
      <c r="S178" s="11">
        <v>1</v>
      </c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 t="s">
        <v>294</v>
      </c>
      <c r="N179" s="3" t="s">
        <v>739</v>
      </c>
      <c r="O179" s="3" t="s">
        <v>1</v>
      </c>
      <c r="P179" s="3" t="s">
        <v>124</v>
      </c>
      <c r="Q179" s="10">
        <v>4</v>
      </c>
      <c r="R179" s="10">
        <v>4</v>
      </c>
      <c r="S179" s="11">
        <v>1</v>
      </c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 t="s">
        <v>295</v>
      </c>
      <c r="N180" s="3" t="s">
        <v>740</v>
      </c>
      <c r="O180" s="3" t="s">
        <v>1</v>
      </c>
      <c r="P180" s="3" t="s">
        <v>124</v>
      </c>
      <c r="Q180" s="10">
        <v>5</v>
      </c>
      <c r="R180" s="10">
        <v>5</v>
      </c>
      <c r="S180" s="11">
        <v>1</v>
      </c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 t="s">
        <v>296</v>
      </c>
      <c r="N181" s="3" t="s">
        <v>741</v>
      </c>
      <c r="O181" s="3" t="s">
        <v>1</v>
      </c>
      <c r="P181" s="3" t="s">
        <v>124</v>
      </c>
      <c r="Q181" s="10">
        <v>37</v>
      </c>
      <c r="R181" s="10">
        <v>37</v>
      </c>
      <c r="S181" s="11">
        <v>1</v>
      </c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 t="s">
        <v>345</v>
      </c>
      <c r="N182" s="3" t="s">
        <v>346</v>
      </c>
      <c r="O182" s="3" t="s">
        <v>1</v>
      </c>
      <c r="P182" s="3" t="s">
        <v>124</v>
      </c>
      <c r="Q182" s="10">
        <v>1</v>
      </c>
      <c r="R182" s="10">
        <v>1</v>
      </c>
      <c r="S182" s="11">
        <v>1</v>
      </c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 t="s">
        <v>1169</v>
      </c>
      <c r="N183" s="3" t="s">
        <v>1170</v>
      </c>
      <c r="O183" s="3" t="s">
        <v>0</v>
      </c>
      <c r="P183" s="3" t="s">
        <v>124</v>
      </c>
      <c r="Q183" s="10">
        <v>16</v>
      </c>
      <c r="R183" s="10"/>
      <c r="S183" s="11">
        <v>0</v>
      </c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 t="s">
        <v>1171</v>
      </c>
      <c r="N184" s="3" t="s">
        <v>1172</v>
      </c>
      <c r="O184" s="3" t="s">
        <v>2</v>
      </c>
      <c r="P184" s="3" t="s">
        <v>124</v>
      </c>
      <c r="Q184" s="10">
        <v>340</v>
      </c>
      <c r="R184" s="10"/>
      <c r="S184" s="11">
        <v>0</v>
      </c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 t="s">
        <v>1173</v>
      </c>
      <c r="N185" s="3" t="s">
        <v>1174</v>
      </c>
      <c r="O185" s="3" t="s">
        <v>2</v>
      </c>
      <c r="P185" s="3" t="s">
        <v>124</v>
      </c>
      <c r="Q185" s="10">
        <v>12</v>
      </c>
      <c r="R185" s="10"/>
      <c r="S185" s="11">
        <v>0</v>
      </c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 t="s">
        <v>433</v>
      </c>
      <c r="N186" s="3" t="s">
        <v>1175</v>
      </c>
      <c r="O186" s="3" t="s">
        <v>0</v>
      </c>
      <c r="P186" s="3" t="s">
        <v>124</v>
      </c>
      <c r="Q186" s="10">
        <v>5</v>
      </c>
      <c r="R186" s="10"/>
      <c r="S186" s="11">
        <v>0</v>
      </c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 t="s">
        <v>434</v>
      </c>
      <c r="N187" s="3" t="s">
        <v>435</v>
      </c>
      <c r="O187" s="3" t="s">
        <v>0</v>
      </c>
      <c r="P187" s="3" t="s">
        <v>124</v>
      </c>
      <c r="Q187" s="10">
        <v>20</v>
      </c>
      <c r="R187" s="10"/>
      <c r="S187" s="11">
        <v>0</v>
      </c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 t="s">
        <v>436</v>
      </c>
      <c r="N188" s="3" t="s">
        <v>437</v>
      </c>
      <c r="O188" s="3" t="s">
        <v>0</v>
      </c>
      <c r="P188" s="3" t="s">
        <v>124</v>
      </c>
      <c r="Q188" s="10">
        <v>30</v>
      </c>
      <c r="R188" s="10"/>
      <c r="S188" s="11">
        <v>0</v>
      </c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 t="s">
        <v>438</v>
      </c>
      <c r="N189" s="3" t="s">
        <v>439</v>
      </c>
      <c r="O189" s="3" t="s">
        <v>2</v>
      </c>
      <c r="P189" s="3" t="s">
        <v>124</v>
      </c>
      <c r="Q189" s="10">
        <v>600</v>
      </c>
      <c r="R189" s="10"/>
      <c r="S189" s="11">
        <v>0</v>
      </c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 t="s">
        <v>440</v>
      </c>
      <c r="N190" s="3" t="s">
        <v>1176</v>
      </c>
      <c r="O190" s="3" t="s">
        <v>1</v>
      </c>
      <c r="P190" s="3" t="s">
        <v>124</v>
      </c>
      <c r="Q190" s="10">
        <v>1</v>
      </c>
      <c r="R190" s="10"/>
      <c r="S190" s="11">
        <v>0</v>
      </c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 t="s">
        <v>1180</v>
      </c>
      <c r="N191" s="3" t="s">
        <v>321</v>
      </c>
      <c r="O191" s="3" t="s">
        <v>1</v>
      </c>
      <c r="P191" s="3" t="s">
        <v>124</v>
      </c>
      <c r="Q191" s="10">
        <v>2</v>
      </c>
      <c r="R191" s="10"/>
      <c r="S191" s="11">
        <v>0</v>
      </c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 t="s">
        <v>444</v>
      </c>
      <c r="N192" s="3" t="s">
        <v>445</v>
      </c>
      <c r="O192" s="3" t="s">
        <v>1</v>
      </c>
      <c r="P192" s="3" t="s">
        <v>124</v>
      </c>
      <c r="Q192" s="10">
        <v>2</v>
      </c>
      <c r="R192" s="10"/>
      <c r="S192" s="11">
        <v>0</v>
      </c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 t="s">
        <v>446</v>
      </c>
      <c r="N193" s="3" t="s">
        <v>1190</v>
      </c>
      <c r="O193" s="3" t="s">
        <v>1</v>
      </c>
      <c r="P193" s="3" t="s">
        <v>124</v>
      </c>
      <c r="Q193" s="10">
        <v>50</v>
      </c>
      <c r="R193" s="10"/>
      <c r="S193" s="11">
        <v>0</v>
      </c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 t="s">
        <v>447</v>
      </c>
      <c r="N194" s="3" t="s">
        <v>448</v>
      </c>
      <c r="O194" s="3" t="s">
        <v>1</v>
      </c>
      <c r="P194" s="3" t="s">
        <v>124</v>
      </c>
      <c r="Q194" s="10">
        <v>4</v>
      </c>
      <c r="R194" s="10"/>
      <c r="S194" s="11">
        <v>0</v>
      </c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 t="s">
        <v>449</v>
      </c>
      <c r="N195" s="3" t="s">
        <v>1191</v>
      </c>
      <c r="O195" s="3" t="s">
        <v>1</v>
      </c>
      <c r="P195" s="3" t="s">
        <v>124</v>
      </c>
      <c r="Q195" s="10">
        <v>4</v>
      </c>
      <c r="R195" s="10"/>
      <c r="S195" s="11">
        <v>0</v>
      </c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 t="s">
        <v>409</v>
      </c>
      <c r="N196" s="3" t="s">
        <v>410</v>
      </c>
      <c r="O196" s="3" t="s">
        <v>1</v>
      </c>
      <c r="P196" s="3" t="s">
        <v>124</v>
      </c>
      <c r="Q196" s="10">
        <v>1</v>
      </c>
      <c r="R196" s="10"/>
      <c r="S196" s="11">
        <v>0</v>
      </c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 t="s">
        <v>1193</v>
      </c>
      <c r="N197" s="3" t="s">
        <v>1194</v>
      </c>
      <c r="O197" s="3" t="s">
        <v>1</v>
      </c>
      <c r="P197" s="3" t="s">
        <v>124</v>
      </c>
      <c r="Q197" s="10">
        <v>3</v>
      </c>
      <c r="R197" s="10"/>
      <c r="S197" s="11">
        <v>0</v>
      </c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 t="s">
        <v>1200</v>
      </c>
      <c r="N198" s="3" t="s">
        <v>1201</v>
      </c>
      <c r="O198" s="3" t="s">
        <v>0</v>
      </c>
      <c r="P198" s="3" t="s">
        <v>124</v>
      </c>
      <c r="Q198" s="10">
        <v>8</v>
      </c>
      <c r="R198" s="10"/>
      <c r="S198" s="11">
        <v>0</v>
      </c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 t="s">
        <v>1204</v>
      </c>
      <c r="N199" s="3" t="s">
        <v>1205</v>
      </c>
      <c r="O199" s="3" t="s">
        <v>0</v>
      </c>
      <c r="P199" s="3" t="s">
        <v>124</v>
      </c>
      <c r="Q199" s="10">
        <v>20</v>
      </c>
      <c r="R199" s="10"/>
      <c r="S199" s="11">
        <v>0</v>
      </c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 t="s">
        <v>1206</v>
      </c>
      <c r="N200" s="3" t="s">
        <v>1207</v>
      </c>
      <c r="O200" s="3" t="s">
        <v>2</v>
      </c>
      <c r="P200" s="3" t="s">
        <v>124</v>
      </c>
      <c r="Q200" s="10">
        <v>11</v>
      </c>
      <c r="R200" s="10"/>
      <c r="S200" s="11">
        <v>0</v>
      </c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 t="s">
        <v>149</v>
      </c>
      <c r="M201" s="3" t="s">
        <v>181</v>
      </c>
      <c r="N201" s="3" t="s">
        <v>212</v>
      </c>
      <c r="O201" s="3" t="s">
        <v>0</v>
      </c>
      <c r="P201" s="3" t="s">
        <v>124</v>
      </c>
      <c r="Q201" s="10">
        <v>300</v>
      </c>
      <c r="R201" s="10"/>
      <c r="S201" s="11">
        <v>0</v>
      </c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 t="s">
        <v>246</v>
      </c>
      <c r="N202" s="3" t="s">
        <v>247</v>
      </c>
      <c r="O202" s="3" t="s">
        <v>0</v>
      </c>
      <c r="P202" s="3" t="s">
        <v>124</v>
      </c>
      <c r="Q202" s="10">
        <v>10000</v>
      </c>
      <c r="R202" s="10"/>
      <c r="S202" s="11">
        <v>0</v>
      </c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 t="s">
        <v>248</v>
      </c>
      <c r="N203" s="3" t="s">
        <v>249</v>
      </c>
      <c r="O203" s="3" t="s">
        <v>0</v>
      </c>
      <c r="P203" s="3" t="s">
        <v>124</v>
      </c>
      <c r="Q203" s="10">
        <v>1000</v>
      </c>
      <c r="R203" s="10"/>
      <c r="S203" s="11">
        <v>0</v>
      </c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 t="s">
        <v>1169</v>
      </c>
      <c r="N204" s="3" t="s">
        <v>1170</v>
      </c>
      <c r="O204" s="3" t="s">
        <v>0</v>
      </c>
      <c r="P204" s="3" t="s">
        <v>124</v>
      </c>
      <c r="Q204" s="10">
        <v>36</v>
      </c>
      <c r="R204" s="10">
        <v>36</v>
      </c>
      <c r="S204" s="11">
        <v>1</v>
      </c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 t="s">
        <v>1171</v>
      </c>
      <c r="N205" s="3" t="s">
        <v>1172</v>
      </c>
      <c r="O205" s="3" t="s">
        <v>2</v>
      </c>
      <c r="P205" s="3" t="s">
        <v>124</v>
      </c>
      <c r="Q205" s="10">
        <v>200</v>
      </c>
      <c r="R205" s="10"/>
      <c r="S205" s="11">
        <v>0</v>
      </c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 t="s">
        <v>433</v>
      </c>
      <c r="N206" s="3" t="s">
        <v>1175</v>
      </c>
      <c r="O206" s="3" t="s">
        <v>0</v>
      </c>
      <c r="P206" s="3" t="s">
        <v>124</v>
      </c>
      <c r="Q206" s="10">
        <v>30</v>
      </c>
      <c r="R206" s="10"/>
      <c r="S206" s="11">
        <v>0</v>
      </c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 t="s">
        <v>434</v>
      </c>
      <c r="N207" s="3" t="s">
        <v>435</v>
      </c>
      <c r="O207" s="3" t="s">
        <v>0</v>
      </c>
      <c r="P207" s="3" t="s">
        <v>124</v>
      </c>
      <c r="Q207" s="10">
        <v>30</v>
      </c>
      <c r="R207" s="10"/>
      <c r="S207" s="11">
        <v>0</v>
      </c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 t="s">
        <v>436</v>
      </c>
      <c r="N208" s="3" t="s">
        <v>437</v>
      </c>
      <c r="O208" s="3" t="s">
        <v>0</v>
      </c>
      <c r="P208" s="3" t="s">
        <v>124</v>
      </c>
      <c r="Q208" s="10">
        <v>100</v>
      </c>
      <c r="R208" s="10"/>
      <c r="S208" s="11">
        <v>0</v>
      </c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 t="s">
        <v>438</v>
      </c>
      <c r="N209" s="3" t="s">
        <v>439</v>
      </c>
      <c r="O209" s="3" t="s">
        <v>2</v>
      </c>
      <c r="P209" s="3" t="s">
        <v>124</v>
      </c>
      <c r="Q209" s="10">
        <v>400</v>
      </c>
      <c r="R209" s="10"/>
      <c r="S209" s="11">
        <v>0</v>
      </c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 t="s">
        <v>440</v>
      </c>
      <c r="N210" s="3" t="s">
        <v>1176</v>
      </c>
      <c r="O210" s="3" t="s">
        <v>1</v>
      </c>
      <c r="P210" s="3" t="s">
        <v>124</v>
      </c>
      <c r="Q210" s="10">
        <v>1</v>
      </c>
      <c r="R210" s="10"/>
      <c r="S210" s="11">
        <v>0</v>
      </c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 t="s">
        <v>409</v>
      </c>
      <c r="N211" s="3" t="s">
        <v>410</v>
      </c>
      <c r="O211" s="3" t="s">
        <v>1</v>
      </c>
      <c r="P211" s="3" t="s">
        <v>124</v>
      </c>
      <c r="Q211" s="10">
        <v>2</v>
      </c>
      <c r="R211" s="10"/>
      <c r="S211" s="11">
        <v>0</v>
      </c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 t="s">
        <v>1193</v>
      </c>
      <c r="N212" s="3" t="s">
        <v>1194</v>
      </c>
      <c r="O212" s="3" t="s">
        <v>0</v>
      </c>
      <c r="P212" s="3" t="s">
        <v>124</v>
      </c>
      <c r="Q212" s="10">
        <v>9</v>
      </c>
      <c r="R212" s="10"/>
      <c r="S212" s="11">
        <v>0</v>
      </c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 t="s">
        <v>1198</v>
      </c>
      <c r="N213" s="3" t="s">
        <v>1199</v>
      </c>
      <c r="O213" s="3" t="s">
        <v>0</v>
      </c>
      <c r="P213" s="3" t="s">
        <v>124</v>
      </c>
      <c r="Q213" s="10">
        <v>10</v>
      </c>
      <c r="R213" s="10"/>
      <c r="S213" s="11">
        <v>0</v>
      </c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 t="s">
        <v>1200</v>
      </c>
      <c r="N214" s="3" t="s">
        <v>1201</v>
      </c>
      <c r="O214" s="3" t="s">
        <v>0</v>
      </c>
      <c r="P214" s="3" t="s">
        <v>124</v>
      </c>
      <c r="Q214" s="10">
        <v>10</v>
      </c>
      <c r="R214" s="10"/>
      <c r="S214" s="11">
        <v>0</v>
      </c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 t="s">
        <v>1204</v>
      </c>
      <c r="N215" s="3" t="s">
        <v>1205</v>
      </c>
      <c r="O215" s="3" t="s">
        <v>0</v>
      </c>
      <c r="P215" s="3" t="s">
        <v>124</v>
      </c>
      <c r="Q215" s="10">
        <v>40</v>
      </c>
      <c r="R215" s="10"/>
      <c r="S215" s="11">
        <v>0</v>
      </c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 t="s">
        <v>1206</v>
      </c>
      <c r="N216" s="3" t="s">
        <v>1207</v>
      </c>
      <c r="O216" s="3" t="s">
        <v>2</v>
      </c>
      <c r="P216" s="3" t="s">
        <v>124</v>
      </c>
      <c r="Q216" s="10">
        <v>2</v>
      </c>
      <c r="R216" s="10"/>
      <c r="S216" s="11">
        <v>0</v>
      </c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 t="s">
        <v>8</v>
      </c>
      <c r="M217" s="3" t="s">
        <v>181</v>
      </c>
      <c r="N217" s="3" t="s">
        <v>212</v>
      </c>
      <c r="O217" s="3" t="s">
        <v>0</v>
      </c>
      <c r="P217" s="3" t="s">
        <v>124</v>
      </c>
      <c r="Q217" s="10">
        <v>400</v>
      </c>
      <c r="R217" s="10"/>
      <c r="S217" s="11">
        <v>0</v>
      </c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 t="s">
        <v>246</v>
      </c>
      <c r="N218" s="3" t="s">
        <v>247</v>
      </c>
      <c r="O218" s="3" t="s">
        <v>0</v>
      </c>
      <c r="P218" s="3" t="s">
        <v>124</v>
      </c>
      <c r="Q218" s="10">
        <v>7000</v>
      </c>
      <c r="R218" s="10"/>
      <c r="S218" s="11">
        <v>0</v>
      </c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 t="s">
        <v>248</v>
      </c>
      <c r="N219" s="3" t="s">
        <v>249</v>
      </c>
      <c r="O219" s="3" t="s">
        <v>0</v>
      </c>
      <c r="P219" s="3" t="s">
        <v>124</v>
      </c>
      <c r="Q219" s="10">
        <v>7000</v>
      </c>
      <c r="R219" s="10"/>
      <c r="S219" s="11">
        <v>0</v>
      </c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 t="s">
        <v>270</v>
      </c>
      <c r="N220" s="3" t="s">
        <v>732</v>
      </c>
      <c r="O220" s="3" t="s">
        <v>1</v>
      </c>
      <c r="P220" s="3" t="s">
        <v>124</v>
      </c>
      <c r="Q220" s="10">
        <v>2</v>
      </c>
      <c r="R220" s="10">
        <v>2</v>
      </c>
      <c r="S220" s="11">
        <v>1</v>
      </c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 t="s">
        <v>271</v>
      </c>
      <c r="N221" s="3" t="s">
        <v>733</v>
      </c>
      <c r="O221" s="3" t="s">
        <v>1</v>
      </c>
      <c r="P221" s="3" t="s">
        <v>124</v>
      </c>
      <c r="Q221" s="10">
        <v>2</v>
      </c>
      <c r="R221" s="10">
        <v>2</v>
      </c>
      <c r="S221" s="11">
        <v>1</v>
      </c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 t="s">
        <v>272</v>
      </c>
      <c r="N222" s="3" t="s">
        <v>734</v>
      </c>
      <c r="O222" s="3" t="s">
        <v>1</v>
      </c>
      <c r="P222" s="3" t="s">
        <v>124</v>
      </c>
      <c r="Q222" s="10">
        <v>1</v>
      </c>
      <c r="R222" s="10">
        <v>1</v>
      </c>
      <c r="S222" s="11">
        <v>1</v>
      </c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 t="s">
        <v>275</v>
      </c>
      <c r="N223" s="3" t="s">
        <v>737</v>
      </c>
      <c r="O223" s="3" t="s">
        <v>1</v>
      </c>
      <c r="P223" s="3" t="s">
        <v>124</v>
      </c>
      <c r="Q223" s="10">
        <v>11</v>
      </c>
      <c r="R223" s="10">
        <v>11</v>
      </c>
      <c r="S223" s="11">
        <v>1</v>
      </c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 t="s">
        <v>277</v>
      </c>
      <c r="N224" s="3" t="s">
        <v>278</v>
      </c>
      <c r="O224" s="3" t="s">
        <v>1</v>
      </c>
      <c r="P224" s="3" t="s">
        <v>124</v>
      </c>
      <c r="Q224" s="10">
        <v>1</v>
      </c>
      <c r="R224" s="10">
        <v>1</v>
      </c>
      <c r="S224" s="11">
        <v>1</v>
      </c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 t="s">
        <v>294</v>
      </c>
      <c r="N225" s="3" t="s">
        <v>739</v>
      </c>
      <c r="O225" s="3" t="s">
        <v>1</v>
      </c>
      <c r="P225" s="3" t="s">
        <v>124</v>
      </c>
      <c r="Q225" s="10">
        <v>18</v>
      </c>
      <c r="R225" s="10">
        <v>18</v>
      </c>
      <c r="S225" s="11">
        <v>1</v>
      </c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 t="s">
        <v>297</v>
      </c>
      <c r="N226" s="3" t="s">
        <v>298</v>
      </c>
      <c r="O226" s="3" t="s">
        <v>1</v>
      </c>
      <c r="P226" s="3" t="s">
        <v>124</v>
      </c>
      <c r="Q226" s="10">
        <v>2</v>
      </c>
      <c r="R226" s="10">
        <v>2</v>
      </c>
      <c r="S226" s="11">
        <v>1</v>
      </c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 t="s">
        <v>345</v>
      </c>
      <c r="N227" s="3" t="s">
        <v>346</v>
      </c>
      <c r="O227" s="3" t="s">
        <v>1</v>
      </c>
      <c r="P227" s="3" t="s">
        <v>124</v>
      </c>
      <c r="Q227" s="10">
        <v>1</v>
      </c>
      <c r="R227" s="10">
        <v>1</v>
      </c>
      <c r="S227" s="11">
        <v>1</v>
      </c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 t="s">
        <v>411</v>
      </c>
      <c r="N228" s="3" t="s">
        <v>412</v>
      </c>
      <c r="O228" s="3" t="s">
        <v>1</v>
      </c>
      <c r="P228" s="3" t="s">
        <v>124</v>
      </c>
      <c r="Q228" s="10">
        <v>8</v>
      </c>
      <c r="R228" s="10"/>
      <c r="S228" s="11">
        <v>0</v>
      </c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 t="s">
        <v>1169</v>
      </c>
      <c r="N229" s="3" t="s">
        <v>1170</v>
      </c>
      <c r="O229" s="3" t="s">
        <v>0</v>
      </c>
      <c r="P229" s="3" t="s">
        <v>124</v>
      </c>
      <c r="Q229" s="10">
        <v>44</v>
      </c>
      <c r="R229" s="10">
        <v>44</v>
      </c>
      <c r="S229" s="11">
        <v>1</v>
      </c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 t="s">
        <v>1171</v>
      </c>
      <c r="N230" s="3" t="s">
        <v>1172</v>
      </c>
      <c r="O230" s="3" t="s">
        <v>2</v>
      </c>
      <c r="P230" s="3" t="s">
        <v>124</v>
      </c>
      <c r="Q230" s="10">
        <v>375</v>
      </c>
      <c r="R230" s="10"/>
      <c r="S230" s="11">
        <v>0</v>
      </c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 t="s">
        <v>433</v>
      </c>
      <c r="N231" s="3" t="s">
        <v>1175</v>
      </c>
      <c r="O231" s="3" t="s">
        <v>0</v>
      </c>
      <c r="P231" s="3" t="s">
        <v>124</v>
      </c>
      <c r="Q231" s="10">
        <v>142</v>
      </c>
      <c r="R231" s="10"/>
      <c r="S231" s="11">
        <v>0</v>
      </c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 t="s">
        <v>434</v>
      </c>
      <c r="N232" s="3" t="s">
        <v>435</v>
      </c>
      <c r="O232" s="3" t="s">
        <v>0</v>
      </c>
      <c r="P232" s="3" t="s">
        <v>124</v>
      </c>
      <c r="Q232" s="10">
        <v>167</v>
      </c>
      <c r="R232" s="10"/>
      <c r="S232" s="11">
        <v>0</v>
      </c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 t="s">
        <v>436</v>
      </c>
      <c r="N233" s="3" t="s">
        <v>437</v>
      </c>
      <c r="O233" s="3" t="s">
        <v>0</v>
      </c>
      <c r="P233" s="3" t="s">
        <v>124</v>
      </c>
      <c r="Q233" s="10">
        <v>300</v>
      </c>
      <c r="R233" s="10"/>
      <c r="S233" s="11">
        <v>0</v>
      </c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 t="s">
        <v>438</v>
      </c>
      <c r="N234" s="3" t="s">
        <v>439</v>
      </c>
      <c r="O234" s="3" t="s">
        <v>2</v>
      </c>
      <c r="P234" s="3" t="s">
        <v>124</v>
      </c>
      <c r="Q234" s="10">
        <v>750</v>
      </c>
      <c r="R234" s="10"/>
      <c r="S234" s="11">
        <v>0</v>
      </c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 t="s">
        <v>440</v>
      </c>
      <c r="N235" s="3" t="s">
        <v>1176</v>
      </c>
      <c r="O235" s="3" t="s">
        <v>1</v>
      </c>
      <c r="P235" s="3" t="s">
        <v>124</v>
      </c>
      <c r="Q235" s="10">
        <v>2</v>
      </c>
      <c r="R235" s="10"/>
      <c r="S235" s="11">
        <v>0</v>
      </c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 t="s">
        <v>1180</v>
      </c>
      <c r="N236" s="3" t="s">
        <v>321</v>
      </c>
      <c r="O236" s="3" t="s">
        <v>1</v>
      </c>
      <c r="P236" s="3" t="s">
        <v>124</v>
      </c>
      <c r="Q236" s="10">
        <v>1</v>
      </c>
      <c r="R236" s="10"/>
      <c r="S236" s="11">
        <v>0</v>
      </c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 t="s">
        <v>1182</v>
      </c>
      <c r="N237" s="3" t="s">
        <v>742</v>
      </c>
      <c r="O237" s="3" t="s">
        <v>0</v>
      </c>
      <c r="P237" s="3" t="s">
        <v>124</v>
      </c>
      <c r="Q237" s="10">
        <v>16</v>
      </c>
      <c r="R237" s="10"/>
      <c r="S237" s="11">
        <v>0</v>
      </c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 t="s">
        <v>245</v>
      </c>
      <c r="N238" s="3" t="s">
        <v>743</v>
      </c>
      <c r="O238" s="3" t="s">
        <v>0</v>
      </c>
      <c r="P238" s="3" t="s">
        <v>124</v>
      </c>
      <c r="Q238" s="10">
        <v>2</v>
      </c>
      <c r="R238" s="10"/>
      <c r="S238" s="11">
        <v>0</v>
      </c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 t="s">
        <v>244</v>
      </c>
      <c r="N239" s="3" t="s">
        <v>744</v>
      </c>
      <c r="O239" s="3" t="s">
        <v>0</v>
      </c>
      <c r="P239" s="3" t="s">
        <v>124</v>
      </c>
      <c r="Q239" s="10">
        <v>2</v>
      </c>
      <c r="R239" s="10"/>
      <c r="S239" s="11">
        <v>0</v>
      </c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 t="s">
        <v>391</v>
      </c>
      <c r="N240" s="3" t="s">
        <v>745</v>
      </c>
      <c r="O240" s="3" t="s">
        <v>0</v>
      </c>
      <c r="P240" s="3" t="s">
        <v>124</v>
      </c>
      <c r="Q240" s="10">
        <v>2</v>
      </c>
      <c r="R240" s="10"/>
      <c r="S240" s="11">
        <v>0</v>
      </c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 t="s">
        <v>1186</v>
      </c>
      <c r="N241" s="3" t="s">
        <v>748</v>
      </c>
      <c r="O241" s="3" t="s">
        <v>0</v>
      </c>
      <c r="P241" s="3" t="s">
        <v>124</v>
      </c>
      <c r="Q241" s="10">
        <v>1</v>
      </c>
      <c r="R241" s="10"/>
      <c r="S241" s="11">
        <v>0</v>
      </c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 t="s">
        <v>1187</v>
      </c>
      <c r="N242" s="3" t="s">
        <v>749</v>
      </c>
      <c r="O242" s="3" t="s">
        <v>0</v>
      </c>
      <c r="P242" s="3" t="s">
        <v>124</v>
      </c>
      <c r="Q242" s="10">
        <v>2</v>
      </c>
      <c r="R242" s="10"/>
      <c r="S242" s="11">
        <v>0</v>
      </c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 t="s">
        <v>243</v>
      </c>
      <c r="N243" s="3" t="s">
        <v>750</v>
      </c>
      <c r="O243" s="3" t="s">
        <v>0</v>
      </c>
      <c r="P243" s="3" t="s">
        <v>124</v>
      </c>
      <c r="Q243" s="10">
        <v>4</v>
      </c>
      <c r="R243" s="10"/>
      <c r="S243" s="11">
        <v>0</v>
      </c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 t="s">
        <v>1188</v>
      </c>
      <c r="N244" s="3" t="s">
        <v>751</v>
      </c>
      <c r="O244" s="3" t="s">
        <v>0</v>
      </c>
      <c r="P244" s="3" t="s">
        <v>124</v>
      </c>
      <c r="Q244" s="10">
        <v>2</v>
      </c>
      <c r="R244" s="10"/>
      <c r="S244" s="11">
        <v>0</v>
      </c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 t="s">
        <v>1189</v>
      </c>
      <c r="N245" s="3" t="s">
        <v>752</v>
      </c>
      <c r="O245" s="3" t="s">
        <v>0</v>
      </c>
      <c r="P245" s="3" t="s">
        <v>124</v>
      </c>
      <c r="Q245" s="10">
        <v>1</v>
      </c>
      <c r="R245" s="10"/>
      <c r="S245" s="11">
        <v>0</v>
      </c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 t="s">
        <v>240</v>
      </c>
      <c r="N246" s="3" t="s">
        <v>753</v>
      </c>
      <c r="O246" s="3" t="s">
        <v>0</v>
      </c>
      <c r="P246" s="3" t="s">
        <v>124</v>
      </c>
      <c r="Q246" s="10">
        <v>1</v>
      </c>
      <c r="R246" s="10">
        <v>1</v>
      </c>
      <c r="S246" s="11">
        <v>1</v>
      </c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 t="s">
        <v>1193</v>
      </c>
      <c r="N247" s="3" t="s">
        <v>1194</v>
      </c>
      <c r="O247" s="3" t="s">
        <v>0</v>
      </c>
      <c r="P247" s="3" t="s">
        <v>124</v>
      </c>
      <c r="Q247" s="10">
        <v>38</v>
      </c>
      <c r="R247" s="10"/>
      <c r="S247" s="11">
        <v>0</v>
      </c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 t="s">
        <v>1</v>
      </c>
      <c r="P248" s="3" t="s">
        <v>124</v>
      </c>
      <c r="Q248" s="10">
        <v>4</v>
      </c>
      <c r="R248" s="10"/>
      <c r="S248" s="11">
        <v>0</v>
      </c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 t="s">
        <v>1198</v>
      </c>
      <c r="N249" s="3" t="s">
        <v>1199</v>
      </c>
      <c r="O249" s="3" t="s">
        <v>0</v>
      </c>
      <c r="P249" s="3" t="s">
        <v>124</v>
      </c>
      <c r="Q249" s="10">
        <v>22</v>
      </c>
      <c r="R249" s="10"/>
      <c r="S249" s="11">
        <v>0</v>
      </c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 t="s">
        <v>1200</v>
      </c>
      <c r="N250" s="3" t="s">
        <v>1201</v>
      </c>
      <c r="O250" s="3" t="s">
        <v>0</v>
      </c>
      <c r="P250" s="3" t="s">
        <v>124</v>
      </c>
      <c r="Q250" s="10">
        <v>32</v>
      </c>
      <c r="R250" s="10"/>
      <c r="S250" s="11">
        <v>0</v>
      </c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 t="s">
        <v>1204</v>
      </c>
      <c r="N251" s="3" t="s">
        <v>1205</v>
      </c>
      <c r="O251" s="3" t="s">
        <v>0</v>
      </c>
      <c r="P251" s="3" t="s">
        <v>124</v>
      </c>
      <c r="Q251" s="10">
        <v>140</v>
      </c>
      <c r="R251" s="10"/>
      <c r="S251" s="11">
        <v>0</v>
      </c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 t="s">
        <v>1206</v>
      </c>
      <c r="N252" s="3" t="s">
        <v>1207</v>
      </c>
      <c r="O252" s="3" t="s">
        <v>2</v>
      </c>
      <c r="P252" s="3" t="s">
        <v>124</v>
      </c>
      <c r="Q252" s="10">
        <v>16</v>
      </c>
      <c r="R252" s="10"/>
      <c r="S252" s="11">
        <v>0</v>
      </c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 t="s">
        <v>1196</v>
      </c>
      <c r="N253" s="3" t="s">
        <v>1197</v>
      </c>
      <c r="O253" s="3" t="s">
        <v>0</v>
      </c>
      <c r="P253" s="3" t="s">
        <v>124</v>
      </c>
      <c r="Q253" s="10">
        <v>4</v>
      </c>
      <c r="R253" s="10"/>
      <c r="S253" s="11">
        <v>0</v>
      </c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 t="s">
        <v>9</v>
      </c>
      <c r="M254" s="3" t="s">
        <v>181</v>
      </c>
      <c r="N254" s="3" t="s">
        <v>212</v>
      </c>
      <c r="O254" s="3" t="s">
        <v>0</v>
      </c>
      <c r="P254" s="3" t="s">
        <v>124</v>
      </c>
      <c r="Q254" s="10">
        <v>500</v>
      </c>
      <c r="R254" s="10"/>
      <c r="S254" s="11">
        <v>0</v>
      </c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 t="s">
        <v>246</v>
      </c>
      <c r="N255" s="3" t="s">
        <v>247</v>
      </c>
      <c r="O255" s="3" t="s">
        <v>0</v>
      </c>
      <c r="P255" s="3" t="s">
        <v>124</v>
      </c>
      <c r="Q255" s="10">
        <v>15000</v>
      </c>
      <c r="R255" s="10"/>
      <c r="S255" s="11">
        <v>0</v>
      </c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 t="s">
        <v>248</v>
      </c>
      <c r="N256" s="3" t="s">
        <v>249</v>
      </c>
      <c r="O256" s="3" t="s">
        <v>0</v>
      </c>
      <c r="P256" s="3" t="s">
        <v>124</v>
      </c>
      <c r="Q256" s="10">
        <v>15000</v>
      </c>
      <c r="R256" s="10"/>
      <c r="S256" s="11">
        <v>0</v>
      </c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 t="s">
        <v>270</v>
      </c>
      <c r="N257" s="3" t="s">
        <v>732</v>
      </c>
      <c r="O257" s="3" t="s">
        <v>1</v>
      </c>
      <c r="P257" s="3" t="s">
        <v>124</v>
      </c>
      <c r="Q257" s="10">
        <v>17</v>
      </c>
      <c r="R257" s="10">
        <v>17</v>
      </c>
      <c r="S257" s="11">
        <v>1</v>
      </c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 t="s">
        <v>271</v>
      </c>
      <c r="N258" s="3" t="s">
        <v>733</v>
      </c>
      <c r="O258" s="3" t="s">
        <v>1</v>
      </c>
      <c r="P258" s="3" t="s">
        <v>124</v>
      </c>
      <c r="Q258" s="10">
        <v>2</v>
      </c>
      <c r="R258" s="10">
        <v>2</v>
      </c>
      <c r="S258" s="11">
        <v>1</v>
      </c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 t="s">
        <v>274</v>
      </c>
      <c r="N259" s="3" t="s">
        <v>736</v>
      </c>
      <c r="O259" s="3" t="s">
        <v>1</v>
      </c>
      <c r="P259" s="3" t="s">
        <v>124</v>
      </c>
      <c r="Q259" s="10">
        <v>61</v>
      </c>
      <c r="R259" s="10">
        <v>61</v>
      </c>
      <c r="S259" s="11">
        <v>1</v>
      </c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 t="s">
        <v>277</v>
      </c>
      <c r="N260" s="3" t="s">
        <v>278</v>
      </c>
      <c r="O260" s="3" t="s">
        <v>1</v>
      </c>
      <c r="P260" s="3" t="s">
        <v>124</v>
      </c>
      <c r="Q260" s="10">
        <v>70</v>
      </c>
      <c r="R260" s="10">
        <v>70</v>
      </c>
      <c r="S260" s="11">
        <v>1</v>
      </c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 t="s">
        <v>294</v>
      </c>
      <c r="N261" s="3" t="s">
        <v>739</v>
      </c>
      <c r="O261" s="3" t="s">
        <v>1</v>
      </c>
      <c r="P261" s="3" t="s">
        <v>124</v>
      </c>
      <c r="Q261" s="10">
        <v>6</v>
      </c>
      <c r="R261" s="10">
        <v>6</v>
      </c>
      <c r="S261" s="11">
        <v>1</v>
      </c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 t="s">
        <v>295</v>
      </c>
      <c r="N262" s="3" t="s">
        <v>740</v>
      </c>
      <c r="O262" s="3" t="s">
        <v>1</v>
      </c>
      <c r="P262" s="3" t="s">
        <v>124</v>
      </c>
      <c r="Q262" s="10">
        <v>5</v>
      </c>
      <c r="R262" s="10">
        <v>5</v>
      </c>
      <c r="S262" s="11">
        <v>1</v>
      </c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 t="s">
        <v>296</v>
      </c>
      <c r="N263" s="3" t="s">
        <v>741</v>
      </c>
      <c r="O263" s="3" t="s">
        <v>1</v>
      </c>
      <c r="P263" s="3" t="s">
        <v>124</v>
      </c>
      <c r="Q263" s="10">
        <v>126</v>
      </c>
      <c r="R263" s="10">
        <v>126</v>
      </c>
      <c r="S263" s="11">
        <v>1</v>
      </c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 t="s">
        <v>297</v>
      </c>
      <c r="N264" s="3" t="s">
        <v>298</v>
      </c>
      <c r="O264" s="3" t="s">
        <v>1</v>
      </c>
      <c r="P264" s="3" t="s">
        <v>124</v>
      </c>
      <c r="Q264" s="10">
        <v>4</v>
      </c>
      <c r="R264" s="10"/>
      <c r="S264" s="11">
        <v>0</v>
      </c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 t="s">
        <v>299</v>
      </c>
      <c r="N265" s="3" t="s">
        <v>300</v>
      </c>
      <c r="O265" s="3" t="s">
        <v>1</v>
      </c>
      <c r="P265" s="3" t="s">
        <v>124</v>
      </c>
      <c r="Q265" s="10">
        <v>4</v>
      </c>
      <c r="R265" s="10"/>
      <c r="S265" s="11">
        <v>0</v>
      </c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 t="s">
        <v>345</v>
      </c>
      <c r="N266" s="3" t="s">
        <v>346</v>
      </c>
      <c r="O266" s="3" t="s">
        <v>1</v>
      </c>
      <c r="P266" s="3" t="s">
        <v>124</v>
      </c>
      <c r="Q266" s="10">
        <v>14</v>
      </c>
      <c r="R266" s="10">
        <v>11</v>
      </c>
      <c r="S266" s="11">
        <v>0.7857142857142857</v>
      </c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 t="s">
        <v>726</v>
      </c>
      <c r="N267" s="3" t="s">
        <v>376</v>
      </c>
      <c r="O267" s="3" t="s">
        <v>1</v>
      </c>
      <c r="P267" s="3" t="s">
        <v>124</v>
      </c>
      <c r="Q267" s="10">
        <v>1</v>
      </c>
      <c r="R267" s="10"/>
      <c r="S267" s="11">
        <v>0</v>
      </c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 t="s">
        <v>384</v>
      </c>
      <c r="N268" s="3" t="s">
        <v>385</v>
      </c>
      <c r="O268" s="3" t="s">
        <v>1</v>
      </c>
      <c r="P268" s="3" t="s">
        <v>124</v>
      </c>
      <c r="Q268" s="10">
        <v>2</v>
      </c>
      <c r="R268" s="10"/>
      <c r="S268" s="11">
        <v>0</v>
      </c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 t="s">
        <v>406</v>
      </c>
      <c r="N269" s="3" t="s">
        <v>407</v>
      </c>
      <c r="O269" s="3" t="s">
        <v>1</v>
      </c>
      <c r="P269" s="3" t="s">
        <v>124</v>
      </c>
      <c r="Q269" s="10">
        <v>1</v>
      </c>
      <c r="R269" s="10"/>
      <c r="S269" s="11">
        <v>0</v>
      </c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 t="s">
        <v>411</v>
      </c>
      <c r="N270" s="3" t="s">
        <v>412</v>
      </c>
      <c r="O270" s="3" t="s">
        <v>1</v>
      </c>
      <c r="P270" s="3" t="s">
        <v>124</v>
      </c>
      <c r="Q270" s="10">
        <v>10</v>
      </c>
      <c r="R270" s="10"/>
      <c r="S270" s="11">
        <v>0</v>
      </c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 t="s">
        <v>1169</v>
      </c>
      <c r="N271" s="3" t="s">
        <v>1170</v>
      </c>
      <c r="O271" s="3" t="s">
        <v>0</v>
      </c>
      <c r="P271" s="3" t="s">
        <v>124</v>
      </c>
      <c r="Q271" s="10">
        <v>60</v>
      </c>
      <c r="R271" s="10"/>
      <c r="S271" s="11">
        <v>0</v>
      </c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 t="s">
        <v>1171</v>
      </c>
      <c r="N272" s="3" t="s">
        <v>1172</v>
      </c>
      <c r="O272" s="3" t="s">
        <v>2</v>
      </c>
      <c r="P272" s="3" t="s">
        <v>124</v>
      </c>
      <c r="Q272" s="10">
        <v>845</v>
      </c>
      <c r="R272" s="10"/>
      <c r="S272" s="11">
        <v>0</v>
      </c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 t="s">
        <v>1173</v>
      </c>
      <c r="N273" s="3" t="s">
        <v>1174</v>
      </c>
      <c r="O273" s="3" t="s">
        <v>2</v>
      </c>
      <c r="P273" s="3" t="s">
        <v>124</v>
      </c>
      <c r="Q273" s="10">
        <v>66</v>
      </c>
      <c r="R273" s="10"/>
      <c r="S273" s="11">
        <v>0</v>
      </c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 t="s">
        <v>433</v>
      </c>
      <c r="N274" s="3" t="s">
        <v>1175</v>
      </c>
      <c r="O274" s="3" t="s">
        <v>0</v>
      </c>
      <c r="P274" s="3" t="s">
        <v>124</v>
      </c>
      <c r="Q274" s="10">
        <v>87</v>
      </c>
      <c r="R274" s="10"/>
      <c r="S274" s="11">
        <v>0</v>
      </c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 t="s">
        <v>434</v>
      </c>
      <c r="N275" s="3" t="s">
        <v>435</v>
      </c>
      <c r="O275" s="3" t="s">
        <v>0</v>
      </c>
      <c r="P275" s="3" t="s">
        <v>124</v>
      </c>
      <c r="Q275" s="10">
        <v>83</v>
      </c>
      <c r="R275" s="10"/>
      <c r="S275" s="11">
        <v>0</v>
      </c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 t="s">
        <v>436</v>
      </c>
      <c r="N276" s="3" t="s">
        <v>437</v>
      </c>
      <c r="O276" s="3" t="s">
        <v>0</v>
      </c>
      <c r="P276" s="3" t="s">
        <v>124</v>
      </c>
      <c r="Q276" s="10">
        <v>129</v>
      </c>
      <c r="R276" s="10"/>
      <c r="S276" s="11">
        <v>0</v>
      </c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 t="s">
        <v>438</v>
      </c>
      <c r="N277" s="3" t="s">
        <v>439</v>
      </c>
      <c r="O277" s="3" t="s">
        <v>2</v>
      </c>
      <c r="P277" s="3" t="s">
        <v>124</v>
      </c>
      <c r="Q277" s="10">
        <v>1250</v>
      </c>
      <c r="R277" s="10"/>
      <c r="S277" s="11">
        <v>0</v>
      </c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 t="s">
        <v>440</v>
      </c>
      <c r="N278" s="3" t="s">
        <v>1176</v>
      </c>
      <c r="O278" s="3" t="s">
        <v>1</v>
      </c>
      <c r="P278" s="3" t="s">
        <v>124</v>
      </c>
      <c r="Q278" s="10">
        <v>3</v>
      </c>
      <c r="R278" s="10"/>
      <c r="S278" s="11">
        <v>0</v>
      </c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 t="s">
        <v>1180</v>
      </c>
      <c r="N279" s="3" t="s">
        <v>321</v>
      </c>
      <c r="O279" s="3" t="s">
        <v>1</v>
      </c>
      <c r="P279" s="3" t="s">
        <v>124</v>
      </c>
      <c r="Q279" s="10">
        <v>7</v>
      </c>
      <c r="R279" s="10"/>
      <c r="S279" s="11">
        <v>0</v>
      </c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 t="s">
        <v>444</v>
      </c>
      <c r="N280" s="3" t="s">
        <v>445</v>
      </c>
      <c r="O280" s="3" t="s">
        <v>1</v>
      </c>
      <c r="P280" s="3" t="s">
        <v>124</v>
      </c>
      <c r="Q280" s="10">
        <v>2</v>
      </c>
      <c r="R280" s="10"/>
      <c r="S280" s="11">
        <v>0</v>
      </c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 t="s">
        <v>446</v>
      </c>
      <c r="N281" s="3" t="s">
        <v>1190</v>
      </c>
      <c r="O281" s="3" t="s">
        <v>1</v>
      </c>
      <c r="P281" s="3" t="s">
        <v>124</v>
      </c>
      <c r="Q281" s="10">
        <v>150</v>
      </c>
      <c r="R281" s="10"/>
      <c r="S281" s="11">
        <v>0</v>
      </c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 t="s">
        <v>447</v>
      </c>
      <c r="N282" s="3" t="s">
        <v>448</v>
      </c>
      <c r="O282" s="3" t="s">
        <v>1</v>
      </c>
      <c r="P282" s="3" t="s">
        <v>124</v>
      </c>
      <c r="Q282" s="10">
        <v>4</v>
      </c>
      <c r="R282" s="10"/>
      <c r="S282" s="11">
        <v>0</v>
      </c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 t="s">
        <v>449</v>
      </c>
      <c r="N283" s="3" t="s">
        <v>1191</v>
      </c>
      <c r="O283" s="3" t="s">
        <v>1</v>
      </c>
      <c r="P283" s="3" t="s">
        <v>124</v>
      </c>
      <c r="Q283" s="10">
        <v>7</v>
      </c>
      <c r="R283" s="10"/>
      <c r="S283" s="11">
        <v>0</v>
      </c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 t="s">
        <v>409</v>
      </c>
      <c r="N284" s="3" t="s">
        <v>410</v>
      </c>
      <c r="O284" s="3" t="s">
        <v>1</v>
      </c>
      <c r="P284" s="3" t="s">
        <v>124</v>
      </c>
      <c r="Q284" s="10">
        <v>5</v>
      </c>
      <c r="R284" s="10"/>
      <c r="S284" s="11">
        <v>0</v>
      </c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 t="s">
        <v>1193</v>
      </c>
      <c r="N285" s="3" t="s">
        <v>1194</v>
      </c>
      <c r="O285" s="3" t="s">
        <v>1</v>
      </c>
      <c r="P285" s="3" t="s">
        <v>124</v>
      </c>
      <c r="Q285" s="10">
        <v>4</v>
      </c>
      <c r="R285" s="10"/>
      <c r="S285" s="11">
        <v>0</v>
      </c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 t="s">
        <v>1200</v>
      </c>
      <c r="N286" s="3" t="s">
        <v>1201</v>
      </c>
      <c r="O286" s="3" t="s">
        <v>0</v>
      </c>
      <c r="P286" s="3" t="s">
        <v>124</v>
      </c>
      <c r="Q286" s="10">
        <v>15</v>
      </c>
      <c r="R286" s="10"/>
      <c r="S286" s="11">
        <v>0</v>
      </c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 t="s">
        <v>1202</v>
      </c>
      <c r="N287" s="3" t="s">
        <v>1203</v>
      </c>
      <c r="O287" s="3" t="s">
        <v>0</v>
      </c>
      <c r="P287" s="3" t="s">
        <v>124</v>
      </c>
      <c r="Q287" s="10">
        <v>4</v>
      </c>
      <c r="R287" s="10"/>
      <c r="S287" s="11">
        <v>0</v>
      </c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 t="s">
        <v>1204</v>
      </c>
      <c r="N288" s="3" t="s">
        <v>1205</v>
      </c>
      <c r="O288" s="3" t="s">
        <v>0</v>
      </c>
      <c r="P288" s="3" t="s">
        <v>124</v>
      </c>
      <c r="Q288" s="10">
        <v>150</v>
      </c>
      <c r="R288" s="10"/>
      <c r="S288" s="11">
        <v>0</v>
      </c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 t="s">
        <v>1206</v>
      </c>
      <c r="N289" s="3" t="s">
        <v>1207</v>
      </c>
      <c r="O289" s="3" t="s">
        <v>2</v>
      </c>
      <c r="P289" s="3" t="s">
        <v>124</v>
      </c>
      <c r="Q289" s="10">
        <v>15</v>
      </c>
      <c r="R289" s="10"/>
      <c r="S289" s="11">
        <v>0</v>
      </c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 t="s">
        <v>10</v>
      </c>
      <c r="M290" s="3" t="s">
        <v>181</v>
      </c>
      <c r="N290" s="3" t="s">
        <v>212</v>
      </c>
      <c r="O290" s="3" t="s">
        <v>0</v>
      </c>
      <c r="P290" s="3" t="s">
        <v>124</v>
      </c>
      <c r="Q290" s="10">
        <v>10000</v>
      </c>
      <c r="R290" s="10"/>
      <c r="S290" s="11">
        <v>0</v>
      </c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 t="s">
        <v>246</v>
      </c>
      <c r="N291" s="3" t="s">
        <v>247</v>
      </c>
      <c r="O291" s="3" t="s">
        <v>0</v>
      </c>
      <c r="P291" s="3" t="s">
        <v>124</v>
      </c>
      <c r="Q291" s="10">
        <v>15000</v>
      </c>
      <c r="R291" s="10">
        <v>15000</v>
      </c>
      <c r="S291" s="11">
        <v>1</v>
      </c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 t="s">
        <v>248</v>
      </c>
      <c r="N292" s="3" t="s">
        <v>249</v>
      </c>
      <c r="O292" s="3" t="s">
        <v>0</v>
      </c>
      <c r="P292" s="3" t="s">
        <v>124</v>
      </c>
      <c r="Q292" s="10">
        <v>14000</v>
      </c>
      <c r="R292" s="10">
        <v>14000</v>
      </c>
      <c r="S292" s="11">
        <v>1</v>
      </c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 t="s">
        <v>270</v>
      </c>
      <c r="N293" s="3" t="s">
        <v>732</v>
      </c>
      <c r="O293" s="3" t="s">
        <v>1</v>
      </c>
      <c r="P293" s="3" t="s">
        <v>124</v>
      </c>
      <c r="Q293" s="10">
        <v>21</v>
      </c>
      <c r="R293" s="10">
        <v>21</v>
      </c>
      <c r="S293" s="11">
        <v>1</v>
      </c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 t="s">
        <v>271</v>
      </c>
      <c r="N294" s="3" t="s">
        <v>733</v>
      </c>
      <c r="O294" s="3" t="s">
        <v>1</v>
      </c>
      <c r="P294" s="3" t="s">
        <v>124</v>
      </c>
      <c r="Q294" s="10">
        <v>16</v>
      </c>
      <c r="R294" s="10">
        <v>16</v>
      </c>
      <c r="S294" s="11">
        <v>1</v>
      </c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 t="s">
        <v>272</v>
      </c>
      <c r="N295" s="3" t="s">
        <v>734</v>
      </c>
      <c r="O295" s="3" t="s">
        <v>1</v>
      </c>
      <c r="P295" s="3" t="s">
        <v>124</v>
      </c>
      <c r="Q295" s="10">
        <v>1</v>
      </c>
      <c r="R295" s="10">
        <v>1</v>
      </c>
      <c r="S295" s="11">
        <v>1</v>
      </c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 t="s">
        <v>274</v>
      </c>
      <c r="N296" s="3" t="s">
        <v>736</v>
      </c>
      <c r="O296" s="3" t="s">
        <v>1</v>
      </c>
      <c r="P296" s="3" t="s">
        <v>124</v>
      </c>
      <c r="Q296" s="10">
        <v>16</v>
      </c>
      <c r="R296" s="10">
        <v>16</v>
      </c>
      <c r="S296" s="11">
        <v>1</v>
      </c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 t="s">
        <v>275</v>
      </c>
      <c r="N297" s="3" t="s">
        <v>737</v>
      </c>
      <c r="O297" s="3" t="s">
        <v>1</v>
      </c>
      <c r="P297" s="3" t="s">
        <v>124</v>
      </c>
      <c r="Q297" s="10">
        <v>3</v>
      </c>
      <c r="R297" s="10">
        <v>3</v>
      </c>
      <c r="S297" s="11">
        <v>1</v>
      </c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 t="s">
        <v>276</v>
      </c>
      <c r="N298" s="3" t="s">
        <v>738</v>
      </c>
      <c r="O298" s="3" t="s">
        <v>1</v>
      </c>
      <c r="P298" s="3" t="s">
        <v>124</v>
      </c>
      <c r="Q298" s="10">
        <v>1</v>
      </c>
      <c r="R298" s="10">
        <v>1</v>
      </c>
      <c r="S298" s="11">
        <v>1</v>
      </c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 t="s">
        <v>277</v>
      </c>
      <c r="N299" s="3" t="s">
        <v>278</v>
      </c>
      <c r="O299" s="3" t="s">
        <v>1</v>
      </c>
      <c r="P299" s="3" t="s">
        <v>124</v>
      </c>
      <c r="Q299" s="10">
        <v>19</v>
      </c>
      <c r="R299" s="10">
        <v>19</v>
      </c>
      <c r="S299" s="11">
        <v>1</v>
      </c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 t="s">
        <v>294</v>
      </c>
      <c r="N300" s="3" t="s">
        <v>739</v>
      </c>
      <c r="O300" s="3" t="s">
        <v>1</v>
      </c>
      <c r="P300" s="3" t="s">
        <v>124</v>
      </c>
      <c r="Q300" s="10">
        <v>3</v>
      </c>
      <c r="R300" s="10">
        <v>3</v>
      </c>
      <c r="S300" s="11">
        <v>1</v>
      </c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 t="s">
        <v>299</v>
      </c>
      <c r="N301" s="3" t="s">
        <v>300</v>
      </c>
      <c r="O301" s="3" t="s">
        <v>1</v>
      </c>
      <c r="P301" s="3" t="s">
        <v>124</v>
      </c>
      <c r="Q301" s="10">
        <v>1</v>
      </c>
      <c r="R301" s="10">
        <v>1</v>
      </c>
      <c r="S301" s="11">
        <v>1</v>
      </c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 t="s">
        <v>345</v>
      </c>
      <c r="N302" s="3" t="s">
        <v>346</v>
      </c>
      <c r="O302" s="3" t="s">
        <v>1</v>
      </c>
      <c r="P302" s="3" t="s">
        <v>124</v>
      </c>
      <c r="Q302" s="10">
        <v>2</v>
      </c>
      <c r="R302" s="10">
        <v>2</v>
      </c>
      <c r="S302" s="11">
        <v>1</v>
      </c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 t="s">
        <v>1169</v>
      </c>
      <c r="N303" s="3" t="s">
        <v>1170</v>
      </c>
      <c r="O303" s="3" t="s">
        <v>0</v>
      </c>
      <c r="P303" s="3" t="s">
        <v>124</v>
      </c>
      <c r="Q303" s="10">
        <v>28</v>
      </c>
      <c r="R303" s="10"/>
      <c r="S303" s="11">
        <v>0</v>
      </c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 t="s">
        <v>1171</v>
      </c>
      <c r="N304" s="3" t="s">
        <v>1172</v>
      </c>
      <c r="O304" s="3" t="s">
        <v>2</v>
      </c>
      <c r="P304" s="3" t="s">
        <v>124</v>
      </c>
      <c r="Q304" s="10">
        <v>350</v>
      </c>
      <c r="R304" s="10"/>
      <c r="S304" s="11">
        <v>0</v>
      </c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 t="s">
        <v>433</v>
      </c>
      <c r="N305" s="3" t="s">
        <v>1175</v>
      </c>
      <c r="O305" s="3" t="s">
        <v>0</v>
      </c>
      <c r="P305" s="3" t="s">
        <v>124</v>
      </c>
      <c r="Q305" s="10">
        <v>40</v>
      </c>
      <c r="R305" s="10"/>
      <c r="S305" s="11">
        <v>0</v>
      </c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 t="s">
        <v>434</v>
      </c>
      <c r="N306" s="3" t="s">
        <v>435</v>
      </c>
      <c r="O306" s="3" t="s">
        <v>0</v>
      </c>
      <c r="P306" s="3" t="s">
        <v>124</v>
      </c>
      <c r="Q306" s="10">
        <v>60</v>
      </c>
      <c r="R306" s="10"/>
      <c r="S306" s="11">
        <v>0</v>
      </c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 t="s">
        <v>436</v>
      </c>
      <c r="N307" s="3" t="s">
        <v>437</v>
      </c>
      <c r="O307" s="3" t="s">
        <v>0</v>
      </c>
      <c r="P307" s="3" t="s">
        <v>124</v>
      </c>
      <c r="Q307" s="10">
        <v>160</v>
      </c>
      <c r="R307" s="10"/>
      <c r="S307" s="11">
        <v>0</v>
      </c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 t="s">
        <v>438</v>
      </c>
      <c r="N308" s="3" t="s">
        <v>439</v>
      </c>
      <c r="O308" s="3" t="s">
        <v>2</v>
      </c>
      <c r="P308" s="3" t="s">
        <v>124</v>
      </c>
      <c r="Q308" s="10">
        <v>700</v>
      </c>
      <c r="R308" s="10"/>
      <c r="S308" s="11">
        <v>0</v>
      </c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 t="s">
        <v>440</v>
      </c>
      <c r="N309" s="3" t="s">
        <v>1176</v>
      </c>
      <c r="O309" s="3" t="s">
        <v>1</v>
      </c>
      <c r="P309" s="3" t="s">
        <v>124</v>
      </c>
      <c r="Q309" s="10">
        <v>1</v>
      </c>
      <c r="R309" s="10"/>
      <c r="S309" s="11">
        <v>0</v>
      </c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 t="s">
        <v>391</v>
      </c>
      <c r="N310" s="3" t="s">
        <v>745</v>
      </c>
      <c r="O310" s="3" t="s">
        <v>0</v>
      </c>
      <c r="P310" s="3" t="s">
        <v>124</v>
      </c>
      <c r="Q310" s="10">
        <v>2</v>
      </c>
      <c r="R310" s="10"/>
      <c r="S310" s="11">
        <v>0</v>
      </c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 t="s">
        <v>1184</v>
      </c>
      <c r="N311" s="3" t="s">
        <v>746</v>
      </c>
      <c r="O311" s="3" t="s">
        <v>0</v>
      </c>
      <c r="P311" s="3" t="s">
        <v>124</v>
      </c>
      <c r="Q311" s="10">
        <v>2</v>
      </c>
      <c r="R311" s="10"/>
      <c r="S311" s="11">
        <v>0</v>
      </c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 t="s">
        <v>392</v>
      </c>
      <c r="N312" s="3" t="s">
        <v>393</v>
      </c>
      <c r="O312" s="3" t="s">
        <v>0</v>
      </c>
      <c r="P312" s="3" t="s">
        <v>124</v>
      </c>
      <c r="Q312" s="10">
        <v>1</v>
      </c>
      <c r="R312" s="10"/>
      <c r="S312" s="11">
        <v>0</v>
      </c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 t="s">
        <v>243</v>
      </c>
      <c r="N313" s="3" t="s">
        <v>750</v>
      </c>
      <c r="O313" s="3" t="s">
        <v>0</v>
      </c>
      <c r="P313" s="3" t="s">
        <v>124</v>
      </c>
      <c r="Q313" s="10">
        <v>6</v>
      </c>
      <c r="R313" s="10"/>
      <c r="S313" s="11">
        <v>0</v>
      </c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 t="s">
        <v>444</v>
      </c>
      <c r="N314" s="3" t="s">
        <v>445</v>
      </c>
      <c r="O314" s="3" t="s">
        <v>1</v>
      </c>
      <c r="P314" s="3" t="s">
        <v>124</v>
      </c>
      <c r="Q314" s="10">
        <v>1</v>
      </c>
      <c r="R314" s="10"/>
      <c r="S314" s="11">
        <v>0</v>
      </c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 t="s">
        <v>446</v>
      </c>
      <c r="N315" s="3" t="s">
        <v>1190</v>
      </c>
      <c r="O315" s="3" t="s">
        <v>1</v>
      </c>
      <c r="P315" s="3" t="s">
        <v>124</v>
      </c>
      <c r="Q315" s="10">
        <v>50</v>
      </c>
      <c r="R315" s="10"/>
      <c r="S315" s="11">
        <v>0</v>
      </c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 t="s">
        <v>447</v>
      </c>
      <c r="N316" s="3" t="s">
        <v>448</v>
      </c>
      <c r="O316" s="3" t="s">
        <v>1</v>
      </c>
      <c r="P316" s="3" t="s">
        <v>124</v>
      </c>
      <c r="Q316" s="10">
        <v>3</v>
      </c>
      <c r="R316" s="10"/>
      <c r="S316" s="11">
        <v>0</v>
      </c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 t="s">
        <v>449</v>
      </c>
      <c r="N317" s="3" t="s">
        <v>1191</v>
      </c>
      <c r="O317" s="3" t="s">
        <v>1</v>
      </c>
      <c r="P317" s="3" t="s">
        <v>124</v>
      </c>
      <c r="Q317" s="10">
        <v>4</v>
      </c>
      <c r="R317" s="10"/>
      <c r="S317" s="11">
        <v>0</v>
      </c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 t="s">
        <v>1193</v>
      </c>
      <c r="N318" s="3" t="s">
        <v>1194</v>
      </c>
      <c r="O318" s="3" t="s">
        <v>0</v>
      </c>
      <c r="P318" s="3" t="s">
        <v>124</v>
      </c>
      <c r="Q318" s="10">
        <v>5</v>
      </c>
      <c r="R318" s="10"/>
      <c r="S318" s="11">
        <v>0</v>
      </c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 t="s">
        <v>1</v>
      </c>
      <c r="P319" s="3" t="s">
        <v>124</v>
      </c>
      <c r="Q319" s="10">
        <v>12</v>
      </c>
      <c r="R319" s="10"/>
      <c r="S319" s="11">
        <v>0</v>
      </c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 t="s">
        <v>1198</v>
      </c>
      <c r="N320" s="3" t="s">
        <v>1199</v>
      </c>
      <c r="O320" s="3" t="s">
        <v>0</v>
      </c>
      <c r="P320" s="3" t="s">
        <v>124</v>
      </c>
      <c r="Q320" s="10">
        <v>18</v>
      </c>
      <c r="R320" s="10"/>
      <c r="S320" s="11">
        <v>0</v>
      </c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 t="s">
        <v>1200</v>
      </c>
      <c r="N321" s="3" t="s">
        <v>1201</v>
      </c>
      <c r="O321" s="3" t="s">
        <v>0</v>
      </c>
      <c r="P321" s="3" t="s">
        <v>124</v>
      </c>
      <c r="Q321" s="10">
        <v>13</v>
      </c>
      <c r="R321" s="10"/>
      <c r="S321" s="11">
        <v>0</v>
      </c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 t="s">
        <v>1204</v>
      </c>
      <c r="N322" s="3" t="s">
        <v>1205</v>
      </c>
      <c r="O322" s="3" t="s">
        <v>0</v>
      </c>
      <c r="P322" s="3" t="s">
        <v>124</v>
      </c>
      <c r="Q322" s="10">
        <v>50</v>
      </c>
      <c r="R322" s="10"/>
      <c r="S322" s="11">
        <v>0</v>
      </c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 t="s">
        <v>1206</v>
      </c>
      <c r="N323" s="3" t="s">
        <v>1207</v>
      </c>
      <c r="O323" s="3" t="s">
        <v>2</v>
      </c>
      <c r="P323" s="3" t="s">
        <v>124</v>
      </c>
      <c r="Q323" s="10">
        <v>6</v>
      </c>
      <c r="R323" s="10"/>
      <c r="S323" s="11">
        <v>0</v>
      </c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 t="s">
        <v>1196</v>
      </c>
      <c r="N324" s="3" t="s">
        <v>1197</v>
      </c>
      <c r="O324" s="3" t="s">
        <v>0</v>
      </c>
      <c r="P324" s="3" t="s">
        <v>124</v>
      </c>
      <c r="Q324" s="10">
        <v>1</v>
      </c>
      <c r="R324" s="10"/>
      <c r="S324" s="11">
        <v>0</v>
      </c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 t="s">
        <v>150</v>
      </c>
      <c r="M325" s="3" t="s">
        <v>181</v>
      </c>
      <c r="N325" s="3" t="s">
        <v>212</v>
      </c>
      <c r="O325" s="3" t="s">
        <v>0</v>
      </c>
      <c r="P325" s="3" t="s">
        <v>124</v>
      </c>
      <c r="Q325" s="10">
        <v>300</v>
      </c>
      <c r="R325" s="10"/>
      <c r="S325" s="11">
        <v>0</v>
      </c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 t="s">
        <v>246</v>
      </c>
      <c r="N326" s="3" t="s">
        <v>247</v>
      </c>
      <c r="O326" s="3" t="s">
        <v>0</v>
      </c>
      <c r="P326" s="3" t="s">
        <v>124</v>
      </c>
      <c r="Q326" s="10">
        <v>10000</v>
      </c>
      <c r="R326" s="10"/>
      <c r="S326" s="11">
        <v>0</v>
      </c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 t="s">
        <v>248</v>
      </c>
      <c r="N327" s="3" t="s">
        <v>249</v>
      </c>
      <c r="O327" s="3" t="s">
        <v>0</v>
      </c>
      <c r="P327" s="3" t="s">
        <v>124</v>
      </c>
      <c r="Q327" s="10">
        <v>1000</v>
      </c>
      <c r="R327" s="10"/>
      <c r="S327" s="11">
        <v>0</v>
      </c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 t="s">
        <v>297</v>
      </c>
      <c r="N328" s="3" t="s">
        <v>298</v>
      </c>
      <c r="O328" s="3" t="s">
        <v>1</v>
      </c>
      <c r="P328" s="3" t="s">
        <v>124</v>
      </c>
      <c r="Q328" s="10">
        <v>1</v>
      </c>
      <c r="R328" s="10">
        <v>1</v>
      </c>
      <c r="S328" s="11">
        <v>1</v>
      </c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 t="s">
        <v>1169</v>
      </c>
      <c r="N329" s="3" t="s">
        <v>1170</v>
      </c>
      <c r="O329" s="3" t="s">
        <v>0</v>
      </c>
      <c r="P329" s="3" t="s">
        <v>124</v>
      </c>
      <c r="Q329" s="10">
        <v>12</v>
      </c>
      <c r="R329" s="10">
        <v>12</v>
      </c>
      <c r="S329" s="11">
        <v>1</v>
      </c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 t="s">
        <v>1171</v>
      </c>
      <c r="N330" s="3" t="s">
        <v>1172</v>
      </c>
      <c r="O330" s="3" t="s">
        <v>2</v>
      </c>
      <c r="P330" s="3" t="s">
        <v>124</v>
      </c>
      <c r="Q330" s="10">
        <v>250</v>
      </c>
      <c r="R330" s="10"/>
      <c r="S330" s="11">
        <v>0</v>
      </c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 t="s">
        <v>433</v>
      </c>
      <c r="N331" s="3" t="s">
        <v>1175</v>
      </c>
      <c r="O331" s="3" t="s">
        <v>0</v>
      </c>
      <c r="P331" s="3" t="s">
        <v>124</v>
      </c>
      <c r="Q331" s="10">
        <v>10</v>
      </c>
      <c r="R331" s="10"/>
      <c r="S331" s="11">
        <v>0</v>
      </c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 t="s">
        <v>434</v>
      </c>
      <c r="N332" s="3" t="s">
        <v>435</v>
      </c>
      <c r="O332" s="3" t="s">
        <v>0</v>
      </c>
      <c r="P332" s="3" t="s">
        <v>124</v>
      </c>
      <c r="Q332" s="10">
        <v>10</v>
      </c>
      <c r="R332" s="10"/>
      <c r="S332" s="11">
        <v>0</v>
      </c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 t="s">
        <v>436</v>
      </c>
      <c r="N333" s="3" t="s">
        <v>437</v>
      </c>
      <c r="O333" s="3" t="s">
        <v>0</v>
      </c>
      <c r="P333" s="3" t="s">
        <v>124</v>
      </c>
      <c r="Q333" s="10">
        <v>100</v>
      </c>
      <c r="R333" s="10"/>
      <c r="S333" s="11">
        <v>0</v>
      </c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 t="s">
        <v>438</v>
      </c>
      <c r="N334" s="3" t="s">
        <v>439</v>
      </c>
      <c r="O334" s="3" t="s">
        <v>2</v>
      </c>
      <c r="P334" s="3" t="s">
        <v>124</v>
      </c>
      <c r="Q334" s="10">
        <v>500</v>
      </c>
      <c r="R334" s="10"/>
      <c r="S334" s="11">
        <v>0</v>
      </c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 t="s">
        <v>440</v>
      </c>
      <c r="N335" s="3" t="s">
        <v>1176</v>
      </c>
      <c r="O335" s="3" t="s">
        <v>1</v>
      </c>
      <c r="P335" s="3" t="s">
        <v>124</v>
      </c>
      <c r="Q335" s="10">
        <v>1</v>
      </c>
      <c r="R335" s="10"/>
      <c r="S335" s="11">
        <v>0</v>
      </c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 t="s">
        <v>449</v>
      </c>
      <c r="N336" s="3" t="s">
        <v>1191</v>
      </c>
      <c r="O336" s="3" t="s">
        <v>1</v>
      </c>
      <c r="P336" s="3" t="s">
        <v>124</v>
      </c>
      <c r="Q336" s="10">
        <v>1</v>
      </c>
      <c r="R336" s="10"/>
      <c r="S336" s="11">
        <v>0</v>
      </c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 t="s">
        <v>1198</v>
      </c>
      <c r="N337" s="3" t="s">
        <v>1199</v>
      </c>
      <c r="O337" s="3" t="s">
        <v>0</v>
      </c>
      <c r="P337" s="3" t="s">
        <v>124</v>
      </c>
      <c r="Q337" s="10">
        <v>20</v>
      </c>
      <c r="R337" s="10"/>
      <c r="S337" s="11">
        <v>0</v>
      </c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 t="s">
        <v>1200</v>
      </c>
      <c r="N338" s="3" t="s">
        <v>1201</v>
      </c>
      <c r="O338" s="3" t="s">
        <v>0</v>
      </c>
      <c r="P338" s="3" t="s">
        <v>124</v>
      </c>
      <c r="Q338" s="10">
        <v>5</v>
      </c>
      <c r="R338" s="10"/>
      <c r="S338" s="11">
        <v>0</v>
      </c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 t="s">
        <v>1204</v>
      </c>
      <c r="N339" s="3" t="s">
        <v>1205</v>
      </c>
      <c r="O339" s="3" t="s">
        <v>0</v>
      </c>
      <c r="P339" s="3" t="s">
        <v>124</v>
      </c>
      <c r="Q339" s="10">
        <v>20</v>
      </c>
      <c r="R339" s="10"/>
      <c r="S339" s="11">
        <v>0</v>
      </c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 t="s">
        <v>1206</v>
      </c>
      <c r="N340" s="3" t="s">
        <v>1207</v>
      </c>
      <c r="O340" s="3" t="s">
        <v>2</v>
      </c>
      <c r="P340" s="3" t="s">
        <v>124</v>
      </c>
      <c r="Q340" s="10">
        <v>10</v>
      </c>
      <c r="R340" s="10"/>
      <c r="S340" s="11">
        <v>0</v>
      </c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 t="s">
        <v>124</v>
      </c>
      <c r="M341" s="3" t="s">
        <v>124</v>
      </c>
      <c r="N341" s="3" t="s">
        <v>124</v>
      </c>
      <c r="O341" s="3" t="s">
        <v>124</v>
      </c>
      <c r="P341" s="3" t="s">
        <v>124</v>
      </c>
      <c r="Q341" s="10"/>
      <c r="R341" s="10"/>
      <c r="S341" s="11" t="e">
        <v>#DIV/0!</v>
      </c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 t="s">
        <v>12</v>
      </c>
      <c r="M342" s="3"/>
      <c r="N342" s="3"/>
      <c r="O342" s="3"/>
      <c r="P342" s="3"/>
      <c r="Q342" s="10">
        <v>252818</v>
      </c>
      <c r="R342" s="10">
        <v>91886</v>
      </c>
      <c r="S342" s="11">
        <v>0.36344722290343251</v>
      </c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/>
      <c r="M343"/>
      <c r="N343"/>
      <c r="O343"/>
      <c r="P343"/>
      <c r="Q343"/>
      <c r="R343"/>
      <c r="S34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/>
      <c r="M344"/>
      <c r="N344"/>
      <c r="O344"/>
      <c r="P344"/>
      <c r="Q344"/>
      <c r="R344"/>
      <c r="S344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/>
      <c r="M345"/>
      <c r="N345"/>
      <c r="O345"/>
      <c r="P345"/>
      <c r="Q345"/>
      <c r="R345"/>
      <c r="S345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/>
      <c r="M346"/>
      <c r="N346"/>
      <c r="O346"/>
      <c r="P346"/>
      <c r="Q346"/>
      <c r="R346"/>
      <c r="S346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/>
      <c r="M347"/>
      <c r="N347"/>
      <c r="O347"/>
      <c r="P347"/>
      <c r="Q347"/>
      <c r="R347"/>
      <c r="S347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/>
      <c r="M348"/>
      <c r="N348"/>
      <c r="O348"/>
      <c r="P348"/>
      <c r="Q348"/>
      <c r="R348"/>
      <c r="S348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/>
      <c r="M349"/>
      <c r="N349"/>
      <c r="O349"/>
      <c r="P349"/>
      <c r="Q349"/>
      <c r="R349"/>
      <c r="S349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/>
      <c r="M350"/>
      <c r="N350"/>
      <c r="O350"/>
      <c r="P350"/>
      <c r="Q350"/>
      <c r="R350"/>
      <c r="S350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/>
      <c r="M351"/>
      <c r="N351"/>
      <c r="O351"/>
      <c r="P351"/>
      <c r="Q351"/>
      <c r="R351"/>
      <c r="S351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/>
      <c r="M352"/>
      <c r="N352"/>
      <c r="O352"/>
      <c r="P352"/>
      <c r="Q352"/>
      <c r="R352"/>
      <c r="S352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/>
      <c r="M353"/>
      <c r="N353"/>
      <c r="O353"/>
      <c r="P353"/>
      <c r="Q353"/>
      <c r="R353"/>
      <c r="S35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/>
      <c r="M354"/>
      <c r="N354"/>
      <c r="O354"/>
      <c r="P354"/>
      <c r="Q354"/>
      <c r="R354"/>
      <c r="S354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/>
      <c r="M355"/>
      <c r="N355"/>
      <c r="O355"/>
      <c r="P355"/>
      <c r="Q355"/>
      <c r="R355"/>
      <c r="S355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/>
      <c r="M356"/>
      <c r="N356"/>
      <c r="O356"/>
      <c r="P356"/>
      <c r="Q356"/>
      <c r="R356"/>
      <c r="S356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/>
      <c r="M357"/>
      <c r="N357"/>
      <c r="O357"/>
      <c r="P357"/>
      <c r="Q357"/>
      <c r="R357"/>
      <c r="S357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/>
      <c r="M358"/>
      <c r="N358"/>
      <c r="O358"/>
      <c r="P358"/>
      <c r="Q358"/>
      <c r="R358"/>
      <c r="S358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/>
      <c r="M359"/>
      <c r="N359"/>
      <c r="O359"/>
      <c r="P359"/>
      <c r="Q359"/>
      <c r="R359"/>
      <c r="S359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/>
      <c r="M360"/>
      <c r="N360"/>
      <c r="O360"/>
      <c r="P360"/>
      <c r="Q360"/>
      <c r="R360"/>
      <c r="S360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/>
      <c r="M361"/>
      <c r="N361"/>
      <c r="O361"/>
      <c r="P361"/>
      <c r="Q361"/>
      <c r="R361"/>
      <c r="S361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/>
      <c r="M362"/>
      <c r="N362"/>
      <c r="O362"/>
      <c r="P362"/>
      <c r="Q362"/>
      <c r="R362"/>
      <c r="S362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/>
      <c r="M363"/>
      <c r="N363"/>
      <c r="O363"/>
      <c r="P363"/>
      <c r="Q363"/>
      <c r="R363"/>
      <c r="S36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/>
      <c r="M364"/>
      <c r="N364"/>
      <c r="O364"/>
      <c r="P364"/>
      <c r="Q364"/>
      <c r="R364"/>
      <c r="S364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/>
      <c r="M365"/>
      <c r="N365"/>
      <c r="O365"/>
      <c r="P365"/>
      <c r="Q365"/>
      <c r="R365"/>
      <c r="S365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/>
      <c r="M366"/>
      <c r="N366"/>
      <c r="O366"/>
      <c r="P366"/>
      <c r="Q366"/>
      <c r="R366"/>
      <c r="S366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/>
      <c r="M367"/>
      <c r="N367"/>
      <c r="O367"/>
      <c r="P367"/>
      <c r="Q367"/>
      <c r="R367"/>
      <c r="S367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/>
      <c r="M368"/>
      <c r="N368"/>
      <c r="O368"/>
      <c r="P368"/>
      <c r="Q368"/>
      <c r="R368"/>
      <c r="S368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/>
      <c r="M369"/>
      <c r="N369"/>
      <c r="O369"/>
      <c r="P369"/>
      <c r="Q369"/>
      <c r="R369"/>
      <c r="S369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/>
      <c r="M370"/>
      <c r="N370"/>
      <c r="O370"/>
      <c r="P370"/>
      <c r="Q370"/>
      <c r="R370"/>
      <c r="S370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/>
      <c r="M371"/>
      <c r="N371"/>
      <c r="O371"/>
      <c r="P371"/>
      <c r="Q371"/>
      <c r="R371"/>
      <c r="S371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/>
      <c r="M372"/>
      <c r="N372"/>
      <c r="O372"/>
      <c r="P372"/>
      <c r="Q372"/>
      <c r="R372"/>
      <c r="S372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/>
      <c r="M373"/>
      <c r="N373"/>
      <c r="O373"/>
      <c r="P373"/>
      <c r="Q373"/>
      <c r="R373"/>
      <c r="S37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/>
      <c r="M374"/>
      <c r="N374"/>
      <c r="O374"/>
      <c r="P374"/>
      <c r="Q374"/>
      <c r="R374"/>
      <c r="S374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/>
      <c r="M375"/>
      <c r="N375"/>
      <c r="O375"/>
      <c r="P375"/>
      <c r="Q375"/>
      <c r="R375"/>
      <c r="S375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/>
      <c r="M376"/>
      <c r="N376"/>
      <c r="O376"/>
      <c r="P376"/>
      <c r="Q376"/>
      <c r="R376"/>
      <c r="S376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/>
      <c r="M377"/>
      <c r="N377"/>
      <c r="O377"/>
      <c r="P377"/>
      <c r="Q377"/>
      <c r="R377"/>
      <c r="S377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/>
      <c r="M378"/>
      <c r="N378"/>
      <c r="O378"/>
      <c r="P378"/>
      <c r="Q378"/>
      <c r="R378"/>
      <c r="S378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/>
      <c r="M379"/>
      <c r="N379"/>
      <c r="O379"/>
      <c r="P379"/>
      <c r="Q379"/>
      <c r="R379"/>
      <c r="S379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/>
      <c r="M380"/>
      <c r="N380"/>
      <c r="O380"/>
      <c r="P380"/>
      <c r="Q380"/>
      <c r="R380"/>
      <c r="S380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/>
      <c r="M381"/>
      <c r="N381"/>
      <c r="O381"/>
      <c r="P381"/>
      <c r="Q381"/>
      <c r="R381"/>
      <c r="S381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/>
      <c r="M382"/>
      <c r="N382"/>
      <c r="O382"/>
      <c r="P382"/>
      <c r="Q382"/>
      <c r="R382"/>
      <c r="S382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/>
      <c r="M383"/>
      <c r="N383"/>
      <c r="O383"/>
      <c r="P383"/>
      <c r="Q383"/>
      <c r="R383"/>
      <c r="S38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/>
      <c r="M384"/>
      <c r="N384"/>
      <c r="O384"/>
      <c r="P384"/>
      <c r="Q384"/>
      <c r="R384"/>
      <c r="S384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/>
      <c r="M385"/>
      <c r="N385"/>
      <c r="O385"/>
      <c r="P385"/>
      <c r="Q385"/>
      <c r="R385"/>
      <c r="S385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/>
      <c r="M386"/>
      <c r="N386"/>
      <c r="O386"/>
      <c r="P386"/>
      <c r="Q386"/>
      <c r="R386"/>
      <c r="S386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/>
      <c r="M387"/>
      <c r="N387"/>
      <c r="O387"/>
      <c r="P387"/>
      <c r="Q387"/>
      <c r="R387"/>
      <c r="S387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/>
      <c r="M388"/>
      <c r="N388"/>
      <c r="O388"/>
      <c r="P388"/>
      <c r="Q388"/>
      <c r="R388"/>
      <c r="S388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/>
      <c r="M389"/>
      <c r="N389"/>
      <c r="O389"/>
      <c r="P389"/>
      <c r="Q389"/>
      <c r="R389"/>
      <c r="S389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/>
      <c r="M390"/>
      <c r="N390"/>
      <c r="O390"/>
      <c r="P390"/>
      <c r="Q390"/>
      <c r="R390"/>
      <c r="S390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/>
      <c r="M391"/>
      <c r="N391"/>
      <c r="O391"/>
      <c r="P391"/>
      <c r="Q391"/>
      <c r="R391"/>
      <c r="S391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/>
      <c r="M392"/>
      <c r="N392"/>
      <c r="O392"/>
      <c r="P392"/>
      <c r="Q392"/>
      <c r="R392"/>
      <c r="S392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  <row r="393" spans="2:82" x14ac:dyDescent="0.25">
      <c r="L393"/>
      <c r="M393"/>
      <c r="N393"/>
      <c r="O393"/>
      <c r="P393"/>
      <c r="Q393"/>
      <c r="R393"/>
      <c r="S393"/>
    </row>
    <row r="394" spans="2:82" x14ac:dyDescent="0.25">
      <c r="L394"/>
      <c r="M394"/>
      <c r="N394"/>
      <c r="O394"/>
      <c r="P394"/>
      <c r="Q394"/>
      <c r="R394"/>
      <c r="S394"/>
    </row>
    <row r="395" spans="2:82" x14ac:dyDescent="0.25">
      <c r="L395"/>
      <c r="M395"/>
      <c r="N395"/>
      <c r="O395"/>
      <c r="P395"/>
      <c r="Q395"/>
      <c r="R395"/>
      <c r="S395"/>
    </row>
    <row r="396" spans="2:82" x14ac:dyDescent="0.25">
      <c r="L396"/>
      <c r="M396"/>
      <c r="N396"/>
      <c r="O396"/>
      <c r="P396"/>
      <c r="Q396"/>
      <c r="R396"/>
      <c r="S396"/>
    </row>
    <row r="397" spans="2:82" x14ac:dyDescent="0.25">
      <c r="L397"/>
      <c r="M397"/>
      <c r="N397"/>
      <c r="O397"/>
      <c r="P397"/>
      <c r="Q397"/>
      <c r="R397"/>
      <c r="S397"/>
    </row>
    <row r="398" spans="2:82" x14ac:dyDescent="0.25">
      <c r="L398"/>
      <c r="M398"/>
      <c r="N398"/>
      <c r="O398"/>
      <c r="P398"/>
      <c r="Q398"/>
      <c r="R398"/>
      <c r="S398"/>
    </row>
    <row r="399" spans="2:82" x14ac:dyDescent="0.25">
      <c r="L399"/>
      <c r="M399"/>
      <c r="N399"/>
      <c r="O399"/>
      <c r="P399"/>
      <c r="Q399"/>
      <c r="R399"/>
      <c r="S399"/>
    </row>
    <row r="400" spans="2:82" x14ac:dyDescent="0.25">
      <c r="L400"/>
      <c r="M400"/>
      <c r="N400"/>
      <c r="O400"/>
      <c r="P400"/>
      <c r="Q400"/>
      <c r="R400"/>
      <c r="S400"/>
    </row>
    <row r="401" spans="12:19" x14ac:dyDescent="0.25">
      <c r="L401"/>
      <c r="M401"/>
      <c r="N401"/>
      <c r="O401"/>
      <c r="P401"/>
      <c r="Q401"/>
      <c r="R401"/>
      <c r="S401"/>
    </row>
    <row r="402" spans="12:19" x14ac:dyDescent="0.25">
      <c r="L402"/>
      <c r="M402"/>
      <c r="N402"/>
      <c r="O402"/>
      <c r="P402"/>
      <c r="Q402"/>
      <c r="R402"/>
      <c r="S402"/>
    </row>
    <row r="403" spans="12:19" x14ac:dyDescent="0.25">
      <c r="L403"/>
      <c r="M403"/>
      <c r="N403"/>
      <c r="O403"/>
      <c r="P403"/>
      <c r="Q403"/>
      <c r="R403"/>
      <c r="S403"/>
    </row>
    <row r="404" spans="12:19" x14ac:dyDescent="0.25">
      <c r="L404"/>
      <c r="M404"/>
      <c r="N404"/>
      <c r="O404"/>
      <c r="P404"/>
      <c r="Q404"/>
      <c r="R404"/>
      <c r="S404"/>
    </row>
    <row r="405" spans="12:19" x14ac:dyDescent="0.25">
      <c r="L405"/>
      <c r="M405"/>
      <c r="N405"/>
      <c r="O405"/>
      <c r="P405"/>
      <c r="Q405"/>
      <c r="R405"/>
      <c r="S405"/>
    </row>
    <row r="406" spans="12:19" x14ac:dyDescent="0.25">
      <c r="L406"/>
      <c r="M406"/>
      <c r="N406"/>
      <c r="O406"/>
      <c r="P406"/>
      <c r="Q406"/>
      <c r="R406"/>
      <c r="S406"/>
    </row>
    <row r="407" spans="12:19" x14ac:dyDescent="0.25">
      <c r="L407"/>
      <c r="M407"/>
      <c r="N407"/>
      <c r="O407"/>
      <c r="P407"/>
      <c r="Q407"/>
      <c r="R407"/>
      <c r="S407"/>
    </row>
    <row r="408" spans="12:19" x14ac:dyDescent="0.25">
      <c r="L408"/>
      <c r="M408"/>
      <c r="N408"/>
      <c r="O408"/>
      <c r="P408"/>
      <c r="Q408"/>
      <c r="R408"/>
      <c r="S408"/>
    </row>
    <row r="409" spans="12:19" x14ac:dyDescent="0.25">
      <c r="L409"/>
      <c r="M409"/>
      <c r="N409"/>
      <c r="O409"/>
      <c r="P409"/>
      <c r="Q409"/>
      <c r="R409"/>
      <c r="S409"/>
    </row>
    <row r="410" spans="12:19" x14ac:dyDescent="0.25">
      <c r="L410"/>
      <c r="M410"/>
      <c r="N410"/>
      <c r="O410"/>
      <c r="P410"/>
      <c r="Q410"/>
      <c r="R410"/>
      <c r="S410"/>
    </row>
    <row r="411" spans="12:19" x14ac:dyDescent="0.25">
      <c r="L411"/>
      <c r="M411"/>
      <c r="N411"/>
      <c r="O411"/>
      <c r="P411"/>
      <c r="Q411"/>
      <c r="R411"/>
      <c r="S411"/>
    </row>
    <row r="412" spans="12:19" x14ac:dyDescent="0.25">
      <c r="L412"/>
      <c r="M412"/>
      <c r="N412"/>
      <c r="O412"/>
      <c r="P412"/>
      <c r="Q412"/>
      <c r="R412"/>
      <c r="S412"/>
    </row>
    <row r="413" spans="12:19" x14ac:dyDescent="0.25">
      <c r="L413"/>
      <c r="M413"/>
      <c r="N413"/>
      <c r="O413"/>
      <c r="P413"/>
      <c r="Q413"/>
      <c r="R413"/>
      <c r="S413"/>
    </row>
    <row r="414" spans="12:19" x14ac:dyDescent="0.25">
      <c r="L414"/>
      <c r="M414"/>
      <c r="N414"/>
      <c r="O414"/>
      <c r="P414"/>
      <c r="Q414"/>
      <c r="R414"/>
      <c r="S414"/>
    </row>
    <row r="415" spans="12:19" x14ac:dyDescent="0.25">
      <c r="L415"/>
      <c r="M415"/>
      <c r="N415"/>
      <c r="O415"/>
      <c r="P415"/>
      <c r="Q415"/>
      <c r="R415"/>
      <c r="S415"/>
    </row>
    <row r="416" spans="12:19" x14ac:dyDescent="0.25">
      <c r="L416"/>
      <c r="M416"/>
      <c r="N416"/>
      <c r="O416"/>
      <c r="P416"/>
      <c r="Q416"/>
      <c r="R416"/>
      <c r="S416"/>
    </row>
    <row r="417" spans="12:19" x14ac:dyDescent="0.25">
      <c r="L417"/>
      <c r="M417"/>
      <c r="N417"/>
      <c r="O417"/>
      <c r="P417"/>
      <c r="Q417"/>
      <c r="R417"/>
      <c r="S417"/>
    </row>
    <row r="418" spans="12:19" x14ac:dyDescent="0.25">
      <c r="L418"/>
      <c r="M418"/>
      <c r="N418"/>
      <c r="O418"/>
      <c r="P418"/>
      <c r="Q418"/>
      <c r="R418"/>
      <c r="S418"/>
    </row>
    <row r="419" spans="12:19" x14ac:dyDescent="0.25">
      <c r="L419"/>
      <c r="M419"/>
      <c r="N419"/>
      <c r="O419"/>
      <c r="P419"/>
      <c r="Q419"/>
      <c r="R419"/>
      <c r="S419"/>
    </row>
    <row r="420" spans="12:19" x14ac:dyDescent="0.25">
      <c r="L420"/>
      <c r="M420"/>
      <c r="N420"/>
      <c r="O420"/>
      <c r="P420"/>
      <c r="Q420"/>
      <c r="R420"/>
      <c r="S420"/>
    </row>
    <row r="421" spans="12:19" x14ac:dyDescent="0.25">
      <c r="L421"/>
      <c r="M421"/>
      <c r="N421"/>
      <c r="O421"/>
      <c r="P421"/>
      <c r="Q421"/>
      <c r="R421"/>
      <c r="S421"/>
    </row>
    <row r="422" spans="12:19" x14ac:dyDescent="0.25">
      <c r="L422"/>
      <c r="M422"/>
      <c r="N422"/>
      <c r="O422"/>
      <c r="P422"/>
      <c r="Q422"/>
      <c r="R422"/>
      <c r="S422"/>
    </row>
    <row r="423" spans="12:19" x14ac:dyDescent="0.25">
      <c r="L423"/>
      <c r="M423"/>
      <c r="N423"/>
      <c r="O423"/>
      <c r="P423"/>
      <c r="Q423"/>
      <c r="R423"/>
      <c r="S423"/>
    </row>
    <row r="424" spans="12:19" x14ac:dyDescent="0.25">
      <c r="L424"/>
      <c r="M424"/>
      <c r="N424"/>
      <c r="O424"/>
      <c r="P424"/>
      <c r="Q424"/>
      <c r="R424"/>
      <c r="S424"/>
    </row>
    <row r="425" spans="12:19" x14ac:dyDescent="0.25">
      <c r="L425"/>
      <c r="M425"/>
      <c r="N425"/>
      <c r="O425"/>
      <c r="P425"/>
      <c r="Q425"/>
      <c r="R425"/>
      <c r="S425"/>
    </row>
    <row r="426" spans="12:19" x14ac:dyDescent="0.25">
      <c r="L426"/>
      <c r="M426"/>
      <c r="N426"/>
      <c r="O426"/>
      <c r="P426"/>
      <c r="Q426"/>
      <c r="R426"/>
      <c r="S426"/>
    </row>
    <row r="427" spans="12:19" x14ac:dyDescent="0.25">
      <c r="L427"/>
      <c r="M427"/>
      <c r="N427"/>
      <c r="O427"/>
      <c r="P427"/>
      <c r="Q427"/>
      <c r="R427"/>
      <c r="S427"/>
    </row>
    <row r="428" spans="12:19" x14ac:dyDescent="0.25">
      <c r="L428"/>
      <c r="M428"/>
      <c r="N428"/>
      <c r="O428"/>
      <c r="P428"/>
      <c r="Q428"/>
      <c r="R428"/>
      <c r="S428"/>
    </row>
    <row r="429" spans="12:19" x14ac:dyDescent="0.25">
      <c r="L429"/>
      <c r="M429"/>
      <c r="N429"/>
      <c r="O429"/>
      <c r="P429"/>
      <c r="Q429"/>
      <c r="R429"/>
      <c r="S429"/>
    </row>
    <row r="430" spans="12:19" x14ac:dyDescent="0.25">
      <c r="L430"/>
      <c r="M430"/>
      <c r="N430"/>
      <c r="O430"/>
      <c r="P430"/>
      <c r="Q430"/>
      <c r="R430"/>
      <c r="S430"/>
    </row>
    <row r="431" spans="12:19" x14ac:dyDescent="0.25">
      <c r="L431"/>
      <c r="M431"/>
      <c r="N431"/>
      <c r="O431"/>
      <c r="P431"/>
      <c r="Q431"/>
      <c r="R431"/>
      <c r="S431"/>
    </row>
    <row r="432" spans="12:19" x14ac:dyDescent="0.25">
      <c r="L432"/>
      <c r="M432"/>
      <c r="N432"/>
      <c r="O432"/>
      <c r="P432"/>
      <c r="Q432"/>
      <c r="R432"/>
      <c r="S432"/>
    </row>
    <row r="433" spans="12:19" x14ac:dyDescent="0.25">
      <c r="L433"/>
      <c r="M433"/>
      <c r="N433"/>
      <c r="O433"/>
      <c r="P433"/>
      <c r="Q433"/>
      <c r="R433"/>
      <c r="S433"/>
    </row>
    <row r="434" spans="12:19" x14ac:dyDescent="0.25">
      <c r="L434"/>
      <c r="M434"/>
      <c r="N434"/>
      <c r="O434"/>
      <c r="P434"/>
      <c r="Q434"/>
      <c r="R434"/>
      <c r="S434"/>
    </row>
    <row r="435" spans="12:19" x14ac:dyDescent="0.25">
      <c r="L435"/>
      <c r="M435"/>
      <c r="N435"/>
      <c r="O435"/>
      <c r="P435"/>
      <c r="Q435"/>
      <c r="R435"/>
      <c r="S435"/>
    </row>
    <row r="436" spans="12:19" x14ac:dyDescent="0.25">
      <c r="L436"/>
      <c r="M436"/>
      <c r="N436"/>
      <c r="O436"/>
      <c r="P436"/>
      <c r="Q436"/>
      <c r="R436"/>
      <c r="S436"/>
    </row>
    <row r="437" spans="12:19" x14ac:dyDescent="0.25">
      <c r="L437"/>
      <c r="M437"/>
      <c r="N437"/>
      <c r="O437"/>
      <c r="P437"/>
      <c r="Q437"/>
      <c r="R437"/>
      <c r="S437"/>
    </row>
    <row r="438" spans="12:19" x14ac:dyDescent="0.25">
      <c r="L438"/>
      <c r="M438"/>
      <c r="N438"/>
      <c r="O438"/>
      <c r="P438"/>
      <c r="Q438"/>
      <c r="R438"/>
      <c r="S438"/>
    </row>
    <row r="439" spans="12:19" x14ac:dyDescent="0.25">
      <c r="L439"/>
      <c r="M439"/>
      <c r="N439"/>
      <c r="O439"/>
      <c r="P439"/>
      <c r="Q439"/>
      <c r="R439"/>
      <c r="S439"/>
    </row>
    <row r="440" spans="12:19" x14ac:dyDescent="0.25">
      <c r="L440"/>
      <c r="M440"/>
      <c r="N440"/>
      <c r="O440"/>
      <c r="P440"/>
      <c r="Q440"/>
      <c r="R440"/>
      <c r="S440"/>
    </row>
    <row r="441" spans="12:19" x14ac:dyDescent="0.25">
      <c r="L441"/>
      <c r="M441"/>
      <c r="N441"/>
      <c r="O441"/>
      <c r="P441"/>
      <c r="Q441"/>
      <c r="R441"/>
      <c r="S441"/>
    </row>
    <row r="442" spans="12:19" x14ac:dyDescent="0.25">
      <c r="L442"/>
      <c r="M442"/>
      <c r="N442"/>
      <c r="O442"/>
      <c r="P442"/>
      <c r="Q442"/>
      <c r="R442"/>
      <c r="S442"/>
    </row>
    <row r="443" spans="12:19" x14ac:dyDescent="0.25">
      <c r="L443"/>
      <c r="M443"/>
      <c r="N443"/>
      <c r="O443"/>
      <c r="P443"/>
      <c r="Q443"/>
      <c r="R443"/>
      <c r="S443"/>
    </row>
    <row r="444" spans="12:19" x14ac:dyDescent="0.25">
      <c r="L444"/>
      <c r="M444"/>
      <c r="N444"/>
      <c r="O444"/>
      <c r="P444"/>
      <c r="Q444"/>
      <c r="R444"/>
      <c r="S444"/>
    </row>
    <row r="445" spans="12:19" x14ac:dyDescent="0.25">
      <c r="L445"/>
      <c r="M445"/>
      <c r="N445"/>
      <c r="O445"/>
      <c r="P445"/>
      <c r="Q445"/>
      <c r="R445"/>
      <c r="S445"/>
    </row>
    <row r="446" spans="12:19" x14ac:dyDescent="0.25">
      <c r="L446"/>
      <c r="M446"/>
      <c r="N446"/>
      <c r="O446"/>
      <c r="P446"/>
      <c r="Q446"/>
      <c r="R446"/>
      <c r="S446"/>
    </row>
    <row r="447" spans="12:19" x14ac:dyDescent="0.25">
      <c r="L447"/>
      <c r="M447"/>
      <c r="N447"/>
      <c r="O447"/>
      <c r="P447"/>
      <c r="Q447"/>
      <c r="R447"/>
      <c r="S447"/>
    </row>
    <row r="448" spans="12:19" x14ac:dyDescent="0.25">
      <c r="L448"/>
      <c r="M448"/>
      <c r="N448"/>
      <c r="O448"/>
      <c r="P448"/>
      <c r="Q448"/>
      <c r="R448"/>
      <c r="S448"/>
    </row>
    <row r="449" spans="12:19" x14ac:dyDescent="0.25">
      <c r="L449"/>
      <c r="M449"/>
      <c r="N449"/>
      <c r="O449"/>
      <c r="P449"/>
      <c r="Q449"/>
      <c r="R449"/>
      <c r="S449"/>
    </row>
    <row r="450" spans="12:19" x14ac:dyDescent="0.25">
      <c r="L450"/>
      <c r="M450"/>
      <c r="N450"/>
      <c r="O450"/>
      <c r="P450"/>
      <c r="Q450"/>
      <c r="R450"/>
      <c r="S450"/>
    </row>
    <row r="451" spans="12:19" x14ac:dyDescent="0.25">
      <c r="L451"/>
      <c r="M451"/>
      <c r="N451"/>
      <c r="O451"/>
      <c r="P451"/>
      <c r="Q451"/>
      <c r="R451"/>
      <c r="S451"/>
    </row>
    <row r="452" spans="12:19" x14ac:dyDescent="0.25">
      <c r="L452"/>
      <c r="M452"/>
      <c r="N452"/>
      <c r="O452"/>
      <c r="P452"/>
      <c r="Q452"/>
      <c r="R452"/>
      <c r="S452"/>
    </row>
    <row r="453" spans="12:19" x14ac:dyDescent="0.25">
      <c r="L453"/>
      <c r="M453"/>
      <c r="N453"/>
      <c r="O453"/>
      <c r="P453"/>
      <c r="Q453"/>
      <c r="R453"/>
      <c r="S453"/>
    </row>
    <row r="454" spans="12:19" x14ac:dyDescent="0.25">
      <c r="L454"/>
      <c r="M454"/>
      <c r="N454"/>
      <c r="O454"/>
      <c r="P454"/>
      <c r="Q454"/>
      <c r="R454"/>
      <c r="S454"/>
    </row>
    <row r="455" spans="12:19" x14ac:dyDescent="0.25">
      <c r="L455"/>
      <c r="M455"/>
      <c r="N455"/>
      <c r="O455"/>
      <c r="P455"/>
      <c r="Q455"/>
      <c r="R455"/>
      <c r="S455"/>
    </row>
    <row r="456" spans="12:19" x14ac:dyDescent="0.25">
      <c r="L456"/>
      <c r="M456"/>
      <c r="N456"/>
      <c r="O456"/>
      <c r="P456"/>
      <c r="Q456"/>
      <c r="R456"/>
      <c r="S456"/>
    </row>
    <row r="457" spans="12:19" x14ac:dyDescent="0.25">
      <c r="L457"/>
      <c r="M457"/>
      <c r="N457"/>
      <c r="O457"/>
      <c r="P457"/>
      <c r="Q457"/>
      <c r="R457"/>
      <c r="S457"/>
    </row>
    <row r="458" spans="12:19" x14ac:dyDescent="0.25">
      <c r="L458"/>
      <c r="M458"/>
      <c r="N458"/>
      <c r="O458"/>
      <c r="P458"/>
      <c r="Q458"/>
      <c r="R458"/>
      <c r="S458"/>
    </row>
    <row r="459" spans="12:19" x14ac:dyDescent="0.25">
      <c r="L459"/>
      <c r="M459"/>
      <c r="N459"/>
      <c r="O459"/>
      <c r="P459"/>
      <c r="Q459"/>
      <c r="R459"/>
      <c r="S459"/>
    </row>
    <row r="460" spans="12:19" x14ac:dyDescent="0.25">
      <c r="L460"/>
      <c r="M460"/>
      <c r="N460"/>
      <c r="O460"/>
      <c r="P460"/>
      <c r="Q460"/>
      <c r="R460"/>
      <c r="S460"/>
    </row>
    <row r="461" spans="12:19" x14ac:dyDescent="0.25">
      <c r="L461"/>
      <c r="M461"/>
      <c r="N461"/>
      <c r="O461"/>
      <c r="P461"/>
      <c r="Q461"/>
      <c r="R461"/>
      <c r="S461"/>
    </row>
    <row r="462" spans="12:19" x14ac:dyDescent="0.25">
      <c r="L462"/>
      <c r="M462"/>
      <c r="N462"/>
      <c r="O462"/>
      <c r="P462"/>
      <c r="Q462"/>
      <c r="R462"/>
      <c r="S462"/>
    </row>
    <row r="463" spans="12:19" x14ac:dyDescent="0.25">
      <c r="L463"/>
      <c r="M463"/>
      <c r="N463"/>
      <c r="O463"/>
      <c r="P463"/>
      <c r="Q463"/>
      <c r="R463"/>
      <c r="S463"/>
    </row>
    <row r="464" spans="12:19" x14ac:dyDescent="0.25">
      <c r="L464"/>
      <c r="M464"/>
      <c r="N464"/>
      <c r="O464"/>
      <c r="P464"/>
      <c r="Q464"/>
      <c r="R464"/>
      <c r="S464"/>
    </row>
    <row r="465" spans="12:19" x14ac:dyDescent="0.25">
      <c r="L465"/>
      <c r="M465"/>
      <c r="N465"/>
      <c r="O465"/>
      <c r="P465"/>
      <c r="Q465"/>
      <c r="R465"/>
      <c r="S465"/>
    </row>
    <row r="466" spans="12:19" x14ac:dyDescent="0.25">
      <c r="L466"/>
      <c r="M466"/>
      <c r="N466"/>
      <c r="O466"/>
      <c r="P466"/>
      <c r="Q466"/>
      <c r="R466"/>
      <c r="S466"/>
    </row>
    <row r="467" spans="12:19" x14ac:dyDescent="0.25">
      <c r="L467"/>
      <c r="M467"/>
      <c r="N467"/>
      <c r="O467"/>
      <c r="P467"/>
      <c r="Q467"/>
      <c r="R467"/>
      <c r="S467"/>
    </row>
    <row r="468" spans="12:19" x14ac:dyDescent="0.25">
      <c r="L468"/>
      <c r="M468"/>
      <c r="N468"/>
      <c r="O468"/>
      <c r="P468"/>
      <c r="Q468"/>
      <c r="R468"/>
      <c r="S468"/>
    </row>
    <row r="469" spans="12:19" x14ac:dyDescent="0.25">
      <c r="L469"/>
      <c r="M469"/>
      <c r="N469"/>
      <c r="O469"/>
      <c r="P469"/>
      <c r="Q469"/>
      <c r="R469"/>
      <c r="S469"/>
    </row>
    <row r="470" spans="12:19" x14ac:dyDescent="0.25">
      <c r="L470"/>
      <c r="M470"/>
      <c r="N470"/>
      <c r="O470"/>
      <c r="P470"/>
      <c r="Q470"/>
      <c r="R470"/>
      <c r="S470"/>
    </row>
    <row r="471" spans="12:19" x14ac:dyDescent="0.25">
      <c r="L471"/>
      <c r="M471"/>
      <c r="N471"/>
      <c r="O471"/>
      <c r="P471"/>
      <c r="Q471"/>
      <c r="R471"/>
      <c r="S471"/>
    </row>
    <row r="472" spans="12:19" x14ac:dyDescent="0.25">
      <c r="L472"/>
      <c r="M472"/>
      <c r="N472"/>
      <c r="O472"/>
      <c r="P472"/>
      <c r="Q472"/>
      <c r="R472"/>
      <c r="S472"/>
    </row>
    <row r="473" spans="12:19" x14ac:dyDescent="0.25">
      <c r="L473"/>
      <c r="M473"/>
      <c r="N473"/>
      <c r="O473"/>
      <c r="P473"/>
      <c r="Q473"/>
      <c r="R473"/>
      <c r="S473"/>
    </row>
    <row r="474" spans="12:19" x14ac:dyDescent="0.25">
      <c r="L474"/>
      <c r="M474"/>
      <c r="N474"/>
      <c r="O474"/>
      <c r="P474"/>
      <c r="Q474"/>
      <c r="R474"/>
      <c r="S474"/>
    </row>
    <row r="475" spans="12:19" x14ac:dyDescent="0.25">
      <c r="L475"/>
      <c r="M475"/>
      <c r="N475"/>
      <c r="O475"/>
      <c r="P475"/>
      <c r="Q475"/>
      <c r="R475"/>
      <c r="S475"/>
    </row>
    <row r="476" spans="12:19" x14ac:dyDescent="0.25">
      <c r="L476"/>
      <c r="M476"/>
      <c r="N476"/>
      <c r="O476"/>
      <c r="P476"/>
      <c r="Q476"/>
      <c r="R476"/>
      <c r="S476"/>
    </row>
    <row r="477" spans="12:19" x14ac:dyDescent="0.25">
      <c r="L477"/>
      <c r="M477"/>
      <c r="N477"/>
      <c r="O477"/>
      <c r="P477"/>
      <c r="Q477"/>
      <c r="R477"/>
      <c r="S477"/>
    </row>
    <row r="478" spans="12:19" x14ac:dyDescent="0.25">
      <c r="L478"/>
      <c r="M478"/>
      <c r="N478"/>
      <c r="O478"/>
      <c r="P478"/>
      <c r="Q478"/>
      <c r="R478"/>
      <c r="S478"/>
    </row>
    <row r="479" spans="12:19" x14ac:dyDescent="0.25">
      <c r="L479"/>
      <c r="M479"/>
      <c r="N479"/>
      <c r="O479"/>
      <c r="P479"/>
      <c r="Q479"/>
      <c r="R479"/>
      <c r="S479"/>
    </row>
    <row r="480" spans="12:19" x14ac:dyDescent="0.25">
      <c r="L480"/>
      <c r="M480"/>
      <c r="N480"/>
      <c r="O480"/>
      <c r="P480"/>
      <c r="Q480"/>
      <c r="R480"/>
      <c r="S480"/>
    </row>
    <row r="481" spans="12:19" x14ac:dyDescent="0.25">
      <c r="L481"/>
      <c r="M481"/>
      <c r="N481"/>
      <c r="O481"/>
      <c r="P481"/>
      <c r="Q481"/>
      <c r="R481"/>
      <c r="S481"/>
    </row>
    <row r="482" spans="12:19" x14ac:dyDescent="0.25">
      <c r="L482"/>
      <c r="M482"/>
      <c r="N482"/>
      <c r="O482"/>
      <c r="P482"/>
      <c r="Q482"/>
      <c r="R482"/>
      <c r="S482"/>
    </row>
    <row r="483" spans="12:19" x14ac:dyDescent="0.25">
      <c r="L483"/>
      <c r="M483"/>
      <c r="N483"/>
      <c r="O483"/>
      <c r="P483"/>
      <c r="Q483"/>
      <c r="R483"/>
      <c r="S483"/>
    </row>
    <row r="484" spans="12:19" x14ac:dyDescent="0.25">
      <c r="L484"/>
      <c r="M484"/>
      <c r="N484"/>
      <c r="O484"/>
      <c r="P484"/>
      <c r="Q484"/>
      <c r="R484"/>
      <c r="S484"/>
    </row>
    <row r="485" spans="12:19" x14ac:dyDescent="0.25">
      <c r="L485"/>
      <c r="M485"/>
      <c r="N485"/>
      <c r="O485"/>
      <c r="P485"/>
      <c r="Q485"/>
      <c r="R485"/>
      <c r="S485"/>
    </row>
    <row r="486" spans="12:19" x14ac:dyDescent="0.25">
      <c r="L486"/>
      <c r="M486"/>
      <c r="N486"/>
      <c r="O486"/>
      <c r="P486"/>
      <c r="Q486"/>
      <c r="R486"/>
      <c r="S486"/>
    </row>
    <row r="487" spans="12:19" x14ac:dyDescent="0.25">
      <c r="L487"/>
      <c r="M487"/>
      <c r="N487"/>
      <c r="O487"/>
      <c r="P487"/>
      <c r="Q487"/>
      <c r="R487"/>
      <c r="S487"/>
    </row>
    <row r="488" spans="12:19" x14ac:dyDescent="0.25">
      <c r="L488"/>
      <c r="M488"/>
      <c r="N488"/>
      <c r="O488"/>
      <c r="P488"/>
      <c r="Q488"/>
      <c r="R488"/>
      <c r="S488"/>
    </row>
    <row r="489" spans="12:19" x14ac:dyDescent="0.25">
      <c r="L489"/>
      <c r="M489"/>
      <c r="N489"/>
      <c r="O489"/>
      <c r="P489"/>
      <c r="Q489"/>
      <c r="R489"/>
      <c r="S489"/>
    </row>
    <row r="490" spans="12:19" x14ac:dyDescent="0.25">
      <c r="L490"/>
      <c r="M490"/>
      <c r="N490"/>
      <c r="O490"/>
      <c r="P490"/>
      <c r="Q490"/>
      <c r="R490"/>
      <c r="S490"/>
    </row>
    <row r="491" spans="12:19" x14ac:dyDescent="0.25">
      <c r="L491"/>
      <c r="M491"/>
      <c r="N491"/>
      <c r="O491"/>
      <c r="P491"/>
      <c r="Q491"/>
      <c r="R491"/>
      <c r="S491"/>
    </row>
    <row r="492" spans="12:19" x14ac:dyDescent="0.25">
      <c r="L492"/>
      <c r="M492"/>
      <c r="N492"/>
      <c r="O492"/>
      <c r="P492"/>
      <c r="Q492"/>
      <c r="R492"/>
      <c r="S492"/>
    </row>
    <row r="493" spans="12:19" x14ac:dyDescent="0.25">
      <c r="L493"/>
      <c r="M493"/>
      <c r="N493"/>
      <c r="O493"/>
      <c r="P493"/>
      <c r="Q493"/>
      <c r="R493"/>
      <c r="S493"/>
    </row>
    <row r="494" spans="12:19" x14ac:dyDescent="0.25">
      <c r="L494"/>
      <c r="M494"/>
      <c r="N494"/>
      <c r="O494"/>
      <c r="P494"/>
      <c r="Q494"/>
      <c r="R494"/>
      <c r="S494"/>
    </row>
    <row r="495" spans="12:19" x14ac:dyDescent="0.25">
      <c r="L495"/>
      <c r="M495"/>
      <c r="N495"/>
      <c r="O495"/>
      <c r="P495"/>
      <c r="Q495"/>
      <c r="R495"/>
      <c r="S495"/>
    </row>
    <row r="496" spans="12:19" x14ac:dyDescent="0.25">
      <c r="L496"/>
      <c r="M496"/>
      <c r="N496"/>
      <c r="O496"/>
      <c r="P496"/>
      <c r="Q496"/>
      <c r="R496"/>
      <c r="S496"/>
    </row>
    <row r="497" spans="12:19" x14ac:dyDescent="0.25">
      <c r="L497"/>
      <c r="M497"/>
      <c r="N497"/>
      <c r="O497"/>
      <c r="P497"/>
      <c r="Q497"/>
      <c r="R497"/>
      <c r="S497"/>
    </row>
    <row r="498" spans="12:19" x14ac:dyDescent="0.25">
      <c r="L498"/>
      <c r="M498"/>
      <c r="N498"/>
      <c r="O498"/>
      <c r="P498"/>
      <c r="Q498"/>
      <c r="R498"/>
      <c r="S498"/>
    </row>
    <row r="499" spans="12:19" x14ac:dyDescent="0.25">
      <c r="L499"/>
      <c r="M499"/>
      <c r="N499"/>
      <c r="O499"/>
      <c r="P499"/>
      <c r="Q499"/>
      <c r="R499"/>
      <c r="S499"/>
    </row>
    <row r="500" spans="12:19" x14ac:dyDescent="0.25">
      <c r="L500"/>
      <c r="M500"/>
      <c r="N500"/>
      <c r="O500"/>
      <c r="P500"/>
      <c r="Q500"/>
      <c r="R500"/>
      <c r="S500"/>
    </row>
    <row r="501" spans="12:19" x14ac:dyDescent="0.25">
      <c r="L501"/>
      <c r="M501"/>
      <c r="N501"/>
      <c r="O501"/>
      <c r="P501"/>
      <c r="Q501"/>
      <c r="R501"/>
      <c r="S501"/>
    </row>
  </sheetData>
  <mergeCells count="4">
    <mergeCell ref="B3:J3"/>
    <mergeCell ref="B5:J5"/>
    <mergeCell ref="L5:T5"/>
    <mergeCell ref="B14:J14"/>
  </mergeCells>
  <pageMargins left="0.7" right="0.7" top="0.75" bottom="0.75" header="0.3" footer="0.3"/>
  <pageSetup orientation="portrait" r:id="rId5"/>
  <drawing r:id="rId6"/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G15"/>
  <sheetViews>
    <sheetView workbookViewId="0">
      <selection activeCell="G5" sqref="G5"/>
    </sheetView>
  </sheetViews>
  <sheetFormatPr baseColWidth="10" defaultRowHeight="15" x14ac:dyDescent="0.25"/>
  <cols>
    <col min="1" max="1" width="38.140625" customWidth="1"/>
    <col min="2" max="2" width="9.85546875" customWidth="1"/>
    <col min="7" max="7" width="17.5703125" customWidth="1"/>
    <col min="8" max="8" width="9.85546875" customWidth="1"/>
  </cols>
  <sheetData>
    <row r="1" spans="1:7" x14ac:dyDescent="0.25">
      <c r="A1" s="1" t="s">
        <v>427</v>
      </c>
      <c r="B1" s="46" t="s">
        <v>50</v>
      </c>
    </row>
    <row r="2" spans="1:7" x14ac:dyDescent="0.25">
      <c r="A2" s="1" t="s">
        <v>429</v>
      </c>
      <c r="B2" s="46" t="s">
        <v>50</v>
      </c>
    </row>
    <row r="4" spans="1:7" x14ac:dyDescent="0.25">
      <c r="A4" s="1" t="s">
        <v>1166</v>
      </c>
      <c r="G4" s="1" t="s">
        <v>1166</v>
      </c>
    </row>
    <row r="5" spans="1:7" x14ac:dyDescent="0.25">
      <c r="A5" s="121" t="s">
        <v>442</v>
      </c>
      <c r="G5" s="121">
        <v>2021</v>
      </c>
    </row>
    <row r="6" spans="1:7" x14ac:dyDescent="0.25">
      <c r="A6" s="121" t="s">
        <v>431</v>
      </c>
      <c r="G6" s="122" t="s">
        <v>200</v>
      </c>
    </row>
    <row r="7" spans="1:7" x14ac:dyDescent="0.25">
      <c r="A7" s="121" t="s">
        <v>432</v>
      </c>
      <c r="G7" s="122" t="s">
        <v>194</v>
      </c>
    </row>
    <row r="8" spans="1:7" x14ac:dyDescent="0.25">
      <c r="A8" s="121" t="s">
        <v>364</v>
      </c>
      <c r="G8" s="122" t="s">
        <v>198</v>
      </c>
    </row>
    <row r="9" spans="1:7" x14ac:dyDescent="0.25">
      <c r="A9" s="121" t="s">
        <v>441</v>
      </c>
      <c r="G9" s="122" t="s">
        <v>1167</v>
      </c>
    </row>
    <row r="10" spans="1:7" x14ac:dyDescent="0.25">
      <c r="A10" s="121" t="s">
        <v>363</v>
      </c>
      <c r="G10" s="121" t="s">
        <v>124</v>
      </c>
    </row>
    <row r="11" spans="1:7" x14ac:dyDescent="0.25">
      <c r="A11" s="121" t="s">
        <v>347</v>
      </c>
      <c r="G11" s="122" t="s">
        <v>199</v>
      </c>
    </row>
    <row r="12" spans="1:7" x14ac:dyDescent="0.25">
      <c r="A12" s="121" t="s">
        <v>288</v>
      </c>
      <c r="G12" s="122" t="s">
        <v>1167</v>
      </c>
    </row>
    <row r="13" spans="1:7" x14ac:dyDescent="0.25">
      <c r="A13" s="121" t="s">
        <v>443</v>
      </c>
      <c r="G13" s="121" t="s">
        <v>12</v>
      </c>
    </row>
    <row r="14" spans="1:7" x14ac:dyDescent="0.25">
      <c r="A14" s="121" t="s">
        <v>330</v>
      </c>
    </row>
    <row r="15" spans="1:7" x14ac:dyDescent="0.25">
      <c r="A15" s="121" t="s">
        <v>12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Q20"/>
  <sheetViews>
    <sheetView workbookViewId="0">
      <selection activeCell="A2" sqref="A2:K20"/>
    </sheetView>
  </sheetViews>
  <sheetFormatPr baseColWidth="10" defaultRowHeight="15" x14ac:dyDescent="0.25"/>
  <cols>
    <col min="2" max="2" width="18.42578125" style="47" customWidth="1"/>
    <col min="3" max="3" width="16.5703125" style="47" customWidth="1"/>
    <col min="4" max="4" width="15.28515625" customWidth="1"/>
    <col min="11" max="11" width="12.7109375" bestFit="1" customWidth="1"/>
    <col min="14" max="14" width="11.42578125" style="46"/>
    <col min="15" max="15" width="14.7109375" style="46" bestFit="1" customWidth="1"/>
  </cols>
  <sheetData>
    <row r="1" spans="1:17" x14ac:dyDescent="0.25">
      <c r="A1" s="4" t="s">
        <v>18</v>
      </c>
      <c r="B1" s="125" t="s">
        <v>20</v>
      </c>
      <c r="C1" s="125" t="s">
        <v>223</v>
      </c>
      <c r="D1" s="4" t="s">
        <v>45</v>
      </c>
      <c r="E1" s="4" t="s">
        <v>48</v>
      </c>
      <c r="F1" s="4" t="s">
        <v>47</v>
      </c>
      <c r="G1" s="4" t="s">
        <v>49</v>
      </c>
      <c r="H1" s="4" t="s">
        <v>421</v>
      </c>
      <c r="I1" s="4" t="s">
        <v>424</v>
      </c>
      <c r="J1" s="4" t="s">
        <v>426</v>
      </c>
      <c r="K1" s="4" t="s">
        <v>427</v>
      </c>
      <c r="L1" s="4" t="s">
        <v>423</v>
      </c>
      <c r="M1" s="4" t="s">
        <v>428</v>
      </c>
      <c r="N1" s="4" t="s">
        <v>422</v>
      </c>
      <c r="O1" s="4" t="s">
        <v>1168</v>
      </c>
      <c r="P1" s="4" t="s">
        <v>429</v>
      </c>
      <c r="Q1" s="4" t="s">
        <v>430</v>
      </c>
    </row>
    <row r="2" spans="1:17" x14ac:dyDescent="0.25">
      <c r="A2" t="s">
        <v>442</v>
      </c>
      <c r="B2" s="47">
        <v>44516</v>
      </c>
      <c r="C2" s="47">
        <v>44504</v>
      </c>
      <c r="D2" t="s">
        <v>139</v>
      </c>
      <c r="E2">
        <v>6</v>
      </c>
      <c r="F2">
        <v>6</v>
      </c>
      <c r="G2">
        <v>1</v>
      </c>
      <c r="H2">
        <v>4.9999999999999992E-3</v>
      </c>
      <c r="I2">
        <v>2</v>
      </c>
      <c r="J2">
        <v>0</v>
      </c>
      <c r="K2" t="e">
        <v>#N/A</v>
      </c>
      <c r="L2" t="e">
        <v>#N/A</v>
      </c>
      <c r="M2" t="e">
        <v>#N/A</v>
      </c>
      <c r="N2" s="46" t="e">
        <v>#N/A</v>
      </c>
      <c r="O2" s="46">
        <v>11</v>
      </c>
      <c r="P2">
        <v>2021</v>
      </c>
      <c r="Q2" t="s">
        <v>1192</v>
      </c>
    </row>
    <row r="3" spans="1:17" x14ac:dyDescent="0.25">
      <c r="A3" t="s">
        <v>431</v>
      </c>
      <c r="B3" s="47">
        <v>44512</v>
      </c>
      <c r="C3" s="47">
        <v>44501</v>
      </c>
      <c r="D3" t="s">
        <v>46</v>
      </c>
      <c r="E3">
        <v>56</v>
      </c>
      <c r="F3">
        <v>56</v>
      </c>
      <c r="G3">
        <v>1</v>
      </c>
      <c r="H3">
        <v>60.616110000000006</v>
      </c>
      <c r="I3">
        <v>8</v>
      </c>
      <c r="J3">
        <v>0.66666666666666663</v>
      </c>
      <c r="K3" t="e">
        <v>#N/A</v>
      </c>
      <c r="L3" t="e">
        <v>#N/A</v>
      </c>
      <c r="M3" t="e">
        <v>#N/A</v>
      </c>
      <c r="N3" s="46" t="e">
        <v>#N/A</v>
      </c>
      <c r="O3" s="46">
        <v>11</v>
      </c>
      <c r="P3">
        <v>2021</v>
      </c>
      <c r="Q3" t="s">
        <v>1192</v>
      </c>
    </row>
    <row r="4" spans="1:17" x14ac:dyDescent="0.25">
      <c r="A4" t="s">
        <v>432</v>
      </c>
      <c r="B4" s="47">
        <v>44501</v>
      </c>
      <c r="C4" s="47">
        <v>44503</v>
      </c>
      <c r="D4" t="s">
        <v>139</v>
      </c>
      <c r="E4">
        <v>5</v>
      </c>
      <c r="F4">
        <v>5</v>
      </c>
      <c r="G4">
        <v>1</v>
      </c>
      <c r="H4">
        <v>9.7221000000000002E-2</v>
      </c>
      <c r="I4">
        <v>4</v>
      </c>
      <c r="J4">
        <v>0</v>
      </c>
      <c r="K4" t="e">
        <v>#N/A</v>
      </c>
      <c r="L4" t="e">
        <v>#N/A</v>
      </c>
      <c r="M4" t="e">
        <v>#N/A</v>
      </c>
      <c r="N4" s="46" t="e">
        <v>#N/A</v>
      </c>
      <c r="O4" s="46">
        <v>11</v>
      </c>
      <c r="P4">
        <v>2021</v>
      </c>
      <c r="Q4" t="s">
        <v>1192</v>
      </c>
    </row>
    <row r="5" spans="1:17" x14ac:dyDescent="0.25">
      <c r="A5" t="s">
        <v>364</v>
      </c>
      <c r="B5" s="47">
        <v>44501</v>
      </c>
      <c r="C5" s="47">
        <v>44489</v>
      </c>
      <c r="D5" t="s">
        <v>139</v>
      </c>
      <c r="E5">
        <v>76</v>
      </c>
      <c r="F5">
        <v>76</v>
      </c>
      <c r="G5">
        <v>1</v>
      </c>
      <c r="H5">
        <v>119.17734099999994</v>
      </c>
      <c r="I5">
        <v>33</v>
      </c>
      <c r="J5">
        <v>0</v>
      </c>
      <c r="K5" t="s">
        <v>197</v>
      </c>
      <c r="L5" t="s">
        <v>198</v>
      </c>
      <c r="M5" t="s">
        <v>2</v>
      </c>
      <c r="N5" s="46" t="s">
        <v>759</v>
      </c>
      <c r="O5" s="46">
        <v>11</v>
      </c>
      <c r="P5">
        <v>2021</v>
      </c>
      <c r="Q5" t="s">
        <v>1192</v>
      </c>
    </row>
    <row r="6" spans="1:17" x14ac:dyDescent="0.25">
      <c r="A6" t="s">
        <v>441</v>
      </c>
      <c r="B6" s="47">
        <v>44516</v>
      </c>
      <c r="C6" s="47">
        <v>44505</v>
      </c>
      <c r="D6" t="s">
        <v>139</v>
      </c>
      <c r="E6">
        <v>15</v>
      </c>
      <c r="F6">
        <v>15</v>
      </c>
      <c r="G6">
        <v>1</v>
      </c>
      <c r="H6">
        <v>1.2500000000000001E-2</v>
      </c>
      <c r="I6">
        <v>5</v>
      </c>
      <c r="J6">
        <v>0</v>
      </c>
      <c r="K6" t="e">
        <v>#N/A</v>
      </c>
      <c r="L6" t="e">
        <v>#N/A</v>
      </c>
      <c r="M6" t="e">
        <v>#N/A</v>
      </c>
      <c r="N6" s="46" t="e">
        <v>#N/A</v>
      </c>
      <c r="O6" s="46">
        <v>11</v>
      </c>
      <c r="P6">
        <v>2021</v>
      </c>
      <c r="Q6" t="s">
        <v>1192</v>
      </c>
    </row>
    <row r="7" spans="1:17" x14ac:dyDescent="0.25">
      <c r="A7" t="s">
        <v>363</v>
      </c>
      <c r="B7" s="47">
        <v>44501</v>
      </c>
      <c r="C7" s="47">
        <v>44491</v>
      </c>
      <c r="D7" t="s">
        <v>139</v>
      </c>
      <c r="E7">
        <v>3520</v>
      </c>
      <c r="F7">
        <v>3520</v>
      </c>
      <c r="G7">
        <v>1</v>
      </c>
      <c r="H7">
        <v>7.7585010000000025</v>
      </c>
      <c r="I7">
        <v>69</v>
      </c>
      <c r="J7">
        <v>5.6124999999999998</v>
      </c>
      <c r="K7" t="s">
        <v>193</v>
      </c>
      <c r="L7" t="s">
        <v>200</v>
      </c>
      <c r="M7" t="s">
        <v>0</v>
      </c>
      <c r="N7" s="46" t="s">
        <v>760</v>
      </c>
      <c r="O7" s="46">
        <v>11</v>
      </c>
      <c r="P7">
        <v>2021</v>
      </c>
      <c r="Q7" t="s">
        <v>1192</v>
      </c>
    </row>
    <row r="8" spans="1:17" x14ac:dyDescent="0.25">
      <c r="A8" t="s">
        <v>347</v>
      </c>
      <c r="B8" s="47" t="s">
        <v>322</v>
      </c>
      <c r="C8" s="47">
        <v>44494</v>
      </c>
      <c r="D8" t="s">
        <v>46</v>
      </c>
      <c r="E8">
        <v>1</v>
      </c>
      <c r="F8">
        <v>1</v>
      </c>
      <c r="G8">
        <v>1</v>
      </c>
      <c r="H8">
        <v>0.26041700000000001</v>
      </c>
      <c r="I8">
        <v>1</v>
      </c>
      <c r="J8">
        <v>0</v>
      </c>
      <c r="K8" t="e">
        <v>#N/A</v>
      </c>
      <c r="L8" t="e">
        <v>#N/A</v>
      </c>
      <c r="M8" t="e">
        <v>#N/A</v>
      </c>
      <c r="N8" s="46" t="e">
        <v>#N/A</v>
      </c>
      <c r="Q8" t="s">
        <v>1192</v>
      </c>
    </row>
    <row r="9" spans="1:17" x14ac:dyDescent="0.25">
      <c r="A9" t="s">
        <v>288</v>
      </c>
      <c r="B9" s="47" t="s">
        <v>124</v>
      </c>
      <c r="C9" s="47">
        <v>44431</v>
      </c>
      <c r="D9" t="s">
        <v>46</v>
      </c>
      <c r="E9">
        <v>61</v>
      </c>
      <c r="F9">
        <v>61</v>
      </c>
      <c r="G9">
        <v>1</v>
      </c>
      <c r="H9">
        <v>4.2638949999999998</v>
      </c>
      <c r="I9">
        <v>42</v>
      </c>
      <c r="J9">
        <v>-12.539682539682538</v>
      </c>
      <c r="K9" t="s">
        <v>193</v>
      </c>
      <c r="L9" t="s">
        <v>199</v>
      </c>
      <c r="M9" t="s">
        <v>2</v>
      </c>
      <c r="N9" s="46" t="s">
        <v>760</v>
      </c>
      <c r="Q9" t="s">
        <v>1192</v>
      </c>
    </row>
    <row r="10" spans="1:17" x14ac:dyDescent="0.25">
      <c r="A10" t="s">
        <v>443</v>
      </c>
      <c r="B10" s="47" t="s">
        <v>124</v>
      </c>
      <c r="C10" s="47">
        <v>44505</v>
      </c>
      <c r="D10" t="s">
        <v>46</v>
      </c>
      <c r="E10">
        <v>5</v>
      </c>
      <c r="F10">
        <v>5</v>
      </c>
      <c r="G10">
        <v>1</v>
      </c>
      <c r="H10">
        <v>32.871110999999999</v>
      </c>
      <c r="I10">
        <v>1</v>
      </c>
      <c r="J10">
        <v>-0.4</v>
      </c>
      <c r="K10" t="e">
        <v>#N/A</v>
      </c>
      <c r="L10" t="e">
        <v>#N/A</v>
      </c>
      <c r="M10" t="e">
        <v>#N/A</v>
      </c>
      <c r="N10" s="46" t="e">
        <v>#N/A</v>
      </c>
      <c r="Q10" t="s">
        <v>1192</v>
      </c>
    </row>
    <row r="11" spans="1:17" x14ac:dyDescent="0.25">
      <c r="A11" t="s">
        <v>442</v>
      </c>
      <c r="B11" s="47">
        <v>44516</v>
      </c>
      <c r="C11" s="47">
        <v>44504</v>
      </c>
      <c r="D11" t="s">
        <v>139</v>
      </c>
      <c r="E11">
        <v>6</v>
      </c>
      <c r="F11">
        <v>6</v>
      </c>
      <c r="G11">
        <v>1</v>
      </c>
      <c r="H11">
        <v>4.9999999999999992E-3</v>
      </c>
      <c r="I11">
        <v>2</v>
      </c>
      <c r="J11">
        <v>0</v>
      </c>
      <c r="K11" t="e">
        <v>#N/A</v>
      </c>
      <c r="L11" t="e">
        <v>#N/A</v>
      </c>
      <c r="M11" t="e">
        <v>#N/A</v>
      </c>
      <c r="N11" s="46" t="e">
        <v>#N/A</v>
      </c>
      <c r="O11" s="46">
        <v>11</v>
      </c>
      <c r="P11">
        <v>2021</v>
      </c>
      <c r="Q11" t="s">
        <v>1192</v>
      </c>
    </row>
    <row r="12" spans="1:17" x14ac:dyDescent="0.25">
      <c r="A12" t="s">
        <v>431</v>
      </c>
      <c r="B12" s="47">
        <v>44512</v>
      </c>
      <c r="C12" s="47">
        <v>44501</v>
      </c>
      <c r="D12" t="s">
        <v>46</v>
      </c>
      <c r="E12">
        <v>56</v>
      </c>
      <c r="F12">
        <v>56</v>
      </c>
      <c r="G12">
        <v>1</v>
      </c>
      <c r="H12">
        <v>60.616110000000006</v>
      </c>
      <c r="I12">
        <v>8</v>
      </c>
      <c r="J12">
        <v>0.66666666666666663</v>
      </c>
      <c r="K12" t="e">
        <v>#N/A</v>
      </c>
      <c r="L12" t="e">
        <v>#N/A</v>
      </c>
      <c r="M12" t="e">
        <v>#N/A</v>
      </c>
      <c r="N12" s="46" t="e">
        <v>#N/A</v>
      </c>
      <c r="O12" s="46">
        <v>11</v>
      </c>
      <c r="P12">
        <v>2021</v>
      </c>
      <c r="Q12" t="s">
        <v>1192</v>
      </c>
    </row>
    <row r="13" spans="1:17" x14ac:dyDescent="0.25">
      <c r="A13" t="s">
        <v>432</v>
      </c>
      <c r="B13" s="47">
        <v>44501</v>
      </c>
      <c r="C13" s="47">
        <v>44503</v>
      </c>
      <c r="D13" t="s">
        <v>139</v>
      </c>
      <c r="E13">
        <v>5</v>
      </c>
      <c r="F13">
        <v>5</v>
      </c>
      <c r="G13">
        <v>1</v>
      </c>
      <c r="H13">
        <v>9.7221000000000002E-2</v>
      </c>
      <c r="I13">
        <v>4</v>
      </c>
      <c r="J13">
        <v>0</v>
      </c>
      <c r="K13" t="e">
        <v>#N/A</v>
      </c>
      <c r="L13" t="e">
        <v>#N/A</v>
      </c>
      <c r="M13" t="e">
        <v>#N/A</v>
      </c>
      <c r="N13" s="46" t="e">
        <v>#N/A</v>
      </c>
      <c r="O13" s="46">
        <v>11</v>
      </c>
      <c r="P13">
        <v>2021</v>
      </c>
      <c r="Q13" t="s">
        <v>1192</v>
      </c>
    </row>
    <row r="14" spans="1:17" x14ac:dyDescent="0.25">
      <c r="A14" t="s">
        <v>364</v>
      </c>
      <c r="B14" s="47">
        <v>44501</v>
      </c>
      <c r="C14" s="47">
        <v>44489</v>
      </c>
      <c r="D14" t="s">
        <v>139</v>
      </c>
      <c r="E14">
        <v>76</v>
      </c>
      <c r="F14">
        <v>76</v>
      </c>
      <c r="G14">
        <v>1</v>
      </c>
      <c r="H14">
        <v>119.17734099999994</v>
      </c>
      <c r="I14">
        <v>33</v>
      </c>
      <c r="J14">
        <v>0</v>
      </c>
      <c r="K14" t="s">
        <v>197</v>
      </c>
      <c r="L14" t="s">
        <v>198</v>
      </c>
      <c r="M14" t="s">
        <v>2</v>
      </c>
      <c r="N14" s="46" t="s">
        <v>759</v>
      </c>
      <c r="O14" s="46">
        <v>11</v>
      </c>
      <c r="P14">
        <v>2021</v>
      </c>
      <c r="Q14" t="s">
        <v>1192</v>
      </c>
    </row>
    <row r="15" spans="1:17" x14ac:dyDescent="0.25">
      <c r="A15" t="s">
        <v>441</v>
      </c>
      <c r="B15" s="47">
        <v>44516</v>
      </c>
      <c r="C15" s="47">
        <v>44505</v>
      </c>
      <c r="D15" t="s">
        <v>139</v>
      </c>
      <c r="E15">
        <v>15</v>
      </c>
      <c r="F15">
        <v>15</v>
      </c>
      <c r="G15">
        <v>1</v>
      </c>
      <c r="H15">
        <v>1.2500000000000001E-2</v>
      </c>
      <c r="I15">
        <v>5</v>
      </c>
      <c r="J15">
        <v>0</v>
      </c>
      <c r="K15" t="e">
        <v>#N/A</v>
      </c>
      <c r="L15" t="e">
        <v>#N/A</v>
      </c>
      <c r="M15" t="e">
        <v>#N/A</v>
      </c>
      <c r="N15" s="46" t="e">
        <v>#N/A</v>
      </c>
      <c r="O15" s="46">
        <v>11</v>
      </c>
      <c r="P15">
        <v>2021</v>
      </c>
      <c r="Q15" t="s">
        <v>1192</v>
      </c>
    </row>
    <row r="16" spans="1:17" x14ac:dyDescent="0.25">
      <c r="A16" t="s">
        <v>363</v>
      </c>
      <c r="B16" s="47">
        <v>44501</v>
      </c>
      <c r="C16" s="47">
        <v>44491</v>
      </c>
      <c r="D16" t="s">
        <v>139</v>
      </c>
      <c r="E16">
        <v>3520</v>
      </c>
      <c r="F16">
        <v>3520</v>
      </c>
      <c r="G16">
        <v>1</v>
      </c>
      <c r="H16">
        <v>7.7585010000000025</v>
      </c>
      <c r="I16">
        <v>69</v>
      </c>
      <c r="J16">
        <v>5.6124999999999998</v>
      </c>
      <c r="K16" t="s">
        <v>193</v>
      </c>
      <c r="L16" t="s">
        <v>200</v>
      </c>
      <c r="M16" t="s">
        <v>0</v>
      </c>
      <c r="N16" s="46" t="s">
        <v>760</v>
      </c>
      <c r="O16" s="46">
        <v>11</v>
      </c>
      <c r="P16">
        <v>2021</v>
      </c>
      <c r="Q16" t="s">
        <v>1192</v>
      </c>
    </row>
    <row r="17" spans="1:17" x14ac:dyDescent="0.25">
      <c r="A17" t="s">
        <v>347</v>
      </c>
      <c r="B17" s="47" t="s">
        <v>322</v>
      </c>
      <c r="C17" s="47">
        <v>44494</v>
      </c>
      <c r="D17" t="s">
        <v>46</v>
      </c>
      <c r="E17">
        <v>1</v>
      </c>
      <c r="F17">
        <v>1</v>
      </c>
      <c r="G17">
        <v>1</v>
      </c>
      <c r="H17">
        <v>0.26041700000000001</v>
      </c>
      <c r="I17">
        <v>1</v>
      </c>
      <c r="J17">
        <v>0</v>
      </c>
      <c r="K17" t="e">
        <v>#N/A</v>
      </c>
      <c r="L17" t="e">
        <v>#N/A</v>
      </c>
      <c r="M17" t="e">
        <v>#N/A</v>
      </c>
      <c r="N17" s="46" t="e">
        <v>#N/A</v>
      </c>
      <c r="Q17" t="s">
        <v>1192</v>
      </c>
    </row>
    <row r="18" spans="1:17" x14ac:dyDescent="0.25">
      <c r="A18" t="s">
        <v>288</v>
      </c>
      <c r="B18" s="47" t="s">
        <v>124</v>
      </c>
      <c r="C18" s="47">
        <v>44431</v>
      </c>
      <c r="D18" t="s">
        <v>46</v>
      </c>
      <c r="E18">
        <v>61</v>
      </c>
      <c r="F18">
        <v>61</v>
      </c>
      <c r="G18">
        <v>1</v>
      </c>
      <c r="H18">
        <v>4.2638949999999998</v>
      </c>
      <c r="I18">
        <v>42</v>
      </c>
      <c r="J18">
        <v>-12.539682539682538</v>
      </c>
      <c r="K18" t="s">
        <v>193</v>
      </c>
      <c r="L18" t="s">
        <v>199</v>
      </c>
      <c r="M18" t="s">
        <v>2</v>
      </c>
      <c r="N18" s="46" t="s">
        <v>760</v>
      </c>
      <c r="Q18" t="s">
        <v>1192</v>
      </c>
    </row>
    <row r="19" spans="1:17" x14ac:dyDescent="0.25">
      <c r="A19" t="s">
        <v>443</v>
      </c>
      <c r="B19" s="47" t="s">
        <v>124</v>
      </c>
      <c r="C19" s="47">
        <v>44505</v>
      </c>
      <c r="D19" t="s">
        <v>46</v>
      </c>
      <c r="E19">
        <v>5</v>
      </c>
      <c r="F19">
        <v>5</v>
      </c>
      <c r="G19">
        <v>1</v>
      </c>
      <c r="H19">
        <v>32.871110999999999</v>
      </c>
      <c r="I19">
        <v>1</v>
      </c>
      <c r="J19">
        <v>-0.4</v>
      </c>
      <c r="K19" t="e">
        <v>#N/A</v>
      </c>
      <c r="L19" t="e">
        <v>#N/A</v>
      </c>
      <c r="M19" t="e">
        <v>#N/A</v>
      </c>
      <c r="N19" s="46" t="e">
        <v>#N/A</v>
      </c>
      <c r="Q19" t="s">
        <v>1192</v>
      </c>
    </row>
    <row r="20" spans="1:17" x14ac:dyDescent="0.25">
      <c r="A20" t="s">
        <v>330</v>
      </c>
      <c r="B20" s="47">
        <v>44517</v>
      </c>
      <c r="C20" s="47">
        <v>44502</v>
      </c>
      <c r="D20" t="s">
        <v>139</v>
      </c>
      <c r="E20">
        <v>25</v>
      </c>
      <c r="F20">
        <v>25</v>
      </c>
      <c r="G20">
        <v>1</v>
      </c>
      <c r="H20">
        <v>2.0833000000000004E-2</v>
      </c>
      <c r="I20">
        <v>10</v>
      </c>
      <c r="J20">
        <v>-1</v>
      </c>
      <c r="K20" t="s">
        <v>193</v>
      </c>
      <c r="L20" t="s">
        <v>194</v>
      </c>
      <c r="M20" t="s">
        <v>0</v>
      </c>
      <c r="N20" s="46" t="s">
        <v>758</v>
      </c>
      <c r="O20" s="46">
        <v>11</v>
      </c>
      <c r="P20">
        <v>2021</v>
      </c>
      <c r="Q20" t="s">
        <v>1192</v>
      </c>
    </row>
  </sheetData>
  <conditionalFormatting sqref="Q1">
    <cfRule type="cellIs" dxfId="5" priority="5" operator="equal">
      <formula>"Revisar"</formula>
    </cfRule>
    <cfRule type="cellIs" dxfId="4" priority="6" operator="equal">
      <formula>"OK"</formula>
    </cfRule>
  </conditionalFormatting>
  <conditionalFormatting sqref="Q1">
    <cfRule type="cellIs" dxfId="3" priority="3" operator="equal">
      <formula>"NO"</formula>
    </cfRule>
    <cfRule type="cellIs" dxfId="2" priority="4" operator="equal">
      <formula>"SI"</formula>
    </cfRule>
  </conditionalFormatting>
  <conditionalFormatting sqref="Q1:Q1048576">
    <cfRule type="cellIs" dxfId="1" priority="1" operator="equal">
      <formula>"SI"</formula>
    </cfRule>
    <cfRule type="cellIs" dxfId="0" priority="2" operator="equal">
      <formula>"NO"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92D050"/>
  </sheetPr>
  <dimension ref="B3:CD392"/>
  <sheetViews>
    <sheetView showGridLines="0" zoomScale="115" zoomScaleNormal="115" workbookViewId="0">
      <selection activeCell="F108" sqref="F108:XFD108"/>
    </sheetView>
  </sheetViews>
  <sheetFormatPr baseColWidth="10" defaultRowHeight="15" x14ac:dyDescent="0.25"/>
  <cols>
    <col min="1" max="1" width="42.140625" style="46" customWidth="1"/>
    <col min="2" max="2" width="12.5703125" style="46" customWidth="1"/>
    <col min="3" max="3" width="16.42578125" style="46" customWidth="1"/>
    <col min="4" max="4" width="8.5703125" style="46" customWidth="1"/>
    <col min="5" max="5" width="10.5703125" style="46" customWidth="1"/>
    <col min="6" max="6" width="10.5703125" style="46" bestFit="1" customWidth="1"/>
    <col min="7" max="7" width="12.5703125" style="46" customWidth="1"/>
    <col min="8" max="8" width="11.7109375" style="46" customWidth="1"/>
    <col min="9" max="9" width="8.5703125" style="46" bestFit="1" customWidth="1"/>
    <col min="10" max="10" width="10.5703125" style="46" bestFit="1" customWidth="1"/>
    <col min="11" max="11" width="5.7109375" style="46" customWidth="1"/>
    <col min="12" max="12" width="12.5703125" style="46" customWidth="1"/>
    <col min="13" max="13" width="15.28515625" style="46" bestFit="1" customWidth="1"/>
    <col min="14" max="14" width="8.5703125" style="46" bestFit="1" customWidth="1"/>
    <col min="15" max="15" width="10.5703125" style="46" bestFit="1" customWidth="1"/>
    <col min="16" max="16" width="12.28515625" style="46" customWidth="1"/>
    <col min="17" max="17" width="9.140625" style="46" customWidth="1"/>
    <col min="18" max="18" width="8.5703125" style="46" bestFit="1" customWidth="1"/>
    <col min="19" max="19" width="10.5703125" style="46" bestFit="1" customWidth="1"/>
    <col min="20" max="20" width="10.42578125" style="46" bestFit="1" customWidth="1"/>
    <col min="21" max="82" width="3" style="46" customWidth="1"/>
    <col min="83" max="150" width="4" style="46" customWidth="1"/>
    <col min="151" max="170" width="5" style="46" customWidth="1"/>
    <col min="171" max="180" width="6" style="46" customWidth="1"/>
    <col min="181" max="181" width="12.5703125" style="46" bestFit="1" customWidth="1"/>
    <col min="182" max="16384" width="11.42578125" style="46"/>
  </cols>
  <sheetData>
    <row r="3" spans="2:82" ht="25.5" x14ac:dyDescent="0.25">
      <c r="B3" s="135" t="s">
        <v>179</v>
      </c>
      <c r="C3" s="135"/>
      <c r="D3" s="135"/>
      <c r="E3" s="135"/>
      <c r="F3" s="135"/>
      <c r="G3" s="135"/>
      <c r="H3" s="135"/>
      <c r="I3" s="135"/>
      <c r="J3" s="135"/>
    </row>
    <row r="5" spans="2:82" ht="18" x14ac:dyDescent="0.25">
      <c r="B5" s="137" t="s">
        <v>110</v>
      </c>
      <c r="C5" s="137"/>
      <c r="D5" s="137"/>
      <c r="E5" s="137"/>
      <c r="F5" s="137"/>
      <c r="G5" s="137"/>
      <c r="H5" s="137"/>
      <c r="I5" s="137"/>
      <c r="J5" s="137"/>
      <c r="L5" s="137" t="s">
        <v>221</v>
      </c>
      <c r="M5" s="137"/>
      <c r="N5" s="137"/>
      <c r="O5" s="137"/>
      <c r="P5" s="137"/>
      <c r="Q5" s="137"/>
      <c r="R5" s="137"/>
      <c r="S5" s="137"/>
      <c r="T5" s="137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250637</v>
      </c>
      <c r="D10" s="10">
        <v>91670</v>
      </c>
      <c r="E10" s="14">
        <v>0.36574807390768321</v>
      </c>
      <c r="F10" s="15"/>
      <c r="L10" s="37" t="s">
        <v>154</v>
      </c>
      <c r="M10" s="49" t="s">
        <v>131</v>
      </c>
      <c r="N10" s="49" t="s">
        <v>138</v>
      </c>
      <c r="O10" s="49" t="s">
        <v>19</v>
      </c>
      <c r="P10" s="76" t="s">
        <v>220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2181</v>
      </c>
      <c r="D11" s="10">
        <v>216</v>
      </c>
      <c r="E11" s="14">
        <v>9.9037138927097659E-2</v>
      </c>
      <c r="F11" s="15"/>
      <c r="L11" s="3" t="s">
        <v>3</v>
      </c>
      <c r="M11" s="3" t="s">
        <v>181</v>
      </c>
      <c r="N11" s="3" t="s">
        <v>212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270</v>
      </c>
      <c r="N12" s="3" t="s">
        <v>732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252818</v>
      </c>
      <c r="D13" s="10">
        <v>91886</v>
      </c>
      <c r="E13" s="11">
        <v>0.36344722290343251</v>
      </c>
      <c r="F13" s="15"/>
      <c r="G13" s="7"/>
      <c r="H13" s="10"/>
      <c r="I13" s="10"/>
      <c r="J13" s="11"/>
      <c r="L13" s="3"/>
      <c r="M13" s="3" t="s">
        <v>274</v>
      </c>
      <c r="N13" s="3" t="s">
        <v>736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7" t="s">
        <v>111</v>
      </c>
      <c r="C14" s="137"/>
      <c r="D14" s="137"/>
      <c r="E14" s="137"/>
      <c r="F14" s="137"/>
      <c r="G14" s="137"/>
      <c r="H14" s="137"/>
      <c r="I14" s="137"/>
      <c r="J14" s="137"/>
      <c r="L14" s="3"/>
      <c r="M14" s="3" t="s">
        <v>275</v>
      </c>
      <c r="N14" s="3" t="s">
        <v>737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277</v>
      </c>
      <c r="N15" s="3" t="s">
        <v>278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294</v>
      </c>
      <c r="N16" s="3" t="s">
        <v>739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295</v>
      </c>
      <c r="N17" s="3" t="s">
        <v>740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296</v>
      </c>
      <c r="N18" s="3" t="s">
        <v>741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 t="s">
        <v>16</v>
      </c>
      <c r="C19" s="9" t="s">
        <v>47</v>
      </c>
      <c r="D19" s="9" t="s">
        <v>48</v>
      </c>
      <c r="E19" s="9" t="s">
        <v>49</v>
      </c>
      <c r="F19" s="3"/>
      <c r="G19" s="37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384</v>
      </c>
      <c r="N19" s="3" t="s">
        <v>385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2051</v>
      </c>
      <c r="D20" s="10">
        <v>122</v>
      </c>
      <c r="E20" s="11">
        <v>5.9483178937103851E-2</v>
      </c>
      <c r="F20" s="3"/>
      <c r="G20" s="7" t="s">
        <v>3</v>
      </c>
      <c r="H20" s="10">
        <v>2051</v>
      </c>
      <c r="I20" s="10">
        <v>122</v>
      </c>
      <c r="J20" s="11">
        <v>5.9483178937103851E-2</v>
      </c>
      <c r="L20" s="3"/>
      <c r="M20" s="3" t="s">
        <v>411</v>
      </c>
      <c r="N20" s="3" t="s">
        <v>412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51386</v>
      </c>
      <c r="D21" s="10">
        <v>45428</v>
      </c>
      <c r="E21" s="11">
        <v>0.88405402249639975</v>
      </c>
      <c r="F21" s="3"/>
      <c r="G21" s="7" t="s">
        <v>4</v>
      </c>
      <c r="H21" s="10">
        <v>51386</v>
      </c>
      <c r="I21" s="10">
        <v>45428</v>
      </c>
      <c r="J21" s="11">
        <v>0.88405402249639975</v>
      </c>
      <c r="L21" s="3"/>
      <c r="M21" s="3" t="s">
        <v>1169</v>
      </c>
      <c r="N21" s="3" t="s">
        <v>1170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724</v>
      </c>
      <c r="C22" s="10">
        <v>18730</v>
      </c>
      <c r="D22" s="10">
        <v>16524</v>
      </c>
      <c r="E22" s="11">
        <v>0.88222103577148958</v>
      </c>
      <c r="F22" s="3"/>
      <c r="G22" s="7" t="s">
        <v>724</v>
      </c>
      <c r="H22" s="10">
        <v>18730</v>
      </c>
      <c r="I22" s="10">
        <v>16524</v>
      </c>
      <c r="J22" s="11">
        <v>0.88222103577148958</v>
      </c>
      <c r="L22" s="3"/>
      <c r="M22" s="3" t="s">
        <v>1171</v>
      </c>
      <c r="N22" s="3" t="s">
        <v>1172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43428</v>
      </c>
      <c r="D23" s="10">
        <v>73</v>
      </c>
      <c r="E23" s="11">
        <v>1.6809431703048725E-3</v>
      </c>
      <c r="F23" s="3"/>
      <c r="G23" s="7" t="s">
        <v>5</v>
      </c>
      <c r="H23" s="10">
        <v>43428</v>
      </c>
      <c r="I23" s="10">
        <v>73</v>
      </c>
      <c r="J23" s="11">
        <v>1.6809431703048725E-3</v>
      </c>
      <c r="L23" s="3"/>
      <c r="M23" s="3" t="s">
        <v>1173</v>
      </c>
      <c r="N23" s="3" t="s">
        <v>1174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20660</v>
      </c>
      <c r="D24" s="10">
        <v>123</v>
      </c>
      <c r="E24" s="11">
        <v>5.9535333978702806E-3</v>
      </c>
      <c r="F24" s="3"/>
      <c r="G24" s="7" t="s">
        <v>6</v>
      </c>
      <c r="H24" s="10">
        <v>20660</v>
      </c>
      <c r="I24" s="10">
        <v>123</v>
      </c>
      <c r="J24" s="11">
        <v>5.9535333978702806E-3</v>
      </c>
      <c r="L24" s="3"/>
      <c r="M24" s="3" t="s">
        <v>433</v>
      </c>
      <c r="N24" s="3" t="s">
        <v>1175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1332</v>
      </c>
      <c r="D25" s="10">
        <v>103</v>
      </c>
      <c r="E25" s="11">
        <v>7.7327327327327333E-2</v>
      </c>
      <c r="F25" s="3"/>
      <c r="G25" s="7" t="s">
        <v>7</v>
      </c>
      <c r="H25" s="10">
        <v>1332</v>
      </c>
      <c r="I25" s="10">
        <v>103</v>
      </c>
      <c r="J25" s="11">
        <v>7.7327327327327333E-2</v>
      </c>
      <c r="L25" s="3"/>
      <c r="M25" s="3" t="s">
        <v>434</v>
      </c>
      <c r="N25" s="3" t="s">
        <v>435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12170</v>
      </c>
      <c r="D26" s="10">
        <v>36</v>
      </c>
      <c r="E26" s="11">
        <v>2.9580936729663105E-3</v>
      </c>
      <c r="F26" s="3"/>
      <c r="G26" s="7" t="s">
        <v>149</v>
      </c>
      <c r="H26" s="10">
        <v>12170</v>
      </c>
      <c r="I26" s="10">
        <v>36</v>
      </c>
      <c r="J26" s="11">
        <v>2.9580936729663105E-3</v>
      </c>
      <c r="L26" s="3"/>
      <c r="M26" s="3" t="s">
        <v>436</v>
      </c>
      <c r="N26" s="3" t="s">
        <v>437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16516</v>
      </c>
      <c r="D27" s="10">
        <v>83</v>
      </c>
      <c r="E27" s="11">
        <v>5.0254298861709861E-3</v>
      </c>
      <c r="F27" s="3"/>
      <c r="G27" s="7" t="s">
        <v>8</v>
      </c>
      <c r="H27" s="10">
        <v>16516</v>
      </c>
      <c r="I27" s="10">
        <v>83</v>
      </c>
      <c r="J27" s="11">
        <v>5.0254298861709861E-3</v>
      </c>
      <c r="L27" s="3"/>
      <c r="M27" s="3" t="s">
        <v>438</v>
      </c>
      <c r="N27" s="3" t="s">
        <v>439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33709</v>
      </c>
      <c r="D28" s="10">
        <v>298</v>
      </c>
      <c r="E28" s="11">
        <v>8.8403690409089557E-3</v>
      </c>
      <c r="F28" s="3"/>
      <c r="G28" s="7" t="s">
        <v>9</v>
      </c>
      <c r="H28" s="10">
        <v>33709</v>
      </c>
      <c r="I28" s="10">
        <v>298</v>
      </c>
      <c r="J28" s="11">
        <v>8.8403690409089557E-3</v>
      </c>
      <c r="L28" s="3"/>
      <c r="M28" s="3" t="s">
        <v>440</v>
      </c>
      <c r="N28" s="3" t="s">
        <v>1176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40596</v>
      </c>
      <c r="D29" s="10">
        <v>29083</v>
      </c>
      <c r="E29" s="11">
        <v>0.71640063060400039</v>
      </c>
      <c r="F29" s="3"/>
      <c r="G29" s="7" t="s">
        <v>10</v>
      </c>
      <c r="H29" s="10">
        <v>40596</v>
      </c>
      <c r="I29" s="10">
        <v>29083</v>
      </c>
      <c r="J29" s="11">
        <v>0.71640063060400039</v>
      </c>
      <c r="L29" s="3"/>
      <c r="M29" s="3" t="s">
        <v>1180</v>
      </c>
      <c r="N29" s="3" t="s">
        <v>321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12240</v>
      </c>
      <c r="D30" s="10">
        <v>13</v>
      </c>
      <c r="E30" s="11">
        <v>1.0620915032679738E-3</v>
      </c>
      <c r="F30" s="3"/>
      <c r="G30" s="7" t="s">
        <v>150</v>
      </c>
      <c r="H30" s="10">
        <v>12240</v>
      </c>
      <c r="I30" s="10">
        <v>13</v>
      </c>
      <c r="J30" s="11">
        <v>1.0620915032679738E-3</v>
      </c>
      <c r="L30" s="3"/>
      <c r="M30" s="3" t="s">
        <v>446</v>
      </c>
      <c r="N30" s="3" t="s">
        <v>1190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447</v>
      </c>
      <c r="N31" s="3" t="s">
        <v>448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252818</v>
      </c>
      <c r="D32" s="10">
        <v>91886</v>
      </c>
      <c r="E32" s="11">
        <v>0.36344722290343251</v>
      </c>
      <c r="F32" s="3"/>
      <c r="G32" s="7" t="s">
        <v>12</v>
      </c>
      <c r="H32" s="10">
        <v>252818</v>
      </c>
      <c r="I32" s="10">
        <v>91886</v>
      </c>
      <c r="J32" s="11">
        <v>0.36344722290343251</v>
      </c>
      <c r="L32" s="3"/>
      <c r="M32" s="3" t="s">
        <v>449</v>
      </c>
      <c r="N32" s="3" t="s">
        <v>1191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409</v>
      </c>
      <c r="N33" s="3" t="s">
        <v>410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F34" s="3"/>
      <c r="G34" s="3"/>
      <c r="L34" s="3"/>
      <c r="M34" s="3" t="s">
        <v>1193</v>
      </c>
      <c r="N34" s="3" t="s">
        <v>1194</v>
      </c>
      <c r="O34" s="3" t="s">
        <v>1</v>
      </c>
      <c r="P34" s="3" t="s">
        <v>124</v>
      </c>
      <c r="Q34" s="10">
        <v>1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F35" s="3"/>
      <c r="G35" s="3"/>
      <c r="L35" s="3"/>
      <c r="M35" s="3" t="s">
        <v>1200</v>
      </c>
      <c r="N35" s="3" t="s">
        <v>1201</v>
      </c>
      <c r="O35" s="3" t="s">
        <v>0</v>
      </c>
      <c r="P35" s="3" t="s">
        <v>124</v>
      </c>
      <c r="Q35" s="10">
        <v>4</v>
      </c>
      <c r="R35" s="10"/>
      <c r="S35" s="11">
        <v>0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ht="18" x14ac:dyDescent="0.25">
      <c r="B36" s="137" t="s">
        <v>109</v>
      </c>
      <c r="C36" s="137"/>
      <c r="D36" s="137"/>
      <c r="E36" s="137"/>
      <c r="F36" s="137"/>
      <c r="G36" s="137"/>
      <c r="H36" s="137"/>
      <c r="I36" s="137"/>
      <c r="J36" s="137"/>
      <c r="L36" s="3"/>
      <c r="M36" s="3" t="s">
        <v>1204</v>
      </c>
      <c r="N36" s="3" t="s">
        <v>1205</v>
      </c>
      <c r="O36" s="3" t="s">
        <v>0</v>
      </c>
      <c r="P36" s="3" t="s">
        <v>124</v>
      </c>
      <c r="Q36" s="10">
        <v>10</v>
      </c>
      <c r="R36" s="10"/>
      <c r="S36" s="11">
        <v>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F37" s="3"/>
      <c r="G37" s="3"/>
      <c r="L37" s="3"/>
      <c r="M37" s="3" t="s">
        <v>1206</v>
      </c>
      <c r="N37" s="3" t="s">
        <v>1207</v>
      </c>
      <c r="O37" s="3" t="s">
        <v>2</v>
      </c>
      <c r="P37" s="3" t="s">
        <v>124</v>
      </c>
      <c r="Q37" s="10">
        <v>6</v>
      </c>
      <c r="R37" s="10"/>
      <c r="S37" s="11">
        <v>0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8" t="s">
        <v>45</v>
      </c>
      <c r="C38" s="3" t="s">
        <v>50</v>
      </c>
      <c r="G38" s="8" t="s">
        <v>45</v>
      </c>
      <c r="H38" s="3" t="s">
        <v>50</v>
      </c>
      <c r="I38" s="3"/>
      <c r="J38" s="3"/>
      <c r="K38" s="3"/>
      <c r="L38" s="8" t="s">
        <v>45</v>
      </c>
      <c r="M38" s="3" t="s">
        <v>50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20" t="s">
        <v>18</v>
      </c>
      <c r="C39" s="3" t="s">
        <v>50</v>
      </c>
      <c r="G39" s="20" t="s">
        <v>18</v>
      </c>
      <c r="H39" s="3" t="s">
        <v>50</v>
      </c>
      <c r="K39" s="3"/>
      <c r="L39" s="20" t="s">
        <v>18</v>
      </c>
      <c r="M39" s="3" t="s">
        <v>50</v>
      </c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" t="s">
        <v>19</v>
      </c>
      <c r="C40" s="4" t="s">
        <v>0</v>
      </c>
      <c r="D40" s="3"/>
      <c r="E40" s="3"/>
      <c r="G40" s="3" t="s">
        <v>19</v>
      </c>
      <c r="H40" s="17" t="s">
        <v>1</v>
      </c>
      <c r="I40" s="3"/>
      <c r="J40" s="3"/>
      <c r="K40" s="3"/>
      <c r="L40" s="3" t="s">
        <v>19</v>
      </c>
      <c r="M40" s="18" t="s">
        <v>2</v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"/>
      <c r="C41" s="3"/>
      <c r="D41" s="3"/>
      <c r="E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7" t="s">
        <v>16</v>
      </c>
      <c r="C42" s="9" t="s">
        <v>47</v>
      </c>
      <c r="D42" s="9" t="s">
        <v>48</v>
      </c>
      <c r="E42" s="9" t="s">
        <v>49</v>
      </c>
      <c r="G42" s="37" t="s">
        <v>16</v>
      </c>
      <c r="H42" s="9" t="s">
        <v>47</v>
      </c>
      <c r="I42" s="9" t="s">
        <v>48</v>
      </c>
      <c r="J42" s="9" t="s">
        <v>49</v>
      </c>
      <c r="K42" s="3"/>
      <c r="L42" s="37" t="s">
        <v>16</v>
      </c>
      <c r="M42" s="9" t="s">
        <v>47</v>
      </c>
      <c r="N42" s="9" t="s">
        <v>48</v>
      </c>
      <c r="O42" s="9" t="s">
        <v>49</v>
      </c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7" t="s">
        <v>3</v>
      </c>
      <c r="C43" s="10">
        <v>177</v>
      </c>
      <c r="D43" s="10"/>
      <c r="E43" s="11">
        <v>0</v>
      </c>
      <c r="G43" s="7" t="s">
        <v>3</v>
      </c>
      <c r="H43" s="10">
        <v>355</v>
      </c>
      <c r="I43" s="10">
        <v>122</v>
      </c>
      <c r="J43" s="11">
        <v>0.3436619718309859</v>
      </c>
      <c r="K43" s="3"/>
      <c r="L43" s="7" t="s">
        <v>3</v>
      </c>
      <c r="M43" s="10">
        <v>1519</v>
      </c>
      <c r="N43" s="10"/>
      <c r="O43" s="11">
        <v>0</v>
      </c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7" t="s">
        <v>4</v>
      </c>
      <c r="C44" s="10">
        <v>47178</v>
      </c>
      <c r="D44" s="10">
        <v>45076</v>
      </c>
      <c r="E44" s="11">
        <v>0.95544533468989779</v>
      </c>
      <c r="G44" s="7" t="s">
        <v>4</v>
      </c>
      <c r="H44" s="10">
        <v>904</v>
      </c>
      <c r="I44" s="10">
        <v>352</v>
      </c>
      <c r="J44" s="11">
        <v>0.38938053097345132</v>
      </c>
      <c r="K44" s="3"/>
      <c r="L44" s="7" t="s">
        <v>4</v>
      </c>
      <c r="M44" s="10">
        <v>3304</v>
      </c>
      <c r="N44" s="10"/>
      <c r="O44" s="11">
        <v>0</v>
      </c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7" t="s">
        <v>724</v>
      </c>
      <c r="C45" s="10">
        <v>17221</v>
      </c>
      <c r="D45" s="10">
        <v>16524</v>
      </c>
      <c r="E45" s="11">
        <v>0.95952615992102663</v>
      </c>
      <c r="G45" s="7" t="s">
        <v>5</v>
      </c>
      <c r="H45" s="10">
        <v>91</v>
      </c>
      <c r="I45" s="10">
        <v>73</v>
      </c>
      <c r="J45" s="11">
        <v>0.80219780219780223</v>
      </c>
      <c r="K45" s="3"/>
      <c r="L45" s="7" t="s">
        <v>724</v>
      </c>
      <c r="M45" s="10">
        <v>1509</v>
      </c>
      <c r="N45" s="10"/>
      <c r="O45" s="11">
        <v>0</v>
      </c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7" t="s">
        <v>5</v>
      </c>
      <c r="C46" s="10">
        <v>42152</v>
      </c>
      <c r="D46" s="10"/>
      <c r="E46" s="11">
        <v>0</v>
      </c>
      <c r="G46" s="7" t="s">
        <v>6</v>
      </c>
      <c r="H46" s="10">
        <v>212</v>
      </c>
      <c r="I46" s="10">
        <v>123</v>
      </c>
      <c r="J46" s="11">
        <v>0.58018867924528306</v>
      </c>
      <c r="K46" s="3"/>
      <c r="L46" s="7" t="s">
        <v>5</v>
      </c>
      <c r="M46" s="10">
        <v>1185</v>
      </c>
      <c r="N46" s="10"/>
      <c r="O46" s="11">
        <v>0</v>
      </c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7" t="s">
        <v>6</v>
      </c>
      <c r="C47" s="10">
        <v>19260</v>
      </c>
      <c r="D47" s="10"/>
      <c r="E47" s="11">
        <v>0</v>
      </c>
      <c r="G47" s="7" t="s">
        <v>7</v>
      </c>
      <c r="H47" s="10">
        <v>170</v>
      </c>
      <c r="I47" s="10">
        <v>103</v>
      </c>
      <c r="J47" s="11">
        <v>0.60588235294117643</v>
      </c>
      <c r="K47" s="3"/>
      <c r="L47" s="7" t="s">
        <v>6</v>
      </c>
      <c r="M47" s="10">
        <v>1188</v>
      </c>
      <c r="N47" s="10"/>
      <c r="O47" s="11">
        <v>0</v>
      </c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7" t="s">
        <v>7</v>
      </c>
      <c r="C48" s="10">
        <v>199</v>
      </c>
      <c r="D48" s="10"/>
      <c r="E48" s="11">
        <v>0</v>
      </c>
      <c r="G48" s="7" t="s">
        <v>149</v>
      </c>
      <c r="H48" s="10">
        <v>3</v>
      </c>
      <c r="I48" s="10"/>
      <c r="J48" s="11">
        <v>0</v>
      </c>
      <c r="K48" s="3"/>
      <c r="L48" s="7" t="s">
        <v>7</v>
      </c>
      <c r="M48" s="10">
        <v>963</v>
      </c>
      <c r="N48" s="10"/>
      <c r="O48" s="11">
        <v>0</v>
      </c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7" t="s">
        <v>149</v>
      </c>
      <c r="C49" s="10">
        <v>11565</v>
      </c>
      <c r="D49" s="10">
        <v>36</v>
      </c>
      <c r="E49" s="11">
        <v>3.1128404669260703E-3</v>
      </c>
      <c r="G49" s="7" t="s">
        <v>8</v>
      </c>
      <c r="H49" s="10">
        <v>53</v>
      </c>
      <c r="I49" s="10">
        <v>38</v>
      </c>
      <c r="J49" s="11">
        <v>0.71698113207547165</v>
      </c>
      <c r="K49" s="3"/>
      <c r="L49" s="7" t="s">
        <v>149</v>
      </c>
      <c r="M49" s="10">
        <v>602</v>
      </c>
      <c r="N49" s="10"/>
      <c r="O49" s="11">
        <v>0</v>
      </c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7" t="s">
        <v>8</v>
      </c>
      <c r="C50" s="10">
        <v>15322</v>
      </c>
      <c r="D50" s="10">
        <v>45</v>
      </c>
      <c r="E50" s="11">
        <v>2.9369534003393814E-3</v>
      </c>
      <c r="G50" s="7" t="s">
        <v>9</v>
      </c>
      <c r="H50" s="10">
        <v>505</v>
      </c>
      <c r="I50" s="10">
        <v>298</v>
      </c>
      <c r="J50" s="11">
        <v>0.59009900990099007</v>
      </c>
      <c r="K50" s="3"/>
      <c r="L50" s="7" t="s">
        <v>8</v>
      </c>
      <c r="M50" s="10">
        <v>1141</v>
      </c>
      <c r="N50" s="10"/>
      <c r="O50" s="11">
        <v>0</v>
      </c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7" t="s">
        <v>9</v>
      </c>
      <c r="C51" s="10">
        <v>31028</v>
      </c>
      <c r="D51" s="10"/>
      <c r="E51" s="11">
        <v>0</v>
      </c>
      <c r="G51" s="7" t="s">
        <v>10</v>
      </c>
      <c r="H51" s="10">
        <v>154</v>
      </c>
      <c r="I51" s="10">
        <v>83</v>
      </c>
      <c r="J51" s="11">
        <v>0.53896103896103897</v>
      </c>
      <c r="K51" s="3"/>
      <c r="L51" s="7" t="s">
        <v>9</v>
      </c>
      <c r="M51" s="10">
        <v>2176</v>
      </c>
      <c r="N51" s="10"/>
      <c r="O51" s="11">
        <v>0</v>
      </c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7" t="s">
        <v>10</v>
      </c>
      <c r="C52" s="10">
        <v>39386</v>
      </c>
      <c r="D52" s="10">
        <v>29000</v>
      </c>
      <c r="E52" s="11">
        <v>0.73630223937439698</v>
      </c>
      <c r="G52" s="7" t="s">
        <v>150</v>
      </c>
      <c r="H52" s="10">
        <v>3</v>
      </c>
      <c r="I52" s="10">
        <v>1</v>
      </c>
      <c r="J52" s="11">
        <v>0.33333333333333331</v>
      </c>
      <c r="K52" s="3"/>
      <c r="L52" s="7" t="s">
        <v>10</v>
      </c>
      <c r="M52" s="10">
        <v>1056</v>
      </c>
      <c r="N52" s="10"/>
      <c r="O52" s="11">
        <v>0</v>
      </c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7" t="s">
        <v>150</v>
      </c>
      <c r="C53" s="10">
        <v>11477</v>
      </c>
      <c r="D53" s="10">
        <v>12</v>
      </c>
      <c r="E53" s="11">
        <v>1.0455693996689031E-3</v>
      </c>
      <c r="G53" s="7" t="s">
        <v>12</v>
      </c>
      <c r="H53" s="10">
        <v>2450</v>
      </c>
      <c r="I53" s="10">
        <v>1193</v>
      </c>
      <c r="J53" s="11">
        <v>0.48693877551020409</v>
      </c>
      <c r="K53" s="3"/>
      <c r="L53" s="7" t="s">
        <v>150</v>
      </c>
      <c r="M53" s="10">
        <v>760</v>
      </c>
      <c r="N53" s="10"/>
      <c r="O53" s="11">
        <v>0</v>
      </c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7" t="s">
        <v>12</v>
      </c>
      <c r="C54" s="10">
        <v>234965</v>
      </c>
      <c r="D54" s="10">
        <v>90693</v>
      </c>
      <c r="E54" s="11">
        <v>0.38598514672398015</v>
      </c>
      <c r="K54" s="3"/>
      <c r="L54" s="7" t="s">
        <v>12</v>
      </c>
      <c r="M54" s="10">
        <v>15403</v>
      </c>
      <c r="N54" s="10"/>
      <c r="O54" s="11">
        <v>0</v>
      </c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K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K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7"/>
      <c r="C57" s="10"/>
      <c r="D57" s="10"/>
      <c r="E57" s="11"/>
      <c r="G57" s="7"/>
      <c r="H57" s="10"/>
      <c r="I57" s="10"/>
      <c r="J57" s="11"/>
      <c r="K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7"/>
      <c r="C58" s="10"/>
      <c r="D58" s="10"/>
      <c r="E58" s="11"/>
      <c r="G58" s="7"/>
      <c r="H58" s="10"/>
      <c r="I58" s="10"/>
      <c r="J58" s="11"/>
      <c r="K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ht="18" x14ac:dyDescent="0.25">
      <c r="B59" s="137" t="s">
        <v>122</v>
      </c>
      <c r="C59" s="137"/>
      <c r="D59" s="137"/>
      <c r="E59" s="137"/>
      <c r="F59" s="137"/>
      <c r="G59" s="137"/>
      <c r="H59" s="137"/>
      <c r="I59" s="137"/>
      <c r="J59" s="137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ht="18" x14ac:dyDescent="0.25">
      <c r="B60" s="19"/>
      <c r="C60" s="19"/>
      <c r="D60" s="19"/>
      <c r="E60" s="19"/>
      <c r="F60" s="19"/>
      <c r="G60" s="19"/>
      <c r="H60" s="19"/>
      <c r="I60" s="19"/>
      <c r="J60" s="19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F61" s="3"/>
      <c r="G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" t="s">
        <v>45</v>
      </c>
      <c r="C62" s="3" t="s">
        <v>50</v>
      </c>
      <c r="G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" t="s">
        <v>18</v>
      </c>
      <c r="C63" s="3" t="s">
        <v>50</v>
      </c>
      <c r="D63" s="3"/>
      <c r="E63" s="3"/>
      <c r="G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" t="s">
        <v>19</v>
      </c>
      <c r="C64" s="49" t="s">
        <v>0</v>
      </c>
      <c r="D64" s="3"/>
      <c r="E64" s="3"/>
      <c r="G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"/>
      <c r="C65" s="3"/>
      <c r="D65" s="3"/>
      <c r="E65" s="3"/>
      <c r="G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7" t="s">
        <v>138</v>
      </c>
      <c r="C66" s="37" t="s">
        <v>131</v>
      </c>
      <c r="D66" s="9" t="s">
        <v>47</v>
      </c>
      <c r="E66" s="9" t="s">
        <v>48</v>
      </c>
      <c r="F66" s="9" t="s">
        <v>49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" t="s">
        <v>212</v>
      </c>
      <c r="C67" s="3" t="s">
        <v>181</v>
      </c>
      <c r="D67" s="10">
        <v>20000</v>
      </c>
      <c r="E67" s="10"/>
      <c r="F67" s="11">
        <v>0</v>
      </c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" t="s">
        <v>247</v>
      </c>
      <c r="C68" s="3" t="s">
        <v>246</v>
      </c>
      <c r="D68" s="10">
        <v>125000</v>
      </c>
      <c r="E68" s="10">
        <v>45000</v>
      </c>
      <c r="F68" s="11">
        <v>0.36</v>
      </c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" t="s">
        <v>249</v>
      </c>
      <c r="C69" s="3" t="s">
        <v>248</v>
      </c>
      <c r="D69" s="10">
        <v>85500</v>
      </c>
      <c r="E69" s="10">
        <v>45500</v>
      </c>
      <c r="F69" s="11">
        <v>0.53216374269005851</v>
      </c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" t="s">
        <v>1170</v>
      </c>
      <c r="C70" s="3" t="s">
        <v>1169</v>
      </c>
      <c r="D70" s="10">
        <v>400</v>
      </c>
      <c r="E70" s="10">
        <v>192</v>
      </c>
      <c r="F70" s="11">
        <v>0.48</v>
      </c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" t="s">
        <v>1175</v>
      </c>
      <c r="C71" s="3" t="s">
        <v>433</v>
      </c>
      <c r="D71" s="10">
        <v>434</v>
      </c>
      <c r="E71" s="10"/>
      <c r="F71" s="11">
        <v>0</v>
      </c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" t="s">
        <v>435</v>
      </c>
      <c r="C72" s="3" t="s">
        <v>434</v>
      </c>
      <c r="D72" s="10">
        <v>560</v>
      </c>
      <c r="E72" s="10"/>
      <c r="F72" s="11">
        <v>0</v>
      </c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" t="s">
        <v>437</v>
      </c>
      <c r="C73" s="3" t="s">
        <v>436</v>
      </c>
      <c r="D73" s="10">
        <v>1499</v>
      </c>
      <c r="E73" s="10"/>
      <c r="F73" s="11">
        <v>0</v>
      </c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" t="s">
        <v>742</v>
      </c>
      <c r="C74" s="3" t="s">
        <v>1182</v>
      </c>
      <c r="D74" s="10">
        <v>56</v>
      </c>
      <c r="E74" s="10"/>
      <c r="F74" s="11">
        <v>0</v>
      </c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" t="s">
        <v>743</v>
      </c>
      <c r="C75" s="3" t="s">
        <v>245</v>
      </c>
      <c r="D75" s="10">
        <v>44</v>
      </c>
      <c r="E75" s="10"/>
      <c r="F75" s="11">
        <v>0</v>
      </c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" t="s">
        <v>744</v>
      </c>
      <c r="C76" s="3" t="s">
        <v>244</v>
      </c>
      <c r="D76" s="10">
        <v>2</v>
      </c>
      <c r="E76" s="10"/>
      <c r="F76" s="11">
        <v>0</v>
      </c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" t="s">
        <v>745</v>
      </c>
      <c r="C77" s="3" t="s">
        <v>391</v>
      </c>
      <c r="D77" s="10">
        <v>8</v>
      </c>
      <c r="E77" s="10"/>
      <c r="F77" s="11">
        <v>0</v>
      </c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" t="s">
        <v>746</v>
      </c>
      <c r="C78" s="3" t="s">
        <v>1184</v>
      </c>
      <c r="D78" s="10">
        <v>2</v>
      </c>
      <c r="E78" s="10"/>
      <c r="F78" s="11">
        <v>0</v>
      </c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" t="s">
        <v>747</v>
      </c>
      <c r="C79" s="3" t="s">
        <v>1185</v>
      </c>
      <c r="D79" s="10">
        <v>1</v>
      </c>
      <c r="E79" s="10"/>
      <c r="F79" s="11">
        <v>0</v>
      </c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" t="s">
        <v>748</v>
      </c>
      <c r="C80" s="3" t="s">
        <v>1186</v>
      </c>
      <c r="D80" s="10">
        <v>1</v>
      </c>
      <c r="E80" s="10"/>
      <c r="F80" s="11">
        <v>0</v>
      </c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 s="3" t="s">
        <v>393</v>
      </c>
      <c r="C81" s="3" t="s">
        <v>392</v>
      </c>
      <c r="D81" s="10">
        <v>2</v>
      </c>
      <c r="E81" s="10"/>
      <c r="F81" s="11">
        <v>0</v>
      </c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 s="3" t="s">
        <v>749</v>
      </c>
      <c r="C82" s="3" t="s">
        <v>1187</v>
      </c>
      <c r="D82" s="10">
        <v>2</v>
      </c>
      <c r="E82" s="10"/>
      <c r="F82" s="11">
        <v>0</v>
      </c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 s="3" t="s">
        <v>750</v>
      </c>
      <c r="C83" s="3" t="s">
        <v>243</v>
      </c>
      <c r="D83" s="10">
        <v>11</v>
      </c>
      <c r="E83" s="10"/>
      <c r="F83" s="11">
        <v>0</v>
      </c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 s="3" t="s">
        <v>751</v>
      </c>
      <c r="C84" s="3" t="s">
        <v>1188</v>
      </c>
      <c r="D84" s="10">
        <v>2</v>
      </c>
      <c r="E84" s="10"/>
      <c r="F84" s="11">
        <v>0</v>
      </c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 s="3" t="s">
        <v>752</v>
      </c>
      <c r="C85" s="3" t="s">
        <v>1189</v>
      </c>
      <c r="D85" s="10">
        <v>8</v>
      </c>
      <c r="E85" s="10"/>
      <c r="F85" s="11">
        <v>0</v>
      </c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 s="3" t="s">
        <v>753</v>
      </c>
      <c r="C86" s="3" t="s">
        <v>240</v>
      </c>
      <c r="D86" s="10">
        <v>16</v>
      </c>
      <c r="E86" s="10">
        <v>1</v>
      </c>
      <c r="F86" s="11">
        <v>6.25E-2</v>
      </c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 s="3" t="s">
        <v>754</v>
      </c>
      <c r="C87" s="3" t="s">
        <v>238</v>
      </c>
      <c r="D87" s="10">
        <v>11</v>
      </c>
      <c r="E87" s="10"/>
      <c r="F87" s="11">
        <v>0</v>
      </c>
      <c r="G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 s="3" t="s">
        <v>755</v>
      </c>
      <c r="C88" s="3" t="s">
        <v>394</v>
      </c>
      <c r="D88" s="10">
        <v>2</v>
      </c>
      <c r="E88" s="10"/>
      <c r="F88" s="11">
        <v>0</v>
      </c>
      <c r="G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 s="3" t="s">
        <v>1194</v>
      </c>
      <c r="C89" s="3" t="s">
        <v>1193</v>
      </c>
      <c r="D89" s="10">
        <v>66</v>
      </c>
      <c r="E89" s="10"/>
      <c r="F89" s="11">
        <v>0</v>
      </c>
      <c r="G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 s="3" t="s">
        <v>45</v>
      </c>
      <c r="C90" s="3" t="s">
        <v>50</v>
      </c>
      <c r="G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 s="3" t="s">
        <v>18</v>
      </c>
      <c r="C91" s="3" t="s">
        <v>50</v>
      </c>
      <c r="D91" s="3"/>
      <c r="E91" s="3"/>
      <c r="G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 s="3" t="s">
        <v>19</v>
      </c>
      <c r="C92" s="17" t="s">
        <v>1</v>
      </c>
      <c r="D92" s="3"/>
      <c r="E92" s="3"/>
      <c r="G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 s="3"/>
      <c r="C93" s="3"/>
      <c r="D93" s="3"/>
      <c r="E93" s="3"/>
      <c r="G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 s="37" t="s">
        <v>138</v>
      </c>
      <c r="C94" s="37" t="s">
        <v>131</v>
      </c>
      <c r="D94" s="9" t="s">
        <v>47</v>
      </c>
      <c r="E94" s="9" t="s">
        <v>48</v>
      </c>
      <c r="F94" s="9" t="s">
        <v>49</v>
      </c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 s="3" t="s">
        <v>730</v>
      </c>
      <c r="C95" s="3" t="s">
        <v>268</v>
      </c>
      <c r="D95" s="10">
        <v>4</v>
      </c>
      <c r="E95" s="10">
        <v>4</v>
      </c>
      <c r="F95" s="11">
        <v>1</v>
      </c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 s="3" t="s">
        <v>732</v>
      </c>
      <c r="C96" s="3" t="s">
        <v>270</v>
      </c>
      <c r="D96" s="10">
        <v>235</v>
      </c>
      <c r="E96" s="10">
        <v>235</v>
      </c>
      <c r="F96" s="11">
        <v>1</v>
      </c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 s="3" t="s">
        <v>733</v>
      </c>
      <c r="C97" s="3" t="s">
        <v>271</v>
      </c>
      <c r="D97" s="10">
        <v>62</v>
      </c>
      <c r="E97" s="10">
        <v>62</v>
      </c>
      <c r="F97" s="11">
        <v>1</v>
      </c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 s="3" t="s">
        <v>734</v>
      </c>
      <c r="C98" s="3" t="s">
        <v>272</v>
      </c>
      <c r="D98" s="10">
        <v>3</v>
      </c>
      <c r="E98" s="10">
        <v>3</v>
      </c>
      <c r="F98" s="11">
        <v>1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 s="3" t="s">
        <v>735</v>
      </c>
      <c r="C99" s="3" t="s">
        <v>273</v>
      </c>
      <c r="D99" s="10">
        <v>5</v>
      </c>
      <c r="E99" s="10">
        <v>5</v>
      </c>
      <c r="F99" s="11">
        <v>1</v>
      </c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 s="3" t="s">
        <v>736</v>
      </c>
      <c r="C100" s="3" t="s">
        <v>274</v>
      </c>
      <c r="D100" s="10">
        <v>261</v>
      </c>
      <c r="E100" s="10">
        <v>261</v>
      </c>
      <c r="F100" s="11">
        <v>1</v>
      </c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 s="3" t="s">
        <v>737</v>
      </c>
      <c r="C101" s="3" t="s">
        <v>275</v>
      </c>
      <c r="D101" s="10">
        <v>21</v>
      </c>
      <c r="E101" s="10">
        <v>21</v>
      </c>
      <c r="F101" s="11">
        <v>1</v>
      </c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 s="3" t="s">
        <v>278</v>
      </c>
      <c r="C102" s="3" t="s">
        <v>277</v>
      </c>
      <c r="D102" s="10">
        <v>251</v>
      </c>
      <c r="E102" s="10">
        <v>251</v>
      </c>
      <c r="F102" s="11">
        <v>1</v>
      </c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 s="3" t="s">
        <v>738</v>
      </c>
      <c r="C103" s="3" t="s">
        <v>276</v>
      </c>
      <c r="D103" s="10">
        <v>4</v>
      </c>
      <c r="E103" s="10">
        <v>4</v>
      </c>
      <c r="F103" s="11">
        <v>1</v>
      </c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 s="3" t="s">
        <v>739</v>
      </c>
      <c r="C104" s="3" t="s">
        <v>294</v>
      </c>
      <c r="D104" s="10">
        <v>70</v>
      </c>
      <c r="E104" s="10">
        <v>70</v>
      </c>
      <c r="F104" s="11">
        <v>1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 s="3" t="s">
        <v>740</v>
      </c>
      <c r="C105" s="3" t="s">
        <v>295</v>
      </c>
      <c r="D105" s="10">
        <v>23</v>
      </c>
      <c r="E105" s="10">
        <v>23</v>
      </c>
      <c r="F105" s="11">
        <v>1</v>
      </c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 s="3" t="s">
        <v>741</v>
      </c>
      <c r="C106" s="3" t="s">
        <v>296</v>
      </c>
      <c r="D106" s="10">
        <v>218</v>
      </c>
      <c r="E106" s="10">
        <v>218</v>
      </c>
      <c r="F106" s="11">
        <v>1</v>
      </c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 s="3" t="s">
        <v>298</v>
      </c>
      <c r="C107" s="3" t="s">
        <v>297</v>
      </c>
      <c r="D107" s="10">
        <v>13</v>
      </c>
      <c r="E107" s="10">
        <v>9</v>
      </c>
      <c r="F107" s="11">
        <v>0.69230769230769229</v>
      </c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 s="3" t="s">
        <v>300</v>
      </c>
      <c r="C108" s="3" t="s">
        <v>299</v>
      </c>
      <c r="D108" s="10">
        <v>8</v>
      </c>
      <c r="E108" s="10">
        <v>4</v>
      </c>
      <c r="F108" s="11">
        <v>0.5</v>
      </c>
      <c r="G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 s="3" t="s">
        <v>346</v>
      </c>
      <c r="C109" s="3" t="s">
        <v>345</v>
      </c>
      <c r="D109" s="10">
        <v>38</v>
      </c>
      <c r="E109" s="10">
        <v>23</v>
      </c>
      <c r="F109" s="11">
        <v>0.60526315789473684</v>
      </c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 s="3" t="s">
        <v>45</v>
      </c>
      <c r="C110" s="3" t="s">
        <v>50</v>
      </c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 s="3" t="s">
        <v>18</v>
      </c>
      <c r="C111" s="3" t="s">
        <v>50</v>
      </c>
      <c r="D111" s="3"/>
      <c r="E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 s="3" t="s">
        <v>19</v>
      </c>
      <c r="C112" s="18" t="s">
        <v>2</v>
      </c>
      <c r="D112" s="3"/>
      <c r="E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 s="3"/>
      <c r="C113" s="3"/>
      <c r="D113" s="3"/>
      <c r="E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 s="37" t="s">
        <v>138</v>
      </c>
      <c r="C114" s="37" t="s">
        <v>131</v>
      </c>
      <c r="D114" s="9" t="s">
        <v>47</v>
      </c>
      <c r="E114" s="9" t="s">
        <v>48</v>
      </c>
      <c r="F114" s="9" t="s">
        <v>49</v>
      </c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 s="3" t="s">
        <v>1172</v>
      </c>
      <c r="C115" s="3" t="s">
        <v>1171</v>
      </c>
      <c r="D115" s="10">
        <v>5420</v>
      </c>
      <c r="E115" s="10"/>
      <c r="F115" s="11">
        <v>0</v>
      </c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 s="3" t="s">
        <v>1174</v>
      </c>
      <c r="C116" s="3" t="s">
        <v>1173</v>
      </c>
      <c r="D116" s="10">
        <v>171</v>
      </c>
      <c r="E116" s="10"/>
      <c r="F116" s="11">
        <v>0</v>
      </c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 s="3" t="s">
        <v>439</v>
      </c>
      <c r="C117" s="3" t="s">
        <v>438</v>
      </c>
      <c r="D117" s="10">
        <v>9700</v>
      </c>
      <c r="E117" s="10"/>
      <c r="F117" s="11">
        <v>0</v>
      </c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 s="3" t="s">
        <v>1207</v>
      </c>
      <c r="C118" s="3" t="s">
        <v>1206</v>
      </c>
      <c r="D118" s="10">
        <v>112</v>
      </c>
      <c r="E118" s="10"/>
      <c r="F118" s="11">
        <v>0</v>
      </c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 s="3" t="s">
        <v>12</v>
      </c>
      <c r="C119" s="3"/>
      <c r="D119" s="10">
        <v>15403</v>
      </c>
      <c r="E119" s="10"/>
      <c r="F119" s="11">
        <v>0</v>
      </c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6:52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6:52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6:52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6:52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6:52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6:52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6:52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6:52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6:52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6:52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6:52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6:52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6:52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6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6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6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6">
    <mergeCell ref="B59:J59"/>
    <mergeCell ref="L5:T5"/>
    <mergeCell ref="B3:J3"/>
    <mergeCell ref="B5:J5"/>
    <mergeCell ref="B14:J14"/>
    <mergeCell ref="B36:J36"/>
  </mergeCells>
  <pageMargins left="0.7" right="0.7" top="0.75" bottom="0.75" header="0.3" footer="0.3"/>
  <pageSetup orientation="portrait" r:id="rId11"/>
  <drawing r:id="rId12"/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A1:AH381"/>
  <sheetViews>
    <sheetView showGridLines="0" tabSelected="1" topLeftCell="X1" zoomScale="97" zoomScaleNormal="97" workbookViewId="0">
      <selection activeCell="AB2" sqref="AB2"/>
    </sheetView>
  </sheetViews>
  <sheetFormatPr baseColWidth="10" defaultRowHeight="15" x14ac:dyDescent="0.25"/>
  <cols>
    <col min="1" max="1" width="10.42578125" style="13" customWidth="1"/>
    <col min="2" max="2" width="9.7109375" style="13" customWidth="1"/>
    <col min="3" max="3" width="14.140625" style="13" customWidth="1"/>
    <col min="4" max="4" width="44.5703125" style="13" customWidth="1"/>
    <col min="5" max="5" width="15.140625" style="13" customWidth="1"/>
    <col min="6" max="6" width="12.42578125" style="13" customWidth="1"/>
    <col min="7" max="7" width="37" style="2" customWidth="1"/>
    <col min="8" max="8" width="16.42578125" style="13" customWidth="1"/>
    <col min="9" max="9" width="12" style="13" customWidth="1"/>
    <col min="10" max="10" width="21.42578125" style="13" customWidth="1"/>
    <col min="11" max="11" width="16.5703125" style="34" customWidth="1"/>
    <col min="12" max="12" width="16.7109375" style="109" customWidth="1"/>
    <col min="13" max="13" width="14.42578125" style="52" customWidth="1"/>
    <col min="14" max="15" width="23" style="26" customWidth="1"/>
    <col min="16" max="16" width="11.85546875" style="13" customWidth="1"/>
    <col min="17" max="17" width="47.42578125" style="13" customWidth="1"/>
    <col min="18" max="18" width="14.85546875" style="2" customWidth="1"/>
    <col min="19" max="19" width="11.42578125" style="13" customWidth="1"/>
    <col min="20" max="20" width="12.85546875" style="123" customWidth="1"/>
    <col min="21" max="21" width="13.42578125" style="13" customWidth="1"/>
    <col min="22" max="22" width="12.28515625" style="123" bestFit="1" customWidth="1"/>
    <col min="23" max="23" width="0.140625" style="13" customWidth="1"/>
    <col min="24" max="24" width="11.42578125" style="13"/>
    <col min="25" max="25" width="11.85546875" style="13" bestFit="1" customWidth="1"/>
    <col min="26" max="26" width="11.42578125" style="13"/>
    <col min="27" max="27" width="13.140625" style="13" customWidth="1"/>
    <col min="28" max="28" width="22.140625" style="13" customWidth="1"/>
    <col min="29" max="29" width="27.140625" style="13" customWidth="1"/>
    <col min="30" max="30" width="16.85546875" style="13" customWidth="1"/>
    <col min="31" max="32" width="15.140625" style="13" bestFit="1" customWidth="1"/>
    <col min="33" max="33" width="11.42578125" style="13"/>
    <col min="34" max="34" width="10.5703125" style="13" bestFit="1" customWidth="1"/>
    <col min="35" max="35" width="17" style="13" customWidth="1"/>
    <col min="36" max="16384" width="11.42578125" style="13"/>
  </cols>
  <sheetData>
    <row r="1" spans="1:34" customFormat="1" ht="45.75" thickBot="1" x14ac:dyDescent="0.3">
      <c r="A1" s="27" t="s">
        <v>154</v>
      </c>
      <c r="B1" s="44" t="s">
        <v>21</v>
      </c>
      <c r="C1" s="28" t="s">
        <v>131</v>
      </c>
      <c r="D1" s="28" t="s">
        <v>138</v>
      </c>
      <c r="E1" s="28" t="s">
        <v>41</v>
      </c>
      <c r="F1" s="38" t="s">
        <v>17</v>
      </c>
      <c r="G1" s="45" t="s">
        <v>18</v>
      </c>
      <c r="H1" s="28" t="s">
        <v>19</v>
      </c>
      <c r="I1" s="28" t="s">
        <v>148</v>
      </c>
      <c r="J1" s="28" t="s">
        <v>45</v>
      </c>
      <c r="K1" s="29" t="s">
        <v>44</v>
      </c>
      <c r="L1" s="124" t="s">
        <v>20</v>
      </c>
      <c r="M1" s="83" t="s">
        <v>126</v>
      </c>
      <c r="N1" s="84" t="s">
        <v>127</v>
      </c>
      <c r="O1" s="80" t="s">
        <v>220</v>
      </c>
      <c r="P1" s="85" t="s">
        <v>118</v>
      </c>
      <c r="Q1" s="30" t="s">
        <v>21</v>
      </c>
      <c r="R1" s="31" t="s">
        <v>28</v>
      </c>
      <c r="S1" s="41" t="s">
        <v>11</v>
      </c>
      <c r="T1" s="30" t="s">
        <v>24</v>
      </c>
      <c r="U1" s="32" t="s">
        <v>29</v>
      </c>
      <c r="V1" s="33" t="s">
        <v>27</v>
      </c>
      <c r="W1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35" t="s">
        <v>128</v>
      </c>
      <c r="AE1" s="36" t="s">
        <v>129</v>
      </c>
      <c r="AF1" s="42" t="s">
        <v>130</v>
      </c>
      <c r="AG1" s="43" t="s">
        <v>142</v>
      </c>
      <c r="AH1" s="118" t="s">
        <v>425</v>
      </c>
    </row>
    <row r="2" spans="1:34" x14ac:dyDescent="0.25">
      <c r="A2" s="13" t="s">
        <v>3</v>
      </c>
      <c r="B2" s="13" t="s">
        <v>3</v>
      </c>
      <c r="C2" s="13" t="s">
        <v>409</v>
      </c>
      <c r="D2" s="13" t="s">
        <v>410</v>
      </c>
      <c r="E2" s="13" t="s">
        <v>1181</v>
      </c>
      <c r="F2" s="13">
        <v>1</v>
      </c>
      <c r="G2" s="2" t="s">
        <v>283</v>
      </c>
      <c r="H2" s="13" t="s">
        <v>1</v>
      </c>
      <c r="I2" s="13" t="s">
        <v>140</v>
      </c>
      <c r="J2" s="13" t="s">
        <v>139</v>
      </c>
      <c r="K2" s="109">
        <v>44517</v>
      </c>
      <c r="L2" s="109">
        <v>44517</v>
      </c>
      <c r="Q2" s="13" t="str">
        <f>+CONCATENATE(B2,C2,H2,I2)</f>
        <v>BARRCRD024952CADENASNUTRESA</v>
      </c>
      <c r="T2" s="123">
        <f>IFERROR(R2/F2,0)</f>
        <v>0</v>
      </c>
      <c r="U2" s="13">
        <f>R2-S2</f>
        <v>0</v>
      </c>
      <c r="V2" s="123">
        <f>IFERROR(U2/R2,0)</f>
        <v>0</v>
      </c>
      <c r="X2" s="13">
        <v>6000000</v>
      </c>
      <c r="Y2" s="13">
        <v>30000000</v>
      </c>
      <c r="Z2" s="13">
        <v>30000000</v>
      </c>
      <c r="AA2" s="13">
        <f>X2*Y2*Z2</f>
        <v>5.4E+21</v>
      </c>
      <c r="AB2" s="13">
        <f>AA2*F2</f>
        <v>5.4E+21</v>
      </c>
      <c r="AC2" s="13">
        <f>AB2/1440000</f>
        <v>3750000000000000</v>
      </c>
      <c r="AD2" s="110">
        <f>K2+4</f>
        <v>44521</v>
      </c>
      <c r="AE2" s="13" t="e">
        <f>IF(AND(AD2&lt;=$AI$4,#REF!&lt;1),1,"")</f>
        <v>#REF!</v>
      </c>
      <c r="AF2" s="110">
        <f ca="1">TODAY()</f>
        <v>44553</v>
      </c>
      <c r="AH2" s="13">
        <f ca="1">AF2-K2</f>
        <v>36</v>
      </c>
    </row>
    <row r="3" spans="1:34" x14ac:dyDescent="0.25">
      <c r="A3" s="13" t="s">
        <v>4</v>
      </c>
      <c r="B3" s="13" t="s">
        <v>4</v>
      </c>
      <c r="C3" s="13" t="s">
        <v>409</v>
      </c>
      <c r="D3" s="13" t="s">
        <v>410</v>
      </c>
      <c r="E3" s="13" t="s">
        <v>1181</v>
      </c>
      <c r="F3" s="13">
        <v>5</v>
      </c>
      <c r="G3" s="2" t="s">
        <v>283</v>
      </c>
      <c r="H3" s="13" t="s">
        <v>1</v>
      </c>
      <c r="I3" s="13" t="s">
        <v>140</v>
      </c>
      <c r="J3" s="13" t="s">
        <v>139</v>
      </c>
      <c r="K3" s="109">
        <v>44517</v>
      </c>
      <c r="L3" s="109">
        <v>44517</v>
      </c>
      <c r="Q3" s="13" t="str">
        <f t="shared" ref="Q3:Q66" si="0">+CONCATENATE(B3,C3,H3,I3)</f>
        <v>BGTACRD024952CADENASNUTRESA</v>
      </c>
      <c r="T3" s="123">
        <f t="shared" ref="T3:T66" si="1">IFERROR(R3/F3,0)</f>
        <v>0</v>
      </c>
      <c r="U3" s="13">
        <f t="shared" ref="U3:U66" si="2">R3-S3</f>
        <v>0</v>
      </c>
      <c r="V3" s="123">
        <f t="shared" ref="V3:V66" si="3">IFERROR(U3/R3,0)</f>
        <v>0</v>
      </c>
      <c r="X3" s="13">
        <v>6000000</v>
      </c>
      <c r="Y3" s="13">
        <v>30000000</v>
      </c>
      <c r="Z3" s="13">
        <v>30000000</v>
      </c>
      <c r="AA3" s="13">
        <f t="shared" ref="AA3:AA66" si="4">X3*Y3*Z3</f>
        <v>5.4E+21</v>
      </c>
      <c r="AB3" s="13">
        <f t="shared" ref="AB3:AB66" si="5">AA3*F3</f>
        <v>2.7000000000000002E+22</v>
      </c>
      <c r="AC3" s="13">
        <f t="shared" ref="AC3:AC66" si="6">AB3/1440000</f>
        <v>1.875E+16</v>
      </c>
      <c r="AD3" s="110">
        <f t="shared" ref="AD3:AD66" si="7">K3+4</f>
        <v>44521</v>
      </c>
      <c r="AE3" s="13" t="e">
        <f>IF(AND(AD3&lt;=$AI$4,#REF!&lt;1),1,"")</f>
        <v>#REF!</v>
      </c>
      <c r="AF3" s="110">
        <f t="shared" ref="AF3:AF66" ca="1" si="8">TODAY()</f>
        <v>44553</v>
      </c>
      <c r="AH3" s="13">
        <f t="shared" ref="AH3:AH66" ca="1" si="9">AF3-K3</f>
        <v>36</v>
      </c>
    </row>
    <row r="4" spans="1:34" x14ac:dyDescent="0.25">
      <c r="A4" s="13" t="s">
        <v>149</v>
      </c>
      <c r="B4" s="13" t="s">
        <v>149</v>
      </c>
      <c r="C4" s="13" t="s">
        <v>409</v>
      </c>
      <c r="D4" s="13" t="s">
        <v>410</v>
      </c>
      <c r="E4" s="13" t="s">
        <v>1181</v>
      </c>
      <c r="F4" s="13">
        <v>1</v>
      </c>
      <c r="G4" s="2" t="s">
        <v>283</v>
      </c>
      <c r="H4" s="13" t="s">
        <v>1</v>
      </c>
      <c r="I4" s="13" t="s">
        <v>140</v>
      </c>
      <c r="J4" s="13" t="s">
        <v>139</v>
      </c>
      <c r="K4" s="109">
        <v>44517</v>
      </c>
      <c r="L4" s="109">
        <v>44517</v>
      </c>
      <c r="Q4" s="13" t="str">
        <f t="shared" si="0"/>
        <v>DUITCRD024952CADENASNUTRESA</v>
      </c>
      <c r="T4" s="123">
        <f t="shared" si="1"/>
        <v>0</v>
      </c>
      <c r="U4" s="13">
        <f t="shared" si="2"/>
        <v>0</v>
      </c>
      <c r="V4" s="123">
        <f t="shared" si="3"/>
        <v>0</v>
      </c>
      <c r="X4" s="13">
        <v>6000000</v>
      </c>
      <c r="Y4" s="13">
        <v>30000000</v>
      </c>
      <c r="Z4" s="13">
        <v>30000000</v>
      </c>
      <c r="AA4" s="13">
        <f t="shared" si="4"/>
        <v>5.4E+21</v>
      </c>
      <c r="AB4" s="13">
        <f t="shared" si="5"/>
        <v>5.4E+21</v>
      </c>
      <c r="AC4" s="13">
        <f t="shared" si="6"/>
        <v>3750000000000000</v>
      </c>
      <c r="AD4" s="110">
        <f t="shared" si="7"/>
        <v>44521</v>
      </c>
      <c r="AE4" s="13" t="e">
        <f>IF(AND(AD4&lt;=$AI$4,#REF!&lt;1),1,"")</f>
        <v>#REF!</v>
      </c>
      <c r="AF4" s="110">
        <f t="shared" ca="1" si="8"/>
        <v>44553</v>
      </c>
      <c r="AH4" s="13">
        <f t="shared" ca="1" si="9"/>
        <v>36</v>
      </c>
    </row>
    <row r="5" spans="1:34" x14ac:dyDescent="0.25">
      <c r="A5" s="13" t="s">
        <v>6</v>
      </c>
      <c r="B5" s="13" t="s">
        <v>6</v>
      </c>
      <c r="C5" s="13" t="s">
        <v>409</v>
      </c>
      <c r="D5" s="13" t="s">
        <v>410</v>
      </c>
      <c r="E5" s="13" t="s">
        <v>1181</v>
      </c>
      <c r="F5" s="13">
        <v>4</v>
      </c>
      <c r="G5" s="2" t="s">
        <v>283</v>
      </c>
      <c r="H5" s="13" t="s">
        <v>1</v>
      </c>
      <c r="I5" s="13" t="s">
        <v>140</v>
      </c>
      <c r="J5" s="13" t="s">
        <v>139</v>
      </c>
      <c r="K5" s="109">
        <v>44517</v>
      </c>
      <c r="L5" s="109">
        <v>44517</v>
      </c>
      <c r="Q5" s="13" t="str">
        <f t="shared" si="0"/>
        <v>CALICRD024952CADENASNUTRESA</v>
      </c>
      <c r="T5" s="123">
        <f t="shared" si="1"/>
        <v>0</v>
      </c>
      <c r="U5" s="13">
        <f t="shared" si="2"/>
        <v>0</v>
      </c>
      <c r="V5" s="123">
        <f t="shared" si="3"/>
        <v>0</v>
      </c>
      <c r="X5" s="13">
        <v>6000000</v>
      </c>
      <c r="Y5" s="13">
        <v>30000000</v>
      </c>
      <c r="Z5" s="13">
        <v>30000000</v>
      </c>
      <c r="AA5" s="13">
        <f t="shared" si="4"/>
        <v>5.4E+21</v>
      </c>
      <c r="AB5" s="13">
        <f t="shared" si="5"/>
        <v>2.16E+22</v>
      </c>
      <c r="AC5" s="13">
        <f t="shared" si="6"/>
        <v>1.5E+16</v>
      </c>
      <c r="AD5" s="110">
        <f t="shared" si="7"/>
        <v>44521</v>
      </c>
      <c r="AE5" s="13" t="e">
        <f>IF(AND(AD5&lt;=$AI$4,#REF!&lt;1),1,"")</f>
        <v>#REF!</v>
      </c>
      <c r="AF5" s="110">
        <f t="shared" ca="1" si="8"/>
        <v>44553</v>
      </c>
      <c r="AH5" s="13">
        <f t="shared" ca="1" si="9"/>
        <v>36</v>
      </c>
    </row>
    <row r="6" spans="1:34" x14ac:dyDescent="0.25">
      <c r="A6" s="13" t="s">
        <v>7</v>
      </c>
      <c r="B6" s="13" t="s">
        <v>7</v>
      </c>
      <c r="C6" s="13" t="s">
        <v>409</v>
      </c>
      <c r="D6" s="13" t="s">
        <v>410</v>
      </c>
      <c r="E6" s="13" t="s">
        <v>1181</v>
      </c>
      <c r="F6" s="13">
        <v>1</v>
      </c>
      <c r="G6" s="2" t="s">
        <v>283</v>
      </c>
      <c r="H6" s="13" t="s">
        <v>1</v>
      </c>
      <c r="I6" s="13" t="s">
        <v>140</v>
      </c>
      <c r="J6" s="13" t="s">
        <v>139</v>
      </c>
      <c r="K6" s="109">
        <v>44517</v>
      </c>
      <c r="L6" s="109">
        <v>44517</v>
      </c>
      <c r="Q6" s="13" t="str">
        <f t="shared" si="0"/>
        <v>CARTCRD024952CADENASNUTRESA</v>
      </c>
      <c r="T6" s="123">
        <f t="shared" si="1"/>
        <v>0</v>
      </c>
      <c r="U6" s="13">
        <f t="shared" si="2"/>
        <v>0</v>
      </c>
      <c r="V6" s="123">
        <f t="shared" si="3"/>
        <v>0</v>
      </c>
      <c r="X6" s="13">
        <v>6000000</v>
      </c>
      <c r="Y6" s="13">
        <v>30000000</v>
      </c>
      <c r="Z6" s="13">
        <v>30000000</v>
      </c>
      <c r="AA6" s="13">
        <f t="shared" si="4"/>
        <v>5.4E+21</v>
      </c>
      <c r="AB6" s="13">
        <f t="shared" si="5"/>
        <v>5.4E+21</v>
      </c>
      <c r="AC6" s="13">
        <f t="shared" si="6"/>
        <v>3750000000000000</v>
      </c>
      <c r="AD6" s="110">
        <f t="shared" si="7"/>
        <v>44521</v>
      </c>
      <c r="AE6" s="13" t="e">
        <f>IF(AND(AD6&lt;=$AI$4,#REF!&lt;1),1,"")</f>
        <v>#REF!</v>
      </c>
      <c r="AF6" s="110">
        <f t="shared" ca="1" si="8"/>
        <v>44553</v>
      </c>
      <c r="AH6" s="13">
        <f t="shared" ca="1" si="9"/>
        <v>36</v>
      </c>
    </row>
    <row r="7" spans="1:34" x14ac:dyDescent="0.25">
      <c r="A7" s="13" t="s">
        <v>9</v>
      </c>
      <c r="B7" s="13" t="s">
        <v>9</v>
      </c>
      <c r="C7" s="13" t="s">
        <v>409</v>
      </c>
      <c r="D7" s="13" t="s">
        <v>410</v>
      </c>
      <c r="E7" s="13" t="s">
        <v>1181</v>
      </c>
      <c r="F7" s="13">
        <v>5</v>
      </c>
      <c r="G7" s="2" t="s">
        <v>283</v>
      </c>
      <c r="H7" s="13" t="s">
        <v>1</v>
      </c>
      <c r="I7" s="13" t="s">
        <v>140</v>
      </c>
      <c r="J7" s="13" t="s">
        <v>139</v>
      </c>
      <c r="K7" s="109">
        <v>44517</v>
      </c>
      <c r="L7" s="109">
        <v>44517</v>
      </c>
      <c r="Q7" s="13" t="str">
        <f t="shared" si="0"/>
        <v>MEDECRD024952CADENASNUTRESA</v>
      </c>
      <c r="T7" s="123">
        <f t="shared" si="1"/>
        <v>0</v>
      </c>
      <c r="U7" s="13">
        <f t="shared" si="2"/>
        <v>0</v>
      </c>
      <c r="V7" s="123">
        <f t="shared" si="3"/>
        <v>0</v>
      </c>
      <c r="X7" s="13">
        <v>6000000</v>
      </c>
      <c r="Y7" s="13">
        <v>30000000</v>
      </c>
      <c r="Z7" s="13">
        <v>30000000</v>
      </c>
      <c r="AA7" s="13">
        <f t="shared" si="4"/>
        <v>5.4E+21</v>
      </c>
      <c r="AB7" s="13">
        <f t="shared" si="5"/>
        <v>2.7000000000000002E+22</v>
      </c>
      <c r="AC7" s="13">
        <f t="shared" si="6"/>
        <v>1.875E+16</v>
      </c>
      <c r="AD7" s="110">
        <f t="shared" si="7"/>
        <v>44521</v>
      </c>
      <c r="AE7" s="13" t="e">
        <f>IF(AND(AD7&lt;=$AI$4,#REF!&lt;1),1,"")</f>
        <v>#REF!</v>
      </c>
      <c r="AF7" s="110">
        <f t="shared" ca="1" si="8"/>
        <v>44553</v>
      </c>
      <c r="AH7" s="13">
        <f t="shared" ca="1" si="9"/>
        <v>36</v>
      </c>
    </row>
    <row r="8" spans="1:34" x14ac:dyDescent="0.25">
      <c r="A8" s="13" t="s">
        <v>3</v>
      </c>
      <c r="B8" s="13" t="s">
        <v>3</v>
      </c>
      <c r="C8" s="13" t="s">
        <v>409</v>
      </c>
      <c r="D8" s="13" t="s">
        <v>410</v>
      </c>
      <c r="E8" s="13" t="s">
        <v>1181</v>
      </c>
      <c r="F8" s="13">
        <v>1</v>
      </c>
      <c r="G8" s="2" t="s">
        <v>283</v>
      </c>
      <c r="H8" s="13" t="s">
        <v>1</v>
      </c>
      <c r="I8" s="13" t="s">
        <v>140</v>
      </c>
      <c r="J8" s="13" t="s">
        <v>139</v>
      </c>
      <c r="K8" s="109">
        <v>44517</v>
      </c>
      <c r="L8" s="109">
        <v>44517</v>
      </c>
      <c r="Q8" s="13" t="str">
        <f t="shared" si="0"/>
        <v>BARRCRD024952CADENASNUTRESA</v>
      </c>
      <c r="T8" s="123">
        <f t="shared" si="1"/>
        <v>0</v>
      </c>
      <c r="U8" s="13">
        <f t="shared" si="2"/>
        <v>0</v>
      </c>
      <c r="V8" s="123">
        <f t="shared" si="3"/>
        <v>0</v>
      </c>
      <c r="X8" s="13">
        <v>6000000</v>
      </c>
      <c r="Y8" s="13">
        <v>30000000</v>
      </c>
      <c r="Z8" s="13">
        <v>30000000</v>
      </c>
      <c r="AA8" s="13">
        <f t="shared" si="4"/>
        <v>5.4E+21</v>
      </c>
      <c r="AB8" s="13">
        <f t="shared" si="5"/>
        <v>5.4E+21</v>
      </c>
      <c r="AC8" s="13">
        <f t="shared" si="6"/>
        <v>3750000000000000</v>
      </c>
      <c r="AD8" s="110">
        <f t="shared" si="7"/>
        <v>44521</v>
      </c>
      <c r="AE8" s="13" t="e">
        <f>IF(AND(AD8&lt;=$AI$4,#REF!&lt;1),1,"")</f>
        <v>#REF!</v>
      </c>
      <c r="AF8" s="110">
        <f t="shared" ca="1" si="8"/>
        <v>44553</v>
      </c>
      <c r="AH8" s="13">
        <f t="shared" ca="1" si="9"/>
        <v>36</v>
      </c>
    </row>
    <row r="9" spans="1:34" x14ac:dyDescent="0.25">
      <c r="A9" s="13" t="s">
        <v>4</v>
      </c>
      <c r="B9" s="13" t="s">
        <v>4</v>
      </c>
      <c r="C9" s="13" t="s">
        <v>409</v>
      </c>
      <c r="D9" s="13" t="s">
        <v>410</v>
      </c>
      <c r="E9" s="13" t="s">
        <v>1181</v>
      </c>
      <c r="F9" s="13">
        <v>5</v>
      </c>
      <c r="G9" s="2" t="s">
        <v>283</v>
      </c>
      <c r="H9" s="13" t="s">
        <v>1</v>
      </c>
      <c r="I9" s="13" t="s">
        <v>140</v>
      </c>
      <c r="J9" s="13" t="s">
        <v>139</v>
      </c>
      <c r="K9" s="109">
        <v>44517</v>
      </c>
      <c r="L9" s="109">
        <v>44517</v>
      </c>
      <c r="Q9" s="13" t="str">
        <f t="shared" si="0"/>
        <v>BGTACRD024952CADENASNUTRESA</v>
      </c>
      <c r="T9" s="123">
        <f t="shared" si="1"/>
        <v>0</v>
      </c>
      <c r="U9" s="13">
        <f t="shared" si="2"/>
        <v>0</v>
      </c>
      <c r="V9" s="123">
        <f t="shared" si="3"/>
        <v>0</v>
      </c>
      <c r="X9" s="13">
        <v>6000000</v>
      </c>
      <c r="Y9" s="13">
        <v>30000000</v>
      </c>
      <c r="Z9" s="13">
        <v>30000000</v>
      </c>
      <c r="AA9" s="13">
        <f t="shared" si="4"/>
        <v>5.4E+21</v>
      </c>
      <c r="AB9" s="13">
        <f t="shared" si="5"/>
        <v>2.7000000000000002E+22</v>
      </c>
      <c r="AC9" s="13">
        <f t="shared" si="6"/>
        <v>1.875E+16</v>
      </c>
      <c r="AD9" s="110">
        <f t="shared" si="7"/>
        <v>44521</v>
      </c>
      <c r="AE9" s="13" t="e">
        <f>IF(AND(AD9&lt;=$AI$4,#REF!&lt;1),1,"")</f>
        <v>#REF!</v>
      </c>
      <c r="AF9" s="110">
        <f t="shared" ca="1" si="8"/>
        <v>44553</v>
      </c>
      <c r="AH9" s="13">
        <f t="shared" ca="1" si="9"/>
        <v>36</v>
      </c>
    </row>
    <row r="10" spans="1:34" x14ac:dyDescent="0.25">
      <c r="A10" s="13" t="s">
        <v>149</v>
      </c>
      <c r="B10" s="13" t="s">
        <v>149</v>
      </c>
      <c r="C10" s="13" t="s">
        <v>409</v>
      </c>
      <c r="D10" s="13" t="s">
        <v>410</v>
      </c>
      <c r="E10" s="13" t="s">
        <v>1181</v>
      </c>
      <c r="F10" s="13">
        <v>1</v>
      </c>
      <c r="G10" s="2" t="s">
        <v>283</v>
      </c>
      <c r="H10" s="13" t="s">
        <v>1</v>
      </c>
      <c r="I10" s="13" t="s">
        <v>140</v>
      </c>
      <c r="J10" s="13" t="s">
        <v>139</v>
      </c>
      <c r="K10" s="109">
        <v>44517</v>
      </c>
      <c r="L10" s="109">
        <v>44517</v>
      </c>
      <c r="Q10" s="13" t="str">
        <f t="shared" si="0"/>
        <v>DUITCRD024952CADENASNUTRESA</v>
      </c>
      <c r="T10" s="123">
        <f t="shared" si="1"/>
        <v>0</v>
      </c>
      <c r="U10" s="13">
        <f t="shared" si="2"/>
        <v>0</v>
      </c>
      <c r="V10" s="123">
        <f t="shared" si="3"/>
        <v>0</v>
      </c>
      <c r="X10" s="13">
        <v>6000000</v>
      </c>
      <c r="Y10" s="13">
        <v>30000000</v>
      </c>
      <c r="Z10" s="13">
        <v>30000000</v>
      </c>
      <c r="AA10" s="13">
        <f t="shared" si="4"/>
        <v>5.4E+21</v>
      </c>
      <c r="AB10" s="13">
        <f t="shared" si="5"/>
        <v>5.4E+21</v>
      </c>
      <c r="AC10" s="13">
        <f t="shared" si="6"/>
        <v>3750000000000000</v>
      </c>
      <c r="AD10" s="110">
        <f t="shared" si="7"/>
        <v>44521</v>
      </c>
      <c r="AE10" s="13" t="e">
        <f>IF(AND(AD10&lt;=$AI$4,#REF!&lt;1),1,"")</f>
        <v>#REF!</v>
      </c>
      <c r="AF10" s="110">
        <f t="shared" ca="1" si="8"/>
        <v>44553</v>
      </c>
      <c r="AH10" s="13">
        <f t="shared" ca="1" si="9"/>
        <v>36</v>
      </c>
    </row>
    <row r="11" spans="1:34" x14ac:dyDescent="0.25">
      <c r="A11" s="13" t="s">
        <v>3</v>
      </c>
      <c r="B11" s="13" t="s">
        <v>3</v>
      </c>
      <c r="C11" s="13" t="s">
        <v>446</v>
      </c>
      <c r="D11" s="13" t="s">
        <v>1190</v>
      </c>
      <c r="E11" s="13" t="s">
        <v>728</v>
      </c>
      <c r="F11" s="13">
        <v>150</v>
      </c>
      <c r="G11" s="2" t="s">
        <v>405</v>
      </c>
      <c r="H11" s="13" t="s">
        <v>1</v>
      </c>
      <c r="I11" s="13" t="s">
        <v>140</v>
      </c>
      <c r="J11" s="13" t="s">
        <v>139</v>
      </c>
      <c r="K11" s="109">
        <v>44523</v>
      </c>
      <c r="L11" s="109">
        <v>44531</v>
      </c>
      <c r="Q11" s="13" t="str">
        <f t="shared" si="0"/>
        <v>BARRCRD024947CADENASNUTRESA</v>
      </c>
      <c r="T11" s="123">
        <f t="shared" si="1"/>
        <v>0</v>
      </c>
      <c r="U11" s="13">
        <f t="shared" si="2"/>
        <v>0</v>
      </c>
      <c r="V11" s="123">
        <f t="shared" si="3"/>
        <v>0</v>
      </c>
      <c r="X11" s="13">
        <v>0.01</v>
      </c>
      <c r="Y11" s="13">
        <v>11000000</v>
      </c>
      <c r="Z11" s="13">
        <v>11000000</v>
      </c>
      <c r="AA11" s="13">
        <f t="shared" si="4"/>
        <v>1210000000000</v>
      </c>
      <c r="AB11" s="13">
        <f t="shared" si="5"/>
        <v>181500000000000</v>
      </c>
      <c r="AC11" s="13">
        <f t="shared" si="6"/>
        <v>126041666.66666667</v>
      </c>
      <c r="AD11" s="110">
        <f t="shared" si="7"/>
        <v>44527</v>
      </c>
      <c r="AE11" s="13" t="e">
        <f>IF(AND(AD11&lt;=$AI$4,#REF!&lt;1),1,"")</f>
        <v>#REF!</v>
      </c>
      <c r="AF11" s="110">
        <f t="shared" ca="1" si="8"/>
        <v>44553</v>
      </c>
      <c r="AH11" s="13">
        <f t="shared" ca="1" si="9"/>
        <v>30</v>
      </c>
    </row>
    <row r="12" spans="1:34" x14ac:dyDescent="0.25">
      <c r="A12" s="13" t="s">
        <v>4</v>
      </c>
      <c r="B12" s="13" t="s">
        <v>4</v>
      </c>
      <c r="C12" s="13" t="s">
        <v>446</v>
      </c>
      <c r="D12" s="13" t="s">
        <v>1190</v>
      </c>
      <c r="E12" s="13" t="s">
        <v>728</v>
      </c>
      <c r="F12" s="13">
        <v>400</v>
      </c>
      <c r="G12" s="2" t="s">
        <v>405</v>
      </c>
      <c r="H12" s="13" t="s">
        <v>1</v>
      </c>
      <c r="I12" s="13" t="s">
        <v>140</v>
      </c>
      <c r="J12" s="13" t="s">
        <v>139</v>
      </c>
      <c r="K12" s="109">
        <v>44523</v>
      </c>
      <c r="L12" s="109">
        <v>44531</v>
      </c>
      <c r="Q12" s="13" t="str">
        <f t="shared" si="0"/>
        <v>BGTACRD024947CADENASNUTRESA</v>
      </c>
      <c r="T12" s="123">
        <f t="shared" si="1"/>
        <v>0</v>
      </c>
      <c r="U12" s="13">
        <f t="shared" si="2"/>
        <v>0</v>
      </c>
      <c r="V12" s="123">
        <f t="shared" si="3"/>
        <v>0</v>
      </c>
      <c r="X12" s="13">
        <v>0.01</v>
      </c>
      <c r="Y12" s="13">
        <v>11000000</v>
      </c>
      <c r="Z12" s="13">
        <v>11000000</v>
      </c>
      <c r="AA12" s="13">
        <f t="shared" si="4"/>
        <v>1210000000000</v>
      </c>
      <c r="AB12" s="13">
        <f t="shared" si="5"/>
        <v>484000000000000</v>
      </c>
      <c r="AC12" s="13">
        <f t="shared" si="6"/>
        <v>336111111.1111111</v>
      </c>
      <c r="AD12" s="110">
        <f t="shared" si="7"/>
        <v>44527</v>
      </c>
      <c r="AE12" s="13" t="e">
        <f>IF(AND(AD12&lt;=$AI$4,#REF!&lt;1),1,"")</f>
        <v>#REF!</v>
      </c>
      <c r="AF12" s="110">
        <f t="shared" ca="1" si="8"/>
        <v>44553</v>
      </c>
      <c r="AH12" s="13">
        <f t="shared" ca="1" si="9"/>
        <v>30</v>
      </c>
    </row>
    <row r="13" spans="1:34" x14ac:dyDescent="0.25">
      <c r="A13" s="13" t="s">
        <v>6</v>
      </c>
      <c r="B13" s="13" t="s">
        <v>6</v>
      </c>
      <c r="C13" s="13" t="s">
        <v>446</v>
      </c>
      <c r="D13" s="13" t="s">
        <v>1190</v>
      </c>
      <c r="E13" s="13" t="s">
        <v>728</v>
      </c>
      <c r="F13" s="13">
        <v>50</v>
      </c>
      <c r="G13" s="2" t="s">
        <v>405</v>
      </c>
      <c r="H13" s="13" t="s">
        <v>1</v>
      </c>
      <c r="I13" s="13" t="s">
        <v>140</v>
      </c>
      <c r="J13" s="13" t="s">
        <v>139</v>
      </c>
      <c r="K13" s="109">
        <v>44523</v>
      </c>
      <c r="L13" s="109">
        <v>44531</v>
      </c>
      <c r="Q13" s="13" t="str">
        <f t="shared" si="0"/>
        <v>CALICRD024947CADENASNUTRESA</v>
      </c>
      <c r="T13" s="123">
        <f t="shared" si="1"/>
        <v>0</v>
      </c>
      <c r="U13" s="13">
        <f t="shared" si="2"/>
        <v>0</v>
      </c>
      <c r="V13" s="123">
        <f t="shared" si="3"/>
        <v>0</v>
      </c>
      <c r="X13" s="13">
        <v>0.01</v>
      </c>
      <c r="Y13" s="13">
        <v>11000000</v>
      </c>
      <c r="Z13" s="13">
        <v>11000000</v>
      </c>
      <c r="AA13" s="13">
        <f t="shared" si="4"/>
        <v>1210000000000</v>
      </c>
      <c r="AB13" s="13">
        <f t="shared" si="5"/>
        <v>60500000000000</v>
      </c>
      <c r="AC13" s="13">
        <f t="shared" si="6"/>
        <v>42013888.888888888</v>
      </c>
      <c r="AD13" s="110">
        <f t="shared" si="7"/>
        <v>44527</v>
      </c>
      <c r="AE13" s="13" t="e">
        <f>IF(AND(AD13&lt;=$AI$4,#REF!&lt;1),1,"")</f>
        <v>#REF!</v>
      </c>
      <c r="AF13" s="110">
        <f t="shared" ca="1" si="8"/>
        <v>44553</v>
      </c>
      <c r="AH13" s="13">
        <f t="shared" ca="1" si="9"/>
        <v>30</v>
      </c>
    </row>
    <row r="14" spans="1:34" x14ac:dyDescent="0.25">
      <c r="A14" s="13" t="s">
        <v>7</v>
      </c>
      <c r="B14" s="13" t="s">
        <v>7</v>
      </c>
      <c r="C14" s="13" t="s">
        <v>446</v>
      </c>
      <c r="D14" s="13" t="s">
        <v>1190</v>
      </c>
      <c r="E14" s="13" t="s">
        <v>728</v>
      </c>
      <c r="F14" s="13">
        <v>50</v>
      </c>
      <c r="G14" s="2" t="s">
        <v>405</v>
      </c>
      <c r="H14" s="13" t="s">
        <v>1</v>
      </c>
      <c r="I14" s="13" t="s">
        <v>140</v>
      </c>
      <c r="J14" s="13" t="s">
        <v>139</v>
      </c>
      <c r="K14" s="109">
        <v>44523</v>
      </c>
      <c r="L14" s="109">
        <v>44531</v>
      </c>
      <c r="Q14" s="13" t="str">
        <f t="shared" si="0"/>
        <v>CARTCRD024947CADENASNUTRESA</v>
      </c>
      <c r="T14" s="123">
        <f t="shared" si="1"/>
        <v>0</v>
      </c>
      <c r="U14" s="13">
        <f t="shared" si="2"/>
        <v>0</v>
      </c>
      <c r="V14" s="123">
        <f t="shared" si="3"/>
        <v>0</v>
      </c>
      <c r="X14" s="13">
        <v>0.01</v>
      </c>
      <c r="Y14" s="13">
        <v>11000000</v>
      </c>
      <c r="Z14" s="13">
        <v>11000000</v>
      </c>
      <c r="AA14" s="13">
        <f t="shared" si="4"/>
        <v>1210000000000</v>
      </c>
      <c r="AB14" s="13">
        <f t="shared" si="5"/>
        <v>60500000000000</v>
      </c>
      <c r="AC14" s="13">
        <f t="shared" si="6"/>
        <v>42013888.888888888</v>
      </c>
      <c r="AD14" s="110">
        <f t="shared" si="7"/>
        <v>44527</v>
      </c>
      <c r="AE14" s="13" t="e">
        <f>IF(AND(AD14&lt;=$AI$4,#REF!&lt;1),1,"")</f>
        <v>#REF!</v>
      </c>
      <c r="AF14" s="110">
        <f t="shared" ca="1" si="8"/>
        <v>44553</v>
      </c>
      <c r="AH14" s="13">
        <f t="shared" ca="1" si="9"/>
        <v>30</v>
      </c>
    </row>
    <row r="15" spans="1:34" x14ac:dyDescent="0.25">
      <c r="A15" s="13" t="s">
        <v>9</v>
      </c>
      <c r="B15" s="13" t="s">
        <v>9</v>
      </c>
      <c r="C15" s="13" t="s">
        <v>446</v>
      </c>
      <c r="D15" s="13" t="s">
        <v>1190</v>
      </c>
      <c r="E15" s="13" t="s">
        <v>728</v>
      </c>
      <c r="F15" s="13">
        <v>150</v>
      </c>
      <c r="G15" s="2" t="s">
        <v>405</v>
      </c>
      <c r="H15" s="13" t="s">
        <v>1</v>
      </c>
      <c r="I15" s="13" t="s">
        <v>140</v>
      </c>
      <c r="J15" s="13" t="s">
        <v>139</v>
      </c>
      <c r="K15" s="109">
        <v>44523</v>
      </c>
      <c r="L15" s="109">
        <v>44531</v>
      </c>
      <c r="Q15" s="13" t="str">
        <f t="shared" si="0"/>
        <v>MEDECRD024947CADENASNUTRESA</v>
      </c>
      <c r="T15" s="123">
        <f t="shared" si="1"/>
        <v>0</v>
      </c>
      <c r="U15" s="13">
        <f t="shared" si="2"/>
        <v>0</v>
      </c>
      <c r="V15" s="123">
        <f t="shared" si="3"/>
        <v>0</v>
      </c>
      <c r="X15" s="13">
        <v>0.01</v>
      </c>
      <c r="Y15" s="13">
        <v>11000000</v>
      </c>
      <c r="Z15" s="13">
        <v>11000000</v>
      </c>
      <c r="AA15" s="13">
        <f t="shared" si="4"/>
        <v>1210000000000</v>
      </c>
      <c r="AB15" s="13">
        <f t="shared" si="5"/>
        <v>181500000000000</v>
      </c>
      <c r="AC15" s="13">
        <f t="shared" si="6"/>
        <v>126041666.66666667</v>
      </c>
      <c r="AD15" s="110">
        <f t="shared" si="7"/>
        <v>44527</v>
      </c>
      <c r="AE15" s="13" t="e">
        <f>IF(AND(AD15&lt;=$AI$4,#REF!&lt;1),1,"")</f>
        <v>#REF!</v>
      </c>
      <c r="AF15" s="110">
        <f t="shared" ca="1" si="8"/>
        <v>44553</v>
      </c>
      <c r="AH15" s="13">
        <f t="shared" ca="1" si="9"/>
        <v>30</v>
      </c>
    </row>
    <row r="16" spans="1:34" x14ac:dyDescent="0.25">
      <c r="A16" s="13" t="s">
        <v>10</v>
      </c>
      <c r="B16" s="13" t="s">
        <v>10</v>
      </c>
      <c r="C16" s="13" t="s">
        <v>446</v>
      </c>
      <c r="D16" s="13" t="s">
        <v>1190</v>
      </c>
      <c r="E16" s="13" t="s">
        <v>728</v>
      </c>
      <c r="F16" s="13">
        <v>50</v>
      </c>
      <c r="G16" s="2" t="s">
        <v>405</v>
      </c>
      <c r="H16" s="13" t="s">
        <v>1</v>
      </c>
      <c r="I16" s="13" t="s">
        <v>140</v>
      </c>
      <c r="J16" s="13" t="s">
        <v>139</v>
      </c>
      <c r="K16" s="109">
        <v>44523</v>
      </c>
      <c r="L16" s="109">
        <v>44531</v>
      </c>
      <c r="Q16" s="13" t="str">
        <f t="shared" si="0"/>
        <v>PERECRD024947CADENASNUTRESA</v>
      </c>
      <c r="T16" s="123">
        <f t="shared" si="1"/>
        <v>0</v>
      </c>
      <c r="U16" s="13">
        <f t="shared" si="2"/>
        <v>0</v>
      </c>
      <c r="V16" s="123">
        <f t="shared" si="3"/>
        <v>0</v>
      </c>
      <c r="X16" s="13">
        <v>0.01</v>
      </c>
      <c r="Y16" s="13">
        <v>11000000</v>
      </c>
      <c r="Z16" s="13">
        <v>11000000</v>
      </c>
      <c r="AA16" s="13">
        <f t="shared" si="4"/>
        <v>1210000000000</v>
      </c>
      <c r="AB16" s="13">
        <f t="shared" si="5"/>
        <v>60500000000000</v>
      </c>
      <c r="AC16" s="13">
        <f t="shared" si="6"/>
        <v>42013888.888888888</v>
      </c>
      <c r="AD16" s="110">
        <f t="shared" si="7"/>
        <v>44527</v>
      </c>
      <c r="AE16" s="13" t="e">
        <f>IF(AND(AD16&lt;=$AI$4,#REF!&lt;1),1,"")</f>
        <v>#REF!</v>
      </c>
      <c r="AF16" s="110">
        <f t="shared" ca="1" si="8"/>
        <v>44553</v>
      </c>
      <c r="AH16" s="13">
        <f t="shared" ca="1" si="9"/>
        <v>30</v>
      </c>
    </row>
    <row r="17" spans="1:34" x14ac:dyDescent="0.25">
      <c r="A17" s="13" t="s">
        <v>3</v>
      </c>
      <c r="B17" s="13" t="s">
        <v>3</v>
      </c>
      <c r="C17" s="13" t="s">
        <v>447</v>
      </c>
      <c r="D17" s="13" t="s">
        <v>448</v>
      </c>
      <c r="E17" s="13" t="s">
        <v>725</v>
      </c>
      <c r="F17" s="13">
        <v>2</v>
      </c>
      <c r="G17" s="2" t="s">
        <v>405</v>
      </c>
      <c r="H17" s="13" t="s">
        <v>1</v>
      </c>
      <c r="I17" s="13" t="s">
        <v>140</v>
      </c>
      <c r="J17" s="13" t="s">
        <v>139</v>
      </c>
      <c r="K17" s="109">
        <v>44523</v>
      </c>
      <c r="L17" s="109">
        <v>44531</v>
      </c>
      <c r="Q17" s="13" t="str">
        <f t="shared" si="0"/>
        <v>BARRCRD024945CADENASNUTRESA</v>
      </c>
      <c r="T17" s="123">
        <f t="shared" si="1"/>
        <v>0</v>
      </c>
      <c r="U17" s="13">
        <f t="shared" si="2"/>
        <v>0</v>
      </c>
      <c r="V17" s="123">
        <f t="shared" si="3"/>
        <v>0</v>
      </c>
      <c r="X17" s="13">
        <v>1000000</v>
      </c>
      <c r="Y17" s="13">
        <v>25000000</v>
      </c>
      <c r="Z17" s="13">
        <v>25000000</v>
      </c>
      <c r="AA17" s="13">
        <f t="shared" si="4"/>
        <v>6.25E+20</v>
      </c>
      <c r="AB17" s="13">
        <f t="shared" si="5"/>
        <v>1.25E+21</v>
      </c>
      <c r="AC17" s="13">
        <f t="shared" si="6"/>
        <v>868055555555555.5</v>
      </c>
      <c r="AD17" s="110">
        <f t="shared" si="7"/>
        <v>44527</v>
      </c>
      <c r="AE17" s="13" t="e">
        <f>IF(AND(AD17&lt;=$AI$4,#REF!&lt;1),1,"")</f>
        <v>#REF!</v>
      </c>
      <c r="AF17" s="110">
        <f t="shared" ca="1" si="8"/>
        <v>44553</v>
      </c>
      <c r="AH17" s="13">
        <f t="shared" ca="1" si="9"/>
        <v>30</v>
      </c>
    </row>
    <row r="18" spans="1:34" x14ac:dyDescent="0.25">
      <c r="A18" s="13" t="s">
        <v>4</v>
      </c>
      <c r="B18" s="13" t="s">
        <v>4</v>
      </c>
      <c r="C18" s="13" t="s">
        <v>447</v>
      </c>
      <c r="D18" s="13" t="s">
        <v>448</v>
      </c>
      <c r="E18" s="13" t="s">
        <v>725</v>
      </c>
      <c r="F18" s="13">
        <v>10</v>
      </c>
      <c r="G18" s="2" t="s">
        <v>405</v>
      </c>
      <c r="H18" s="13" t="s">
        <v>1</v>
      </c>
      <c r="I18" s="13" t="s">
        <v>140</v>
      </c>
      <c r="J18" s="13" t="s">
        <v>139</v>
      </c>
      <c r="K18" s="109">
        <v>44523</v>
      </c>
      <c r="L18" s="109">
        <v>44531</v>
      </c>
      <c r="Q18" s="13" t="str">
        <f t="shared" si="0"/>
        <v>BGTACRD024945CADENASNUTRESA</v>
      </c>
      <c r="T18" s="123">
        <f t="shared" si="1"/>
        <v>0</v>
      </c>
      <c r="U18" s="13">
        <f t="shared" si="2"/>
        <v>0</v>
      </c>
      <c r="V18" s="123">
        <f t="shared" si="3"/>
        <v>0</v>
      </c>
      <c r="X18" s="13">
        <v>1000000</v>
      </c>
      <c r="Y18" s="13">
        <v>25000000</v>
      </c>
      <c r="Z18" s="13">
        <v>25000000</v>
      </c>
      <c r="AA18" s="13">
        <f t="shared" si="4"/>
        <v>6.25E+20</v>
      </c>
      <c r="AB18" s="13">
        <f t="shared" si="5"/>
        <v>6.2499999999999995E+21</v>
      </c>
      <c r="AC18" s="13">
        <f t="shared" si="6"/>
        <v>4340277777777777.5</v>
      </c>
      <c r="AD18" s="110">
        <f t="shared" si="7"/>
        <v>44527</v>
      </c>
      <c r="AE18" s="13" t="e">
        <f>IF(AND(AD18&lt;=$AI$4,#REF!&lt;1),1,"")</f>
        <v>#REF!</v>
      </c>
      <c r="AF18" s="110">
        <f t="shared" ca="1" si="8"/>
        <v>44553</v>
      </c>
      <c r="AH18" s="13">
        <f t="shared" ca="1" si="9"/>
        <v>30</v>
      </c>
    </row>
    <row r="19" spans="1:34" x14ac:dyDescent="0.25">
      <c r="A19" s="13" t="s">
        <v>6</v>
      </c>
      <c r="B19" s="13" t="s">
        <v>6</v>
      </c>
      <c r="C19" s="13" t="s">
        <v>447</v>
      </c>
      <c r="D19" s="13" t="s">
        <v>448</v>
      </c>
      <c r="E19" s="13" t="s">
        <v>725</v>
      </c>
      <c r="F19" s="13">
        <v>2</v>
      </c>
      <c r="G19" s="2" t="s">
        <v>405</v>
      </c>
      <c r="H19" s="13" t="s">
        <v>1</v>
      </c>
      <c r="I19" s="13" t="s">
        <v>140</v>
      </c>
      <c r="J19" s="13" t="s">
        <v>139</v>
      </c>
      <c r="K19" s="109">
        <v>44523</v>
      </c>
      <c r="L19" s="109">
        <v>44531</v>
      </c>
      <c r="Q19" s="13" t="str">
        <f t="shared" si="0"/>
        <v>CALICRD024945CADENASNUTRESA</v>
      </c>
      <c r="T19" s="123">
        <f t="shared" si="1"/>
        <v>0</v>
      </c>
      <c r="U19" s="13">
        <f t="shared" si="2"/>
        <v>0</v>
      </c>
      <c r="V19" s="123">
        <f t="shared" si="3"/>
        <v>0</v>
      </c>
      <c r="X19" s="13">
        <v>1000000</v>
      </c>
      <c r="Y19" s="13">
        <v>25000000</v>
      </c>
      <c r="Z19" s="13">
        <v>25000000</v>
      </c>
      <c r="AA19" s="13">
        <f t="shared" si="4"/>
        <v>6.25E+20</v>
      </c>
      <c r="AB19" s="13">
        <f t="shared" si="5"/>
        <v>1.25E+21</v>
      </c>
      <c r="AC19" s="13">
        <f t="shared" si="6"/>
        <v>868055555555555.5</v>
      </c>
      <c r="AD19" s="110">
        <f t="shared" si="7"/>
        <v>44527</v>
      </c>
      <c r="AE19" s="13" t="e">
        <f>IF(AND(AD19&lt;=$AI$4,#REF!&lt;1),1,"")</f>
        <v>#REF!</v>
      </c>
      <c r="AF19" s="110">
        <f t="shared" ca="1" si="8"/>
        <v>44553</v>
      </c>
      <c r="AH19" s="13">
        <f t="shared" ca="1" si="9"/>
        <v>30</v>
      </c>
    </row>
    <row r="20" spans="1:34" x14ac:dyDescent="0.25">
      <c r="A20" s="13" t="s">
        <v>7</v>
      </c>
      <c r="B20" s="13" t="s">
        <v>7</v>
      </c>
      <c r="C20" s="13" t="s">
        <v>447</v>
      </c>
      <c r="D20" s="13" t="s">
        <v>448</v>
      </c>
      <c r="E20" s="13" t="s">
        <v>725</v>
      </c>
      <c r="F20" s="13">
        <v>4</v>
      </c>
      <c r="G20" s="2" t="s">
        <v>405</v>
      </c>
      <c r="H20" s="13" t="s">
        <v>1</v>
      </c>
      <c r="I20" s="13" t="s">
        <v>140</v>
      </c>
      <c r="J20" s="13" t="s">
        <v>139</v>
      </c>
      <c r="K20" s="109">
        <v>44523</v>
      </c>
      <c r="L20" s="109">
        <v>44531</v>
      </c>
      <c r="Q20" s="13" t="str">
        <f t="shared" si="0"/>
        <v>CARTCRD024945CADENASNUTRESA</v>
      </c>
      <c r="T20" s="123">
        <f t="shared" si="1"/>
        <v>0</v>
      </c>
      <c r="U20" s="13">
        <f t="shared" si="2"/>
        <v>0</v>
      </c>
      <c r="V20" s="123">
        <f t="shared" si="3"/>
        <v>0</v>
      </c>
      <c r="X20" s="13">
        <v>1000000</v>
      </c>
      <c r="Y20" s="13">
        <v>25000000</v>
      </c>
      <c r="Z20" s="13">
        <v>25000000</v>
      </c>
      <c r="AA20" s="13">
        <f t="shared" si="4"/>
        <v>6.25E+20</v>
      </c>
      <c r="AB20" s="13">
        <f t="shared" si="5"/>
        <v>2.5E+21</v>
      </c>
      <c r="AC20" s="13">
        <f t="shared" si="6"/>
        <v>1736111111111111</v>
      </c>
      <c r="AD20" s="110">
        <f t="shared" si="7"/>
        <v>44527</v>
      </c>
      <c r="AE20" s="13" t="e">
        <f>IF(AND(AD20&lt;=$AI$4,#REF!&lt;1),1,"")</f>
        <v>#REF!</v>
      </c>
      <c r="AF20" s="110">
        <f t="shared" ca="1" si="8"/>
        <v>44553</v>
      </c>
      <c r="AH20" s="13">
        <f t="shared" ca="1" si="9"/>
        <v>30</v>
      </c>
    </row>
    <row r="21" spans="1:34" x14ac:dyDescent="0.25">
      <c r="A21" s="13" t="s">
        <v>9</v>
      </c>
      <c r="B21" s="13" t="s">
        <v>9</v>
      </c>
      <c r="C21" s="13" t="s">
        <v>447</v>
      </c>
      <c r="D21" s="13" t="s">
        <v>448</v>
      </c>
      <c r="E21" s="13" t="s">
        <v>725</v>
      </c>
      <c r="F21" s="13">
        <v>4</v>
      </c>
      <c r="G21" s="2" t="s">
        <v>405</v>
      </c>
      <c r="H21" s="13" t="s">
        <v>1</v>
      </c>
      <c r="I21" s="13" t="s">
        <v>140</v>
      </c>
      <c r="J21" s="13" t="s">
        <v>139</v>
      </c>
      <c r="K21" s="109">
        <v>44523</v>
      </c>
      <c r="L21" s="109">
        <v>44531</v>
      </c>
      <c r="Q21" s="13" t="str">
        <f t="shared" si="0"/>
        <v>MEDECRD024945CADENASNUTRESA</v>
      </c>
      <c r="T21" s="123">
        <f t="shared" si="1"/>
        <v>0</v>
      </c>
      <c r="U21" s="13">
        <f t="shared" si="2"/>
        <v>0</v>
      </c>
      <c r="V21" s="123">
        <f t="shared" si="3"/>
        <v>0</v>
      </c>
      <c r="X21" s="13">
        <v>1000000</v>
      </c>
      <c r="Y21" s="13">
        <v>25000000</v>
      </c>
      <c r="Z21" s="13">
        <v>25000000</v>
      </c>
      <c r="AA21" s="13">
        <f t="shared" si="4"/>
        <v>6.25E+20</v>
      </c>
      <c r="AB21" s="13">
        <f t="shared" si="5"/>
        <v>2.5E+21</v>
      </c>
      <c r="AC21" s="13">
        <f t="shared" si="6"/>
        <v>1736111111111111</v>
      </c>
      <c r="AD21" s="110">
        <f t="shared" si="7"/>
        <v>44527</v>
      </c>
      <c r="AE21" s="13" t="e">
        <f>IF(AND(AD21&lt;=$AI$4,#REF!&lt;1),1,"")</f>
        <v>#REF!</v>
      </c>
      <c r="AF21" s="110">
        <f t="shared" ca="1" si="8"/>
        <v>44553</v>
      </c>
      <c r="AH21" s="13">
        <f t="shared" ca="1" si="9"/>
        <v>30</v>
      </c>
    </row>
    <row r="22" spans="1:34" x14ac:dyDescent="0.25">
      <c r="A22" s="13" t="s">
        <v>10</v>
      </c>
      <c r="B22" s="13" t="s">
        <v>10</v>
      </c>
      <c r="C22" s="13" t="s">
        <v>447</v>
      </c>
      <c r="D22" s="13" t="s">
        <v>448</v>
      </c>
      <c r="E22" s="13" t="s">
        <v>725</v>
      </c>
      <c r="F22" s="13">
        <v>3</v>
      </c>
      <c r="G22" s="2" t="s">
        <v>405</v>
      </c>
      <c r="H22" s="13" t="s">
        <v>1</v>
      </c>
      <c r="I22" s="13" t="s">
        <v>140</v>
      </c>
      <c r="J22" s="13" t="s">
        <v>139</v>
      </c>
      <c r="K22" s="109">
        <v>44523</v>
      </c>
      <c r="L22" s="109">
        <v>44531</v>
      </c>
      <c r="Q22" s="13" t="str">
        <f t="shared" si="0"/>
        <v>PERECRD024945CADENASNUTRESA</v>
      </c>
      <c r="T22" s="123">
        <f t="shared" si="1"/>
        <v>0</v>
      </c>
      <c r="U22" s="13">
        <f t="shared" si="2"/>
        <v>0</v>
      </c>
      <c r="V22" s="123">
        <f t="shared" si="3"/>
        <v>0</v>
      </c>
      <c r="X22" s="13">
        <v>1000000</v>
      </c>
      <c r="Y22" s="13">
        <v>25000000</v>
      </c>
      <c r="Z22" s="13">
        <v>25000000</v>
      </c>
      <c r="AA22" s="13">
        <f t="shared" si="4"/>
        <v>6.25E+20</v>
      </c>
      <c r="AB22" s="13">
        <f t="shared" si="5"/>
        <v>1.875E+21</v>
      </c>
      <c r="AC22" s="13">
        <f t="shared" si="6"/>
        <v>1302083333333333.3</v>
      </c>
      <c r="AD22" s="110">
        <f t="shared" si="7"/>
        <v>44527</v>
      </c>
      <c r="AE22" s="13" t="e">
        <f>IF(AND(AD22&lt;=$AI$4,#REF!&lt;1),1,"")</f>
        <v>#REF!</v>
      </c>
      <c r="AF22" s="110">
        <f t="shared" ca="1" si="8"/>
        <v>44553</v>
      </c>
      <c r="AH22" s="13">
        <f t="shared" ca="1" si="9"/>
        <v>30</v>
      </c>
    </row>
    <row r="23" spans="1:34" x14ac:dyDescent="0.25">
      <c r="A23" s="13" t="s">
        <v>3</v>
      </c>
      <c r="B23" s="13" t="s">
        <v>3</v>
      </c>
      <c r="C23" s="13" t="s">
        <v>449</v>
      </c>
      <c r="D23" s="13" t="s">
        <v>1191</v>
      </c>
      <c r="E23" s="13" t="s">
        <v>725</v>
      </c>
      <c r="F23" s="13">
        <v>9</v>
      </c>
      <c r="G23" s="2" t="s">
        <v>405</v>
      </c>
      <c r="H23" s="13" t="s">
        <v>1</v>
      </c>
      <c r="I23" s="13" t="s">
        <v>140</v>
      </c>
      <c r="J23" s="13" t="s">
        <v>139</v>
      </c>
      <c r="K23" s="109">
        <v>44523</v>
      </c>
      <c r="L23" s="109">
        <v>44531</v>
      </c>
      <c r="Q23" s="13" t="str">
        <f t="shared" si="0"/>
        <v>BARRCRD024946CADENASNUTRESA</v>
      </c>
      <c r="T23" s="123">
        <f t="shared" si="1"/>
        <v>0</v>
      </c>
      <c r="U23" s="13">
        <f t="shared" si="2"/>
        <v>0</v>
      </c>
      <c r="V23" s="123">
        <f t="shared" si="3"/>
        <v>0</v>
      </c>
      <c r="X23" s="13">
        <v>28000000</v>
      </c>
      <c r="Y23" s="13">
        <v>22000000</v>
      </c>
      <c r="Z23" s="13">
        <v>22000000</v>
      </c>
      <c r="AA23" s="13">
        <f t="shared" si="4"/>
        <v>1.3552E+22</v>
      </c>
      <c r="AB23" s="13">
        <f t="shared" si="5"/>
        <v>1.21968E+23</v>
      </c>
      <c r="AC23" s="13">
        <f t="shared" si="6"/>
        <v>8.47E+16</v>
      </c>
      <c r="AD23" s="110">
        <f t="shared" si="7"/>
        <v>44527</v>
      </c>
      <c r="AE23" s="13" t="e">
        <f>IF(AND(AD23&lt;=$AI$4,#REF!&lt;1),1,"")</f>
        <v>#REF!</v>
      </c>
      <c r="AF23" s="110">
        <f t="shared" ca="1" si="8"/>
        <v>44553</v>
      </c>
      <c r="AH23" s="13">
        <f t="shared" ca="1" si="9"/>
        <v>30</v>
      </c>
    </row>
    <row r="24" spans="1:34" x14ac:dyDescent="0.25">
      <c r="A24" s="13" t="s">
        <v>4</v>
      </c>
      <c r="B24" s="13" t="s">
        <v>4</v>
      </c>
      <c r="C24" s="13" t="s">
        <v>449</v>
      </c>
      <c r="D24" s="13" t="s">
        <v>1191</v>
      </c>
      <c r="E24" s="13" t="s">
        <v>725</v>
      </c>
      <c r="F24" s="13">
        <v>30</v>
      </c>
      <c r="G24" s="2" t="s">
        <v>405</v>
      </c>
      <c r="H24" s="13" t="s">
        <v>1</v>
      </c>
      <c r="I24" s="13" t="s">
        <v>140</v>
      </c>
      <c r="J24" s="13" t="s">
        <v>139</v>
      </c>
      <c r="K24" s="109">
        <v>44523</v>
      </c>
      <c r="L24" s="109">
        <v>44531</v>
      </c>
      <c r="Q24" s="13" t="str">
        <f t="shared" si="0"/>
        <v>BGTACRD024946CADENASNUTRESA</v>
      </c>
      <c r="T24" s="123">
        <f t="shared" si="1"/>
        <v>0</v>
      </c>
      <c r="U24" s="13">
        <f t="shared" si="2"/>
        <v>0</v>
      </c>
      <c r="V24" s="123">
        <f t="shared" si="3"/>
        <v>0</v>
      </c>
      <c r="X24" s="13">
        <v>28000000</v>
      </c>
      <c r="Y24" s="13">
        <v>22000000</v>
      </c>
      <c r="Z24" s="13">
        <v>22000000</v>
      </c>
      <c r="AA24" s="13">
        <f t="shared" si="4"/>
        <v>1.3552E+22</v>
      </c>
      <c r="AB24" s="13">
        <f t="shared" si="5"/>
        <v>4.0655999999999999E+23</v>
      </c>
      <c r="AC24" s="13">
        <f t="shared" si="6"/>
        <v>2.8233333333333331E+17</v>
      </c>
      <c r="AD24" s="110">
        <f t="shared" si="7"/>
        <v>44527</v>
      </c>
      <c r="AE24" s="13" t="e">
        <f>IF(AND(AD24&lt;=$AI$4,#REF!&lt;1),1,"")</f>
        <v>#REF!</v>
      </c>
      <c r="AF24" s="110">
        <f t="shared" ca="1" si="8"/>
        <v>44553</v>
      </c>
      <c r="AH24" s="13">
        <f t="shared" ca="1" si="9"/>
        <v>30</v>
      </c>
    </row>
    <row r="25" spans="1:34" x14ac:dyDescent="0.25">
      <c r="A25" s="13" t="s">
        <v>6</v>
      </c>
      <c r="B25" s="13" t="s">
        <v>6</v>
      </c>
      <c r="C25" s="13" t="s">
        <v>449</v>
      </c>
      <c r="D25" s="13" t="s">
        <v>1191</v>
      </c>
      <c r="E25" s="13" t="s">
        <v>725</v>
      </c>
      <c r="F25" s="13">
        <v>5</v>
      </c>
      <c r="G25" s="2" t="s">
        <v>405</v>
      </c>
      <c r="H25" s="13" t="s">
        <v>1</v>
      </c>
      <c r="I25" s="13" t="s">
        <v>140</v>
      </c>
      <c r="J25" s="13" t="s">
        <v>139</v>
      </c>
      <c r="K25" s="109">
        <v>44523</v>
      </c>
      <c r="L25" s="109">
        <v>44531</v>
      </c>
      <c r="Q25" s="13" t="str">
        <f t="shared" si="0"/>
        <v>CALICRD024946CADENASNUTRESA</v>
      </c>
      <c r="T25" s="123">
        <f t="shared" si="1"/>
        <v>0</v>
      </c>
      <c r="U25" s="13">
        <f t="shared" si="2"/>
        <v>0</v>
      </c>
      <c r="V25" s="123">
        <f t="shared" si="3"/>
        <v>0</v>
      </c>
      <c r="X25" s="13">
        <v>28000000</v>
      </c>
      <c r="Y25" s="13">
        <v>22000000</v>
      </c>
      <c r="Z25" s="13">
        <v>22000000</v>
      </c>
      <c r="AA25" s="13">
        <f t="shared" si="4"/>
        <v>1.3552E+22</v>
      </c>
      <c r="AB25" s="13">
        <f t="shared" si="5"/>
        <v>6.7760000000000004E+22</v>
      </c>
      <c r="AC25" s="13">
        <f t="shared" si="6"/>
        <v>4.705555555555556E+16</v>
      </c>
      <c r="AD25" s="110">
        <f t="shared" si="7"/>
        <v>44527</v>
      </c>
      <c r="AE25" s="13" t="e">
        <f>IF(AND(AD25&lt;=$AI$4,#REF!&lt;1),1,"")</f>
        <v>#REF!</v>
      </c>
      <c r="AF25" s="110">
        <f t="shared" ca="1" si="8"/>
        <v>44553</v>
      </c>
      <c r="AH25" s="13">
        <f t="shared" ca="1" si="9"/>
        <v>30</v>
      </c>
    </row>
    <row r="26" spans="1:34" x14ac:dyDescent="0.25">
      <c r="A26" s="13" t="s">
        <v>7</v>
      </c>
      <c r="B26" s="13" t="s">
        <v>7</v>
      </c>
      <c r="C26" s="13" t="s">
        <v>449</v>
      </c>
      <c r="D26" s="13" t="s">
        <v>1191</v>
      </c>
      <c r="E26" s="13" t="s">
        <v>725</v>
      </c>
      <c r="F26" s="13">
        <v>4</v>
      </c>
      <c r="G26" s="2" t="s">
        <v>405</v>
      </c>
      <c r="H26" s="13" t="s">
        <v>1</v>
      </c>
      <c r="I26" s="13" t="s">
        <v>140</v>
      </c>
      <c r="J26" s="13" t="s">
        <v>139</v>
      </c>
      <c r="K26" s="109">
        <v>44523</v>
      </c>
      <c r="L26" s="109">
        <v>44531</v>
      </c>
      <c r="Q26" s="13" t="str">
        <f t="shared" si="0"/>
        <v>CARTCRD024946CADENASNUTRESA</v>
      </c>
      <c r="T26" s="123">
        <f t="shared" si="1"/>
        <v>0</v>
      </c>
      <c r="U26" s="13">
        <f t="shared" si="2"/>
        <v>0</v>
      </c>
      <c r="V26" s="123">
        <f t="shared" si="3"/>
        <v>0</v>
      </c>
      <c r="X26" s="13">
        <v>28000000</v>
      </c>
      <c r="Y26" s="13">
        <v>22000000</v>
      </c>
      <c r="Z26" s="13">
        <v>22000000</v>
      </c>
      <c r="AA26" s="13">
        <f t="shared" si="4"/>
        <v>1.3552E+22</v>
      </c>
      <c r="AB26" s="13">
        <f t="shared" si="5"/>
        <v>5.4208E+22</v>
      </c>
      <c r="AC26" s="13">
        <f t="shared" si="6"/>
        <v>3.7644444444444448E+16</v>
      </c>
      <c r="AD26" s="110">
        <f t="shared" si="7"/>
        <v>44527</v>
      </c>
      <c r="AE26" s="13" t="e">
        <f>IF(AND(AD26&lt;=$AI$4,#REF!&lt;1),1,"")</f>
        <v>#REF!</v>
      </c>
      <c r="AF26" s="110">
        <f t="shared" ca="1" si="8"/>
        <v>44553</v>
      </c>
      <c r="AH26" s="13">
        <f t="shared" ca="1" si="9"/>
        <v>30</v>
      </c>
    </row>
    <row r="27" spans="1:34" x14ac:dyDescent="0.25">
      <c r="A27" s="13" t="s">
        <v>9</v>
      </c>
      <c r="B27" s="13" t="s">
        <v>9</v>
      </c>
      <c r="C27" s="13" t="s">
        <v>449</v>
      </c>
      <c r="D27" s="13" t="s">
        <v>1191</v>
      </c>
      <c r="E27" s="13" t="s">
        <v>725</v>
      </c>
      <c r="F27" s="13">
        <v>7</v>
      </c>
      <c r="G27" s="2" t="s">
        <v>405</v>
      </c>
      <c r="H27" s="13" t="s">
        <v>1</v>
      </c>
      <c r="I27" s="13" t="s">
        <v>140</v>
      </c>
      <c r="J27" s="13" t="s">
        <v>139</v>
      </c>
      <c r="K27" s="109">
        <v>44523</v>
      </c>
      <c r="L27" s="109">
        <v>44531</v>
      </c>
      <c r="Q27" s="13" t="str">
        <f t="shared" si="0"/>
        <v>MEDECRD024946CADENASNUTRESA</v>
      </c>
      <c r="T27" s="123">
        <f t="shared" si="1"/>
        <v>0</v>
      </c>
      <c r="U27" s="13">
        <f t="shared" si="2"/>
        <v>0</v>
      </c>
      <c r="V27" s="123">
        <f t="shared" si="3"/>
        <v>0</v>
      </c>
      <c r="X27" s="13">
        <v>28000000</v>
      </c>
      <c r="Y27" s="13">
        <v>22000000</v>
      </c>
      <c r="Z27" s="13">
        <v>22000000</v>
      </c>
      <c r="AA27" s="13">
        <f t="shared" si="4"/>
        <v>1.3552E+22</v>
      </c>
      <c r="AB27" s="13">
        <f t="shared" si="5"/>
        <v>9.4863999999999996E+22</v>
      </c>
      <c r="AC27" s="13">
        <f t="shared" si="6"/>
        <v>6.5877777777777776E+16</v>
      </c>
      <c r="AD27" s="110">
        <f t="shared" si="7"/>
        <v>44527</v>
      </c>
      <c r="AE27" s="13" t="e">
        <f>IF(AND(AD27&lt;=$AI$4,#REF!&lt;1),1,"")</f>
        <v>#REF!</v>
      </c>
      <c r="AF27" s="110">
        <f t="shared" ca="1" si="8"/>
        <v>44553</v>
      </c>
      <c r="AH27" s="13">
        <f t="shared" ca="1" si="9"/>
        <v>30</v>
      </c>
    </row>
    <row r="28" spans="1:34" x14ac:dyDescent="0.25">
      <c r="A28" s="13" t="s">
        <v>10</v>
      </c>
      <c r="B28" s="13" t="s">
        <v>10</v>
      </c>
      <c r="C28" s="13" t="s">
        <v>449</v>
      </c>
      <c r="D28" s="13" t="s">
        <v>1191</v>
      </c>
      <c r="E28" s="13" t="s">
        <v>725</v>
      </c>
      <c r="F28" s="13">
        <v>4</v>
      </c>
      <c r="G28" s="2" t="s">
        <v>405</v>
      </c>
      <c r="H28" s="13" t="s">
        <v>1</v>
      </c>
      <c r="I28" s="13" t="s">
        <v>140</v>
      </c>
      <c r="J28" s="13" t="s">
        <v>139</v>
      </c>
      <c r="K28" s="109">
        <v>44523</v>
      </c>
      <c r="L28" s="109">
        <v>44531</v>
      </c>
      <c r="Q28" s="13" t="str">
        <f t="shared" si="0"/>
        <v>PERECRD024946CADENASNUTRESA</v>
      </c>
      <c r="T28" s="123">
        <f t="shared" si="1"/>
        <v>0</v>
      </c>
      <c r="U28" s="13">
        <f t="shared" si="2"/>
        <v>0</v>
      </c>
      <c r="V28" s="123">
        <f t="shared" si="3"/>
        <v>0</v>
      </c>
      <c r="X28" s="13">
        <v>28000000</v>
      </c>
      <c r="Y28" s="13">
        <v>22000000</v>
      </c>
      <c r="Z28" s="13">
        <v>22000000</v>
      </c>
      <c r="AA28" s="13">
        <f t="shared" si="4"/>
        <v>1.3552E+22</v>
      </c>
      <c r="AB28" s="13">
        <f t="shared" si="5"/>
        <v>5.4208E+22</v>
      </c>
      <c r="AC28" s="13">
        <f t="shared" si="6"/>
        <v>3.7644444444444448E+16</v>
      </c>
      <c r="AD28" s="110">
        <f t="shared" si="7"/>
        <v>44527</v>
      </c>
      <c r="AE28" s="13" t="e">
        <f>IF(AND(AD28&lt;=$AI$4,#REF!&lt;1),1,"")</f>
        <v>#REF!</v>
      </c>
      <c r="AF28" s="110">
        <f t="shared" ca="1" si="8"/>
        <v>44553</v>
      </c>
      <c r="AH28" s="13">
        <f t="shared" ca="1" si="9"/>
        <v>30</v>
      </c>
    </row>
    <row r="29" spans="1:34" x14ac:dyDescent="0.25">
      <c r="A29" s="13" t="s">
        <v>150</v>
      </c>
      <c r="B29" s="13" t="s">
        <v>150</v>
      </c>
      <c r="C29" s="13" t="s">
        <v>449</v>
      </c>
      <c r="D29" s="13" t="s">
        <v>1191</v>
      </c>
      <c r="E29" s="13" t="s">
        <v>725</v>
      </c>
      <c r="F29" s="13">
        <v>1</v>
      </c>
      <c r="G29" s="2" t="s">
        <v>405</v>
      </c>
      <c r="H29" s="13" t="s">
        <v>1</v>
      </c>
      <c r="I29" s="13" t="s">
        <v>140</v>
      </c>
      <c r="J29" s="13" t="s">
        <v>139</v>
      </c>
      <c r="K29" s="109">
        <v>44523</v>
      </c>
      <c r="L29" s="109">
        <v>44531</v>
      </c>
      <c r="Q29" s="13" t="str">
        <f t="shared" si="0"/>
        <v>VILACRD024946CADENASNUTRESA</v>
      </c>
      <c r="T29" s="123">
        <f t="shared" si="1"/>
        <v>0</v>
      </c>
      <c r="U29" s="13">
        <f t="shared" si="2"/>
        <v>0</v>
      </c>
      <c r="V29" s="123">
        <f t="shared" si="3"/>
        <v>0</v>
      </c>
      <c r="X29" s="13">
        <v>28000000</v>
      </c>
      <c r="Y29" s="13">
        <v>22000000</v>
      </c>
      <c r="Z29" s="13">
        <v>22000000</v>
      </c>
      <c r="AA29" s="13">
        <f t="shared" si="4"/>
        <v>1.3552E+22</v>
      </c>
      <c r="AB29" s="13">
        <f t="shared" si="5"/>
        <v>1.3552E+22</v>
      </c>
      <c r="AC29" s="13">
        <f t="shared" si="6"/>
        <v>9411111111111112</v>
      </c>
      <c r="AD29" s="110">
        <f t="shared" si="7"/>
        <v>44527</v>
      </c>
      <c r="AE29" s="13" t="e">
        <f>IF(AND(AD29&lt;=$AI$4,#REF!&lt;1),1,"")</f>
        <v>#REF!</v>
      </c>
      <c r="AF29" s="110">
        <f t="shared" ca="1" si="8"/>
        <v>44553</v>
      </c>
      <c r="AH29" s="13">
        <f t="shared" ca="1" si="9"/>
        <v>30</v>
      </c>
    </row>
    <row r="30" spans="1:34" x14ac:dyDescent="0.25">
      <c r="A30" s="13" t="s">
        <v>6</v>
      </c>
      <c r="B30" s="13" t="s">
        <v>6</v>
      </c>
      <c r="C30" s="13" t="s">
        <v>1193</v>
      </c>
      <c r="D30" s="13" t="s">
        <v>1194</v>
      </c>
      <c r="E30" s="13" t="s">
        <v>723</v>
      </c>
      <c r="F30" s="13">
        <v>3</v>
      </c>
      <c r="G30" s="2" t="s">
        <v>1195</v>
      </c>
      <c r="H30" s="13" t="s">
        <v>1</v>
      </c>
      <c r="I30" s="13" t="s">
        <v>140</v>
      </c>
      <c r="J30" s="13" t="s">
        <v>139</v>
      </c>
      <c r="K30" s="109">
        <v>44559</v>
      </c>
      <c r="Q30" s="13" t="str">
        <f t="shared" si="0"/>
        <v>CALICRD025035CADENASNUTRESA</v>
      </c>
      <c r="T30" s="123">
        <f t="shared" si="1"/>
        <v>0</v>
      </c>
      <c r="U30" s="13">
        <f t="shared" si="2"/>
        <v>0</v>
      </c>
      <c r="V30" s="123">
        <f t="shared" si="3"/>
        <v>0</v>
      </c>
      <c r="X30" s="13">
        <v>5000000</v>
      </c>
      <c r="Y30" s="13">
        <v>100000000</v>
      </c>
      <c r="Z30" s="13">
        <v>100000000</v>
      </c>
      <c r="AA30" s="13">
        <f t="shared" si="4"/>
        <v>4.9999999999999996E+22</v>
      </c>
      <c r="AB30" s="13">
        <f t="shared" si="5"/>
        <v>1.4999999999999999E+23</v>
      </c>
      <c r="AC30" s="13">
        <f t="shared" si="6"/>
        <v>1.0416666666666666E+17</v>
      </c>
      <c r="AD30" s="110">
        <f t="shared" si="7"/>
        <v>44563</v>
      </c>
      <c r="AE30" s="13" t="e">
        <f>IF(AND(AD30&lt;=$AI$4,#REF!&lt;1),1,"")</f>
        <v>#REF!</v>
      </c>
      <c r="AF30" s="110">
        <f t="shared" ca="1" si="8"/>
        <v>44553</v>
      </c>
      <c r="AH30" s="13">
        <f t="shared" ca="1" si="9"/>
        <v>-6</v>
      </c>
    </row>
    <row r="31" spans="1:34" x14ac:dyDescent="0.25">
      <c r="A31" s="13" t="s">
        <v>10</v>
      </c>
      <c r="B31" s="13" t="s">
        <v>10</v>
      </c>
      <c r="C31" s="13" t="s">
        <v>1193</v>
      </c>
      <c r="D31" s="13" t="s">
        <v>1194</v>
      </c>
      <c r="E31" s="13" t="s">
        <v>723</v>
      </c>
      <c r="F31" s="13">
        <v>4</v>
      </c>
      <c r="G31" s="2" t="s">
        <v>1195</v>
      </c>
      <c r="H31" s="13" t="s">
        <v>1</v>
      </c>
      <c r="I31" s="13" t="s">
        <v>140</v>
      </c>
      <c r="J31" s="13" t="s">
        <v>139</v>
      </c>
      <c r="K31" s="109">
        <v>44559</v>
      </c>
      <c r="Q31" s="13" t="str">
        <f t="shared" si="0"/>
        <v>PERECRD025035CADENASNUTRESA</v>
      </c>
      <c r="T31" s="123">
        <f t="shared" si="1"/>
        <v>0</v>
      </c>
      <c r="U31" s="13">
        <f t="shared" si="2"/>
        <v>0</v>
      </c>
      <c r="V31" s="123">
        <f t="shared" si="3"/>
        <v>0</v>
      </c>
      <c r="X31" s="13">
        <v>5000000</v>
      </c>
      <c r="Y31" s="13">
        <v>100000000</v>
      </c>
      <c r="Z31" s="13">
        <v>100000000</v>
      </c>
      <c r="AA31" s="13">
        <f t="shared" si="4"/>
        <v>4.9999999999999996E+22</v>
      </c>
      <c r="AB31" s="13">
        <f t="shared" si="5"/>
        <v>1.9999999999999998E+23</v>
      </c>
      <c r="AC31" s="13">
        <f t="shared" si="6"/>
        <v>1.3888888888888888E+17</v>
      </c>
      <c r="AD31" s="110">
        <f t="shared" si="7"/>
        <v>44563</v>
      </c>
      <c r="AE31" s="13" t="e">
        <f>IF(AND(AD31&lt;=$AI$4,#REF!&lt;1),1,"")</f>
        <v>#REF!</v>
      </c>
      <c r="AF31" s="110">
        <f t="shared" ca="1" si="8"/>
        <v>44553</v>
      </c>
      <c r="AH31" s="13">
        <f t="shared" ca="1" si="9"/>
        <v>-6</v>
      </c>
    </row>
    <row r="32" spans="1:34" x14ac:dyDescent="0.25">
      <c r="A32" s="13" t="s">
        <v>724</v>
      </c>
      <c r="B32" s="13" t="s">
        <v>724</v>
      </c>
      <c r="C32" s="13" t="s">
        <v>1198</v>
      </c>
      <c r="D32" s="13" t="s">
        <v>1199</v>
      </c>
      <c r="E32" s="13" t="s">
        <v>723</v>
      </c>
      <c r="F32" s="13">
        <v>15</v>
      </c>
      <c r="G32" s="2" t="s">
        <v>1195</v>
      </c>
      <c r="H32" s="13" t="s">
        <v>0</v>
      </c>
      <c r="I32" s="13" t="s">
        <v>145</v>
      </c>
      <c r="J32" s="13" t="s">
        <v>46</v>
      </c>
      <c r="K32" s="109">
        <v>44564</v>
      </c>
      <c r="Q32" s="13" t="str">
        <f t="shared" si="0"/>
        <v>BGTA ALTCRD025033AUTOSERVICIOALTILLANO</v>
      </c>
      <c r="T32" s="123">
        <f t="shared" si="1"/>
        <v>0</v>
      </c>
      <c r="U32" s="13">
        <f t="shared" si="2"/>
        <v>0</v>
      </c>
      <c r="V32" s="123">
        <f t="shared" si="3"/>
        <v>0</v>
      </c>
      <c r="X32" s="13">
        <v>30000000</v>
      </c>
      <c r="Y32" s="13">
        <v>40000000</v>
      </c>
      <c r="Z32" s="13">
        <v>40000000</v>
      </c>
      <c r="AA32" s="13">
        <f t="shared" si="4"/>
        <v>4.8E+22</v>
      </c>
      <c r="AB32" s="13">
        <f t="shared" si="5"/>
        <v>7.1999999999999997E+23</v>
      </c>
      <c r="AC32" s="13">
        <f t="shared" si="6"/>
        <v>5E+17</v>
      </c>
      <c r="AD32" s="110">
        <f t="shared" si="7"/>
        <v>44568</v>
      </c>
      <c r="AE32" s="13" t="e">
        <f>IF(AND(AD32&lt;=$AI$4,#REF!&lt;1),1,"")</f>
        <v>#REF!</v>
      </c>
      <c r="AF32" s="110">
        <f t="shared" ca="1" si="8"/>
        <v>44553</v>
      </c>
      <c r="AH32" s="13">
        <f t="shared" ca="1" si="9"/>
        <v>-11</v>
      </c>
    </row>
    <row r="33" spans="1:34" x14ac:dyDescent="0.25">
      <c r="A33" s="13" t="s">
        <v>6</v>
      </c>
      <c r="B33" s="13" t="s">
        <v>6</v>
      </c>
      <c r="C33" s="13" t="s">
        <v>1198</v>
      </c>
      <c r="D33" s="13" t="s">
        <v>1199</v>
      </c>
      <c r="E33" s="13" t="s">
        <v>723</v>
      </c>
      <c r="F33" s="13">
        <v>2</v>
      </c>
      <c r="G33" s="2" t="s">
        <v>1195</v>
      </c>
      <c r="H33" s="13" t="s">
        <v>0</v>
      </c>
      <c r="I33" s="13" t="s">
        <v>140</v>
      </c>
      <c r="J33" s="13" t="s">
        <v>46</v>
      </c>
      <c r="K33" s="109">
        <v>44564</v>
      </c>
      <c r="Q33" s="13" t="str">
        <f t="shared" si="0"/>
        <v>CALICRD025033AUTOSERVICIONUTRESA</v>
      </c>
      <c r="T33" s="123">
        <f t="shared" si="1"/>
        <v>0</v>
      </c>
      <c r="U33" s="13">
        <f t="shared" si="2"/>
        <v>0</v>
      </c>
      <c r="V33" s="123">
        <f t="shared" si="3"/>
        <v>0</v>
      </c>
      <c r="X33" s="13">
        <v>30000000</v>
      </c>
      <c r="Y33" s="13">
        <v>40000000</v>
      </c>
      <c r="Z33" s="13">
        <v>40000000</v>
      </c>
      <c r="AA33" s="13">
        <f t="shared" si="4"/>
        <v>4.8E+22</v>
      </c>
      <c r="AB33" s="13">
        <f t="shared" si="5"/>
        <v>9.6E+22</v>
      </c>
      <c r="AC33" s="13">
        <f t="shared" si="6"/>
        <v>6.6666666666666664E+16</v>
      </c>
      <c r="AD33" s="110">
        <f t="shared" si="7"/>
        <v>44568</v>
      </c>
      <c r="AE33" s="13" t="e">
        <f>IF(AND(AD33&lt;=$AI$4,#REF!&lt;1),1,"")</f>
        <v>#REF!</v>
      </c>
      <c r="AF33" s="110">
        <f t="shared" ca="1" si="8"/>
        <v>44553</v>
      </c>
      <c r="AH33" s="13">
        <f t="shared" ca="1" si="9"/>
        <v>-11</v>
      </c>
    </row>
    <row r="34" spans="1:34" x14ac:dyDescent="0.25">
      <c r="A34" s="13" t="s">
        <v>4</v>
      </c>
      <c r="B34" s="13" t="s">
        <v>4</v>
      </c>
      <c r="C34" s="13" t="s">
        <v>1200</v>
      </c>
      <c r="D34" s="13" t="s">
        <v>1201</v>
      </c>
      <c r="E34" s="13" t="s">
        <v>723</v>
      </c>
      <c r="F34" s="13">
        <v>17</v>
      </c>
      <c r="G34" s="2" t="s">
        <v>1195</v>
      </c>
      <c r="H34" s="13" t="s">
        <v>0</v>
      </c>
      <c r="I34" s="13" t="s">
        <v>140</v>
      </c>
      <c r="J34" s="13" t="s">
        <v>46</v>
      </c>
      <c r="K34" s="109">
        <v>44564</v>
      </c>
      <c r="Q34" s="13" t="str">
        <f t="shared" si="0"/>
        <v>BGTACRD025034AUTOSERVICIONUTRESA</v>
      </c>
      <c r="T34" s="123">
        <f t="shared" si="1"/>
        <v>0</v>
      </c>
      <c r="U34" s="13">
        <f t="shared" si="2"/>
        <v>0</v>
      </c>
      <c r="V34" s="123">
        <f t="shared" si="3"/>
        <v>0</v>
      </c>
      <c r="X34" s="13">
        <v>30000000</v>
      </c>
      <c r="Y34" s="13">
        <v>40000000</v>
      </c>
      <c r="Z34" s="13">
        <v>40000000</v>
      </c>
      <c r="AA34" s="13">
        <f t="shared" si="4"/>
        <v>4.8E+22</v>
      </c>
      <c r="AB34" s="13">
        <f t="shared" si="5"/>
        <v>8.1600000000000003E+23</v>
      </c>
      <c r="AC34" s="13">
        <f t="shared" si="6"/>
        <v>5.6666666666666669E+17</v>
      </c>
      <c r="AD34" s="110">
        <f t="shared" si="7"/>
        <v>44568</v>
      </c>
      <c r="AE34" s="13" t="e">
        <f>IF(AND(AD34&lt;=$AI$4,#REF!&lt;1),1,"")</f>
        <v>#REF!</v>
      </c>
      <c r="AF34" s="110">
        <f t="shared" ca="1" si="8"/>
        <v>44553</v>
      </c>
      <c r="AH34" s="13">
        <f t="shared" ca="1" si="9"/>
        <v>-11</v>
      </c>
    </row>
    <row r="35" spans="1:34" x14ac:dyDescent="0.25">
      <c r="A35" s="13" t="s">
        <v>5</v>
      </c>
      <c r="B35" s="13" t="s">
        <v>5</v>
      </c>
      <c r="C35" s="13" t="s">
        <v>1200</v>
      </c>
      <c r="D35" s="13" t="s">
        <v>1201</v>
      </c>
      <c r="E35" s="13" t="s">
        <v>723</v>
      </c>
      <c r="F35" s="13">
        <v>6</v>
      </c>
      <c r="G35" s="2" t="s">
        <v>1195</v>
      </c>
      <c r="H35" s="13" t="s">
        <v>0</v>
      </c>
      <c r="I35" s="13" t="s">
        <v>140</v>
      </c>
      <c r="J35" s="13" t="s">
        <v>46</v>
      </c>
      <c r="K35" s="109">
        <v>44564</v>
      </c>
      <c r="Q35" s="13" t="str">
        <f t="shared" si="0"/>
        <v>BUCACRD025034AUTOSERVICIONUTRESA</v>
      </c>
      <c r="T35" s="123">
        <f t="shared" si="1"/>
        <v>0</v>
      </c>
      <c r="U35" s="13">
        <f t="shared" si="2"/>
        <v>0</v>
      </c>
      <c r="V35" s="123">
        <f t="shared" si="3"/>
        <v>0</v>
      </c>
      <c r="X35" s="13">
        <v>30000000</v>
      </c>
      <c r="Y35" s="13">
        <v>40000000</v>
      </c>
      <c r="Z35" s="13">
        <v>40000000</v>
      </c>
      <c r="AA35" s="13">
        <f t="shared" si="4"/>
        <v>4.8E+22</v>
      </c>
      <c r="AB35" s="13">
        <f t="shared" si="5"/>
        <v>2.88E+23</v>
      </c>
      <c r="AC35" s="13">
        <f t="shared" si="6"/>
        <v>2E+17</v>
      </c>
      <c r="AD35" s="110">
        <f t="shared" si="7"/>
        <v>44568</v>
      </c>
      <c r="AE35" s="13" t="e">
        <f>IF(AND(AD35&lt;=$AI$4,#REF!&lt;1),1,"")</f>
        <v>#REF!</v>
      </c>
      <c r="AF35" s="110">
        <f t="shared" ca="1" si="8"/>
        <v>44553</v>
      </c>
      <c r="AH35" s="13">
        <f t="shared" ca="1" si="9"/>
        <v>-11</v>
      </c>
    </row>
    <row r="36" spans="1:34" x14ac:dyDescent="0.25">
      <c r="A36" s="13" t="s">
        <v>9</v>
      </c>
      <c r="B36" s="13" t="s">
        <v>9</v>
      </c>
      <c r="C36" s="13" t="s">
        <v>1200</v>
      </c>
      <c r="D36" s="13" t="s">
        <v>1201</v>
      </c>
      <c r="E36" s="13" t="s">
        <v>723</v>
      </c>
      <c r="F36" s="13">
        <v>5</v>
      </c>
      <c r="G36" s="2" t="s">
        <v>1195</v>
      </c>
      <c r="H36" s="13" t="s">
        <v>0</v>
      </c>
      <c r="I36" s="13" t="s">
        <v>140</v>
      </c>
      <c r="J36" s="13" t="s">
        <v>46</v>
      </c>
      <c r="K36" s="109">
        <v>44564</v>
      </c>
      <c r="Q36" s="13" t="str">
        <f t="shared" si="0"/>
        <v>MEDECRD025034AUTOSERVICIONUTRESA</v>
      </c>
      <c r="T36" s="123">
        <f t="shared" si="1"/>
        <v>0</v>
      </c>
      <c r="U36" s="13">
        <f t="shared" si="2"/>
        <v>0</v>
      </c>
      <c r="V36" s="123">
        <f t="shared" si="3"/>
        <v>0</v>
      </c>
      <c r="X36" s="13">
        <v>30000000</v>
      </c>
      <c r="Y36" s="13">
        <v>40000000</v>
      </c>
      <c r="Z36" s="13">
        <v>40000000</v>
      </c>
      <c r="AA36" s="13">
        <f t="shared" si="4"/>
        <v>4.8E+22</v>
      </c>
      <c r="AB36" s="13">
        <f t="shared" si="5"/>
        <v>2.4E+23</v>
      </c>
      <c r="AC36" s="13">
        <f t="shared" si="6"/>
        <v>1.6666666666666666E+17</v>
      </c>
      <c r="AD36" s="110">
        <f t="shared" si="7"/>
        <v>44568</v>
      </c>
      <c r="AE36" s="13" t="e">
        <f>IF(AND(AD36&lt;=$AI$4,#REF!&lt;1),1,"")</f>
        <v>#REF!</v>
      </c>
      <c r="AF36" s="110">
        <f t="shared" ca="1" si="8"/>
        <v>44553</v>
      </c>
      <c r="AH36" s="13">
        <f t="shared" ca="1" si="9"/>
        <v>-11</v>
      </c>
    </row>
    <row r="37" spans="1:34" x14ac:dyDescent="0.25">
      <c r="A37" s="13" t="s">
        <v>149</v>
      </c>
      <c r="B37" s="13" t="s">
        <v>149</v>
      </c>
      <c r="C37" s="13" t="s">
        <v>1193</v>
      </c>
      <c r="D37" s="13" t="s">
        <v>1194</v>
      </c>
      <c r="E37" s="13" t="s">
        <v>723</v>
      </c>
      <c r="F37" s="13">
        <v>3</v>
      </c>
      <c r="G37" s="2" t="s">
        <v>1195</v>
      </c>
      <c r="H37" s="13" t="s">
        <v>0</v>
      </c>
      <c r="I37" s="13" t="s">
        <v>140</v>
      </c>
      <c r="J37" s="13" t="s">
        <v>139</v>
      </c>
      <c r="K37" s="109">
        <v>44564</v>
      </c>
      <c r="Q37" s="13" t="str">
        <f t="shared" si="0"/>
        <v>DUITCRD025035AUTOSERVICIONUTRESA</v>
      </c>
      <c r="T37" s="123">
        <f t="shared" si="1"/>
        <v>0</v>
      </c>
      <c r="U37" s="13">
        <f t="shared" si="2"/>
        <v>0</v>
      </c>
      <c r="V37" s="123">
        <f t="shared" si="3"/>
        <v>0</v>
      </c>
      <c r="X37" s="13">
        <v>5000000</v>
      </c>
      <c r="Y37" s="13">
        <v>100000000</v>
      </c>
      <c r="Z37" s="13">
        <v>100000000</v>
      </c>
      <c r="AA37" s="13">
        <f t="shared" si="4"/>
        <v>4.9999999999999996E+22</v>
      </c>
      <c r="AB37" s="13">
        <f t="shared" si="5"/>
        <v>1.4999999999999999E+23</v>
      </c>
      <c r="AC37" s="13">
        <f t="shared" si="6"/>
        <v>1.0416666666666666E+17</v>
      </c>
      <c r="AD37" s="110">
        <f t="shared" si="7"/>
        <v>44568</v>
      </c>
      <c r="AE37" s="13" t="e">
        <f>IF(AND(AD37&lt;=$AI$4,#REF!&lt;1),1,"")</f>
        <v>#REF!</v>
      </c>
      <c r="AF37" s="110">
        <f t="shared" ca="1" si="8"/>
        <v>44553</v>
      </c>
      <c r="AH37" s="13">
        <f t="shared" ca="1" si="9"/>
        <v>-11</v>
      </c>
    </row>
    <row r="38" spans="1:34" x14ac:dyDescent="0.25">
      <c r="A38" s="13" t="s">
        <v>4</v>
      </c>
      <c r="B38" s="13" t="s">
        <v>4</v>
      </c>
      <c r="C38" s="13" t="s">
        <v>1202</v>
      </c>
      <c r="D38" s="13" t="s">
        <v>1203</v>
      </c>
      <c r="E38" s="13" t="s">
        <v>723</v>
      </c>
      <c r="F38" s="13">
        <v>1</v>
      </c>
      <c r="G38" s="2" t="s">
        <v>1195</v>
      </c>
      <c r="H38" s="13" t="s">
        <v>0</v>
      </c>
      <c r="I38" s="13" t="s">
        <v>140</v>
      </c>
      <c r="J38" s="13" t="s">
        <v>139</v>
      </c>
      <c r="K38" s="109">
        <v>44564</v>
      </c>
      <c r="Q38" s="13" t="str">
        <f t="shared" si="0"/>
        <v>BGTACRD025036AUTOSERVICIONUTRESA</v>
      </c>
      <c r="T38" s="123">
        <f t="shared" si="1"/>
        <v>0</v>
      </c>
      <c r="U38" s="13">
        <f t="shared" si="2"/>
        <v>0</v>
      </c>
      <c r="V38" s="123">
        <f t="shared" si="3"/>
        <v>0</v>
      </c>
      <c r="X38" s="13">
        <v>1000000</v>
      </c>
      <c r="Y38" s="13">
        <v>40000000</v>
      </c>
      <c r="Z38" s="13">
        <v>40000000</v>
      </c>
      <c r="AA38" s="13">
        <f t="shared" si="4"/>
        <v>1.6E+21</v>
      </c>
      <c r="AB38" s="13">
        <f t="shared" si="5"/>
        <v>1.6E+21</v>
      </c>
      <c r="AC38" s="13">
        <f t="shared" si="6"/>
        <v>1111111111111111.1</v>
      </c>
      <c r="AD38" s="110">
        <f t="shared" si="7"/>
        <v>44568</v>
      </c>
      <c r="AE38" s="13" t="e">
        <f>IF(AND(AD38&lt;=$AI$4,#REF!&lt;1),1,"")</f>
        <v>#REF!</v>
      </c>
      <c r="AF38" s="110">
        <f t="shared" ca="1" si="8"/>
        <v>44553</v>
      </c>
      <c r="AH38" s="13">
        <f t="shared" ca="1" si="9"/>
        <v>-11</v>
      </c>
    </row>
    <row r="39" spans="1:34" x14ac:dyDescent="0.25">
      <c r="A39" s="13" t="s">
        <v>4</v>
      </c>
      <c r="B39" s="13" t="s">
        <v>4</v>
      </c>
      <c r="C39" s="13" t="s">
        <v>1204</v>
      </c>
      <c r="D39" s="13" t="s">
        <v>1205</v>
      </c>
      <c r="E39" s="13" t="s">
        <v>723</v>
      </c>
      <c r="F39" s="13">
        <v>90</v>
      </c>
      <c r="G39" s="2" t="s">
        <v>1195</v>
      </c>
      <c r="H39" s="13" t="s">
        <v>0</v>
      </c>
      <c r="I39" s="13" t="s">
        <v>140</v>
      </c>
      <c r="J39" s="13" t="s">
        <v>139</v>
      </c>
      <c r="K39" s="109">
        <v>44564</v>
      </c>
      <c r="Q39" s="13" t="str">
        <f t="shared" si="0"/>
        <v>BGTACRD025037AUTOSERVICIONUTRESA</v>
      </c>
      <c r="T39" s="123">
        <f t="shared" si="1"/>
        <v>0</v>
      </c>
      <c r="U39" s="13">
        <f t="shared" si="2"/>
        <v>0</v>
      </c>
      <c r="V39" s="123">
        <f t="shared" si="3"/>
        <v>0</v>
      </c>
      <c r="X39" s="13">
        <v>5000000</v>
      </c>
      <c r="Y39" s="13">
        <v>30000000</v>
      </c>
      <c r="Z39" s="13">
        <v>30000000</v>
      </c>
      <c r="AA39" s="13">
        <f t="shared" si="4"/>
        <v>4.5E+21</v>
      </c>
      <c r="AB39" s="13">
        <f t="shared" si="5"/>
        <v>4.0500000000000001E+23</v>
      </c>
      <c r="AC39" s="13">
        <f t="shared" si="6"/>
        <v>2.8125E+17</v>
      </c>
      <c r="AD39" s="110">
        <f t="shared" si="7"/>
        <v>44568</v>
      </c>
      <c r="AE39" s="13" t="e">
        <f>IF(AND(AD39&lt;=$AI$4,#REF!&lt;1),1,"")</f>
        <v>#REF!</v>
      </c>
      <c r="AF39" s="110">
        <f t="shared" ca="1" si="8"/>
        <v>44553</v>
      </c>
      <c r="AH39" s="13">
        <f t="shared" ca="1" si="9"/>
        <v>-11</v>
      </c>
    </row>
    <row r="40" spans="1:34" x14ac:dyDescent="0.25">
      <c r="A40" s="13" t="s">
        <v>5</v>
      </c>
      <c r="B40" s="13" t="s">
        <v>5</v>
      </c>
      <c r="C40" s="13" t="s">
        <v>1204</v>
      </c>
      <c r="D40" s="13" t="s">
        <v>1205</v>
      </c>
      <c r="E40" s="13" t="s">
        <v>723</v>
      </c>
      <c r="F40" s="13">
        <v>80</v>
      </c>
      <c r="G40" s="2" t="s">
        <v>1195</v>
      </c>
      <c r="H40" s="13" t="s">
        <v>0</v>
      </c>
      <c r="I40" s="13" t="s">
        <v>140</v>
      </c>
      <c r="J40" s="13" t="s">
        <v>139</v>
      </c>
      <c r="K40" s="109">
        <v>44564</v>
      </c>
      <c r="Q40" s="13" t="str">
        <f t="shared" si="0"/>
        <v>BUCACRD025037AUTOSERVICIONUTRESA</v>
      </c>
      <c r="T40" s="123">
        <f t="shared" si="1"/>
        <v>0</v>
      </c>
      <c r="U40" s="13">
        <f t="shared" si="2"/>
        <v>0</v>
      </c>
      <c r="V40" s="123">
        <f t="shared" si="3"/>
        <v>0</v>
      </c>
      <c r="X40" s="13">
        <v>5000000</v>
      </c>
      <c r="Y40" s="13">
        <v>30000000</v>
      </c>
      <c r="Z40" s="13">
        <v>30000000</v>
      </c>
      <c r="AA40" s="13">
        <f t="shared" si="4"/>
        <v>4.5E+21</v>
      </c>
      <c r="AB40" s="13">
        <f t="shared" si="5"/>
        <v>3.5999999999999998E+23</v>
      </c>
      <c r="AC40" s="13">
        <f t="shared" si="6"/>
        <v>2.5E+17</v>
      </c>
      <c r="AD40" s="110">
        <f t="shared" si="7"/>
        <v>44568</v>
      </c>
      <c r="AE40" s="13" t="e">
        <f>IF(AND(AD40&lt;=$AI$4,#REF!&lt;1),1,"")</f>
        <v>#REF!</v>
      </c>
      <c r="AF40" s="110">
        <f t="shared" ca="1" si="8"/>
        <v>44553</v>
      </c>
      <c r="AH40" s="13">
        <f t="shared" ca="1" si="9"/>
        <v>-11</v>
      </c>
    </row>
    <row r="41" spans="1:34" x14ac:dyDescent="0.25">
      <c r="A41" s="13" t="s">
        <v>9</v>
      </c>
      <c r="B41" s="13" t="s">
        <v>9</v>
      </c>
      <c r="C41" s="13" t="s">
        <v>1204</v>
      </c>
      <c r="D41" s="13" t="s">
        <v>1205</v>
      </c>
      <c r="E41" s="13" t="s">
        <v>723</v>
      </c>
      <c r="F41" s="13">
        <v>50</v>
      </c>
      <c r="G41" s="2" t="s">
        <v>1195</v>
      </c>
      <c r="H41" s="13" t="s">
        <v>0</v>
      </c>
      <c r="I41" s="13" t="s">
        <v>140</v>
      </c>
      <c r="J41" s="13" t="s">
        <v>139</v>
      </c>
      <c r="K41" s="109">
        <v>44564</v>
      </c>
      <c r="Q41" s="13" t="str">
        <f t="shared" si="0"/>
        <v>MEDECRD025037AUTOSERVICIONUTRESA</v>
      </c>
      <c r="T41" s="123">
        <f t="shared" si="1"/>
        <v>0</v>
      </c>
      <c r="U41" s="13">
        <f t="shared" si="2"/>
        <v>0</v>
      </c>
      <c r="V41" s="123">
        <f t="shared" si="3"/>
        <v>0</v>
      </c>
      <c r="X41" s="13">
        <v>5000000</v>
      </c>
      <c r="Y41" s="13">
        <v>30000000</v>
      </c>
      <c r="Z41" s="13">
        <v>30000000</v>
      </c>
      <c r="AA41" s="13">
        <f t="shared" si="4"/>
        <v>4.5E+21</v>
      </c>
      <c r="AB41" s="13">
        <f t="shared" si="5"/>
        <v>2.2499999999999999E+23</v>
      </c>
      <c r="AC41" s="13">
        <f t="shared" si="6"/>
        <v>1.5625E+17</v>
      </c>
      <c r="AD41" s="110">
        <f t="shared" si="7"/>
        <v>44568</v>
      </c>
      <c r="AE41" s="13" t="e">
        <f>IF(AND(AD41&lt;=$AI$4,#REF!&lt;1),1,"")</f>
        <v>#REF!</v>
      </c>
      <c r="AF41" s="110">
        <f t="shared" ca="1" si="8"/>
        <v>44553</v>
      </c>
      <c r="AH41" s="13">
        <f t="shared" ca="1" si="9"/>
        <v>-11</v>
      </c>
    </row>
    <row r="42" spans="1:34" x14ac:dyDescent="0.25">
      <c r="A42" s="13" t="s">
        <v>4</v>
      </c>
      <c r="B42" s="13" t="s">
        <v>4</v>
      </c>
      <c r="C42" s="13" t="s">
        <v>1193</v>
      </c>
      <c r="D42" s="13" t="s">
        <v>1194</v>
      </c>
      <c r="E42" s="13" t="s">
        <v>723</v>
      </c>
      <c r="F42" s="13">
        <v>12</v>
      </c>
      <c r="G42" s="2" t="s">
        <v>1195</v>
      </c>
      <c r="H42" s="13" t="s">
        <v>1</v>
      </c>
      <c r="I42" s="13" t="s">
        <v>140</v>
      </c>
      <c r="J42" s="13" t="s">
        <v>139</v>
      </c>
      <c r="K42" s="109">
        <v>44559</v>
      </c>
      <c r="Q42" s="13" t="str">
        <f t="shared" si="0"/>
        <v>BGTACRD025035CADENASNUTRESA</v>
      </c>
      <c r="T42" s="123">
        <f t="shared" si="1"/>
        <v>0</v>
      </c>
      <c r="U42" s="13">
        <f t="shared" si="2"/>
        <v>0</v>
      </c>
      <c r="V42" s="123">
        <f t="shared" si="3"/>
        <v>0</v>
      </c>
      <c r="X42" s="13">
        <v>5000000</v>
      </c>
      <c r="Y42" s="13">
        <v>100000000</v>
      </c>
      <c r="Z42" s="13">
        <v>100000000</v>
      </c>
      <c r="AA42" s="13">
        <f t="shared" si="4"/>
        <v>4.9999999999999996E+22</v>
      </c>
      <c r="AB42" s="13">
        <f t="shared" si="5"/>
        <v>5.9999999999999995E+23</v>
      </c>
      <c r="AC42" s="13">
        <f t="shared" si="6"/>
        <v>4.1666666666666662E+17</v>
      </c>
      <c r="AD42" s="110">
        <f t="shared" si="7"/>
        <v>44563</v>
      </c>
      <c r="AE42" s="13" t="e">
        <f>IF(AND(AD42&lt;=$AI$4,#REF!&lt;1),1,"")</f>
        <v>#REF!</v>
      </c>
      <c r="AF42" s="110">
        <f t="shared" ca="1" si="8"/>
        <v>44553</v>
      </c>
      <c r="AH42" s="13">
        <f t="shared" ca="1" si="9"/>
        <v>-6</v>
      </c>
    </row>
    <row r="43" spans="1:34" x14ac:dyDescent="0.25">
      <c r="A43" s="13" t="s">
        <v>6</v>
      </c>
      <c r="B43" s="13" t="s">
        <v>6</v>
      </c>
      <c r="C43" s="13" t="s">
        <v>1193</v>
      </c>
      <c r="D43" s="13" t="s">
        <v>1194</v>
      </c>
      <c r="E43" s="13" t="s">
        <v>723</v>
      </c>
      <c r="F43" s="13">
        <v>3</v>
      </c>
      <c r="G43" s="2" t="s">
        <v>1195</v>
      </c>
      <c r="H43" s="13" t="s">
        <v>1</v>
      </c>
      <c r="I43" s="13" t="s">
        <v>140</v>
      </c>
      <c r="J43" s="13" t="s">
        <v>139</v>
      </c>
      <c r="K43" s="109">
        <v>44559</v>
      </c>
      <c r="Q43" s="13" t="str">
        <f t="shared" si="0"/>
        <v>CALICRD025035CADENASNUTRESA</v>
      </c>
      <c r="T43" s="123">
        <f t="shared" si="1"/>
        <v>0</v>
      </c>
      <c r="U43" s="13">
        <f t="shared" si="2"/>
        <v>0</v>
      </c>
      <c r="V43" s="123">
        <f t="shared" si="3"/>
        <v>0</v>
      </c>
      <c r="X43" s="13">
        <v>5000000</v>
      </c>
      <c r="Y43" s="13">
        <v>100000000</v>
      </c>
      <c r="Z43" s="13">
        <v>100000000</v>
      </c>
      <c r="AA43" s="13">
        <f t="shared" si="4"/>
        <v>4.9999999999999996E+22</v>
      </c>
      <c r="AB43" s="13">
        <f t="shared" si="5"/>
        <v>1.4999999999999999E+23</v>
      </c>
      <c r="AC43" s="13">
        <f t="shared" si="6"/>
        <v>1.0416666666666666E+17</v>
      </c>
      <c r="AD43" s="110">
        <f t="shared" si="7"/>
        <v>44563</v>
      </c>
      <c r="AE43" s="13" t="e">
        <f>IF(AND(AD43&lt;=$AI$4,#REF!&lt;1),1,"")</f>
        <v>#REF!</v>
      </c>
      <c r="AF43" s="110">
        <f t="shared" ca="1" si="8"/>
        <v>44553</v>
      </c>
      <c r="AH43" s="13">
        <f t="shared" ca="1" si="9"/>
        <v>-6</v>
      </c>
    </row>
    <row r="44" spans="1:34" x14ac:dyDescent="0.25">
      <c r="A44" s="13" t="s">
        <v>8</v>
      </c>
      <c r="B44" s="13" t="s">
        <v>8</v>
      </c>
      <c r="C44" s="13" t="s">
        <v>1193</v>
      </c>
      <c r="D44" s="13" t="s">
        <v>1194</v>
      </c>
      <c r="E44" s="13" t="s">
        <v>723</v>
      </c>
      <c r="F44" s="13">
        <v>2</v>
      </c>
      <c r="G44" s="2" t="s">
        <v>1195</v>
      </c>
      <c r="H44" s="13" t="s">
        <v>1</v>
      </c>
      <c r="I44" s="13" t="s">
        <v>140</v>
      </c>
      <c r="J44" s="13" t="s">
        <v>139</v>
      </c>
      <c r="K44" s="109">
        <v>44559</v>
      </c>
      <c r="Q44" s="13" t="str">
        <f t="shared" si="0"/>
        <v>IBA1CRD025035CADENASNUTRESA</v>
      </c>
      <c r="T44" s="123">
        <f t="shared" si="1"/>
        <v>0</v>
      </c>
      <c r="U44" s="13">
        <f t="shared" si="2"/>
        <v>0</v>
      </c>
      <c r="V44" s="123">
        <f t="shared" si="3"/>
        <v>0</v>
      </c>
      <c r="X44" s="13">
        <v>5000000</v>
      </c>
      <c r="Y44" s="13">
        <v>100000000</v>
      </c>
      <c r="Z44" s="13">
        <v>100000000</v>
      </c>
      <c r="AA44" s="13">
        <f t="shared" si="4"/>
        <v>4.9999999999999996E+22</v>
      </c>
      <c r="AB44" s="13">
        <f t="shared" si="5"/>
        <v>9.9999999999999992E+22</v>
      </c>
      <c r="AC44" s="13">
        <f t="shared" si="6"/>
        <v>6.944444444444444E+16</v>
      </c>
      <c r="AD44" s="110">
        <f t="shared" si="7"/>
        <v>44563</v>
      </c>
      <c r="AE44" s="13" t="e">
        <f>IF(AND(AD44&lt;=$AI$4,#REF!&lt;1),1,"")</f>
        <v>#REF!</v>
      </c>
      <c r="AF44" s="110">
        <f t="shared" ca="1" si="8"/>
        <v>44553</v>
      </c>
      <c r="AH44" s="13">
        <f t="shared" ca="1" si="9"/>
        <v>-6</v>
      </c>
    </row>
    <row r="45" spans="1:34" x14ac:dyDescent="0.25">
      <c r="A45" s="13" t="s">
        <v>10</v>
      </c>
      <c r="B45" s="13" t="s">
        <v>10</v>
      </c>
      <c r="C45" s="13" t="s">
        <v>1193</v>
      </c>
      <c r="D45" s="13" t="s">
        <v>1194</v>
      </c>
      <c r="E45" s="13" t="s">
        <v>723</v>
      </c>
      <c r="F45" s="13">
        <v>4</v>
      </c>
      <c r="G45" s="2" t="s">
        <v>1195</v>
      </c>
      <c r="H45" s="13" t="s">
        <v>1</v>
      </c>
      <c r="I45" s="13" t="s">
        <v>140</v>
      </c>
      <c r="J45" s="13" t="s">
        <v>139</v>
      </c>
      <c r="K45" s="109">
        <v>44559</v>
      </c>
      <c r="Q45" s="13" t="str">
        <f t="shared" si="0"/>
        <v>PERECRD025035CADENASNUTRESA</v>
      </c>
      <c r="T45" s="123">
        <f t="shared" si="1"/>
        <v>0</v>
      </c>
      <c r="U45" s="13">
        <f t="shared" si="2"/>
        <v>0</v>
      </c>
      <c r="V45" s="123">
        <f t="shared" si="3"/>
        <v>0</v>
      </c>
      <c r="X45" s="13">
        <v>5000000</v>
      </c>
      <c r="Y45" s="13">
        <v>100000000</v>
      </c>
      <c r="Z45" s="13">
        <v>100000000</v>
      </c>
      <c r="AA45" s="13">
        <f t="shared" si="4"/>
        <v>4.9999999999999996E+22</v>
      </c>
      <c r="AB45" s="13">
        <f t="shared" si="5"/>
        <v>1.9999999999999998E+23</v>
      </c>
      <c r="AC45" s="13">
        <f t="shared" si="6"/>
        <v>1.3888888888888888E+17</v>
      </c>
      <c r="AD45" s="110">
        <f t="shared" si="7"/>
        <v>44563</v>
      </c>
      <c r="AE45" s="13" t="e">
        <f>IF(AND(AD45&lt;=$AI$4,#REF!&lt;1),1,"")</f>
        <v>#REF!</v>
      </c>
      <c r="AF45" s="110">
        <f t="shared" ca="1" si="8"/>
        <v>44553</v>
      </c>
      <c r="AH45" s="13">
        <f t="shared" ca="1" si="9"/>
        <v>-6</v>
      </c>
    </row>
    <row r="46" spans="1:34" x14ac:dyDescent="0.25">
      <c r="A46" s="13" t="s">
        <v>8</v>
      </c>
      <c r="B46" s="13" t="s">
        <v>8</v>
      </c>
      <c r="C46" s="13" t="s">
        <v>1196</v>
      </c>
      <c r="D46" s="13" t="s">
        <v>1197</v>
      </c>
      <c r="E46" s="13" t="s">
        <v>723</v>
      </c>
      <c r="F46" s="13">
        <v>2</v>
      </c>
      <c r="G46" s="2" t="s">
        <v>1195</v>
      </c>
      <c r="H46" s="13" t="s">
        <v>0</v>
      </c>
      <c r="I46" s="13" t="s">
        <v>140</v>
      </c>
      <c r="J46" s="13" t="s">
        <v>46</v>
      </c>
      <c r="K46" s="109">
        <v>44564</v>
      </c>
      <c r="Q46" s="13" t="str">
        <f t="shared" si="0"/>
        <v>IBA1CRD025032AUTOSERVICIONUTRESA</v>
      </c>
      <c r="T46" s="123">
        <f t="shared" si="1"/>
        <v>0</v>
      </c>
      <c r="U46" s="13">
        <f t="shared" si="2"/>
        <v>0</v>
      </c>
      <c r="V46" s="123">
        <f t="shared" si="3"/>
        <v>0</v>
      </c>
      <c r="X46" s="13">
        <v>50000000</v>
      </c>
      <c r="Y46" s="13">
        <v>50000000</v>
      </c>
      <c r="Z46" s="13">
        <v>50000000</v>
      </c>
      <c r="AA46" s="13">
        <f t="shared" si="4"/>
        <v>1.25E+23</v>
      </c>
      <c r="AB46" s="13">
        <f t="shared" si="5"/>
        <v>2.5E+23</v>
      </c>
      <c r="AC46" s="13">
        <f t="shared" si="6"/>
        <v>1.736111111111111E+17</v>
      </c>
      <c r="AD46" s="110">
        <f t="shared" si="7"/>
        <v>44568</v>
      </c>
      <c r="AE46" s="13" t="e">
        <f>IF(AND(AD46&lt;=$AI$4,#REF!&lt;1),1,"")</f>
        <v>#REF!</v>
      </c>
      <c r="AF46" s="110">
        <f t="shared" ca="1" si="8"/>
        <v>44553</v>
      </c>
      <c r="AH46" s="13">
        <f t="shared" ca="1" si="9"/>
        <v>-11</v>
      </c>
    </row>
    <row r="47" spans="1:34" x14ac:dyDescent="0.25">
      <c r="A47" s="13" t="s">
        <v>724</v>
      </c>
      <c r="B47" s="13" t="s">
        <v>724</v>
      </c>
      <c r="C47" s="13" t="s">
        <v>1198</v>
      </c>
      <c r="D47" s="13" t="s">
        <v>1199</v>
      </c>
      <c r="E47" s="13" t="s">
        <v>723</v>
      </c>
      <c r="F47" s="13">
        <v>15</v>
      </c>
      <c r="G47" s="2" t="s">
        <v>1195</v>
      </c>
      <c r="H47" s="13" t="s">
        <v>0</v>
      </c>
      <c r="I47" s="13" t="s">
        <v>145</v>
      </c>
      <c r="J47" s="13" t="s">
        <v>46</v>
      </c>
      <c r="K47" s="109">
        <v>44564</v>
      </c>
      <c r="Q47" s="13" t="str">
        <f t="shared" si="0"/>
        <v>BGTA ALTCRD025033AUTOSERVICIOALTILLANO</v>
      </c>
      <c r="T47" s="123">
        <f t="shared" si="1"/>
        <v>0</v>
      </c>
      <c r="U47" s="13">
        <f t="shared" si="2"/>
        <v>0</v>
      </c>
      <c r="V47" s="123">
        <f t="shared" si="3"/>
        <v>0</v>
      </c>
      <c r="X47" s="13">
        <v>30000000</v>
      </c>
      <c r="Y47" s="13">
        <v>40000000</v>
      </c>
      <c r="Z47" s="13">
        <v>40000000</v>
      </c>
      <c r="AA47" s="13">
        <f t="shared" si="4"/>
        <v>4.8E+22</v>
      </c>
      <c r="AB47" s="13">
        <f t="shared" si="5"/>
        <v>7.1999999999999997E+23</v>
      </c>
      <c r="AC47" s="13">
        <f t="shared" si="6"/>
        <v>5E+17</v>
      </c>
      <c r="AD47" s="110">
        <f t="shared" si="7"/>
        <v>44568</v>
      </c>
      <c r="AE47" s="13" t="e">
        <f>IF(AND(AD47&lt;=$AI$4,#REF!&lt;1),1,"")</f>
        <v>#REF!</v>
      </c>
      <c r="AF47" s="110">
        <f t="shared" ca="1" si="8"/>
        <v>44553</v>
      </c>
      <c r="AH47" s="13">
        <f t="shared" ca="1" si="9"/>
        <v>-11</v>
      </c>
    </row>
    <row r="48" spans="1:34" x14ac:dyDescent="0.25">
      <c r="A48" s="13" t="s">
        <v>150</v>
      </c>
      <c r="B48" s="13" t="s">
        <v>150</v>
      </c>
      <c r="C48" s="13" t="s">
        <v>1198</v>
      </c>
      <c r="D48" s="13" t="s">
        <v>1199</v>
      </c>
      <c r="E48" s="13" t="s">
        <v>723</v>
      </c>
      <c r="F48" s="13">
        <v>10</v>
      </c>
      <c r="G48" s="2" t="s">
        <v>1195</v>
      </c>
      <c r="H48" s="13" t="s">
        <v>0</v>
      </c>
      <c r="I48" s="13" t="s">
        <v>140</v>
      </c>
      <c r="J48" s="13" t="s">
        <v>46</v>
      </c>
      <c r="K48" s="109">
        <v>44564</v>
      </c>
      <c r="Q48" s="13" t="str">
        <f t="shared" si="0"/>
        <v>VILACRD025033AUTOSERVICIONUTRESA</v>
      </c>
      <c r="T48" s="123">
        <f t="shared" si="1"/>
        <v>0</v>
      </c>
      <c r="U48" s="13">
        <f t="shared" si="2"/>
        <v>0</v>
      </c>
      <c r="V48" s="123">
        <f t="shared" si="3"/>
        <v>0</v>
      </c>
      <c r="X48" s="13">
        <v>30000000</v>
      </c>
      <c r="Y48" s="13">
        <v>40000000</v>
      </c>
      <c r="Z48" s="13">
        <v>40000000</v>
      </c>
      <c r="AA48" s="13">
        <f t="shared" si="4"/>
        <v>4.8E+22</v>
      </c>
      <c r="AB48" s="13">
        <f t="shared" si="5"/>
        <v>4.8E+23</v>
      </c>
      <c r="AC48" s="13">
        <f t="shared" si="6"/>
        <v>3.3333333333333331E+17</v>
      </c>
      <c r="AD48" s="110">
        <f t="shared" si="7"/>
        <v>44568</v>
      </c>
      <c r="AE48" s="13" t="e">
        <f>IF(AND(AD48&lt;=$AI$4,#REF!&lt;1),1,"")</f>
        <v>#REF!</v>
      </c>
      <c r="AF48" s="110">
        <f t="shared" ca="1" si="8"/>
        <v>44553</v>
      </c>
      <c r="AH48" s="13">
        <f t="shared" ca="1" si="9"/>
        <v>-11</v>
      </c>
    </row>
    <row r="49" spans="1:34" x14ac:dyDescent="0.25">
      <c r="A49" s="13" t="s">
        <v>6</v>
      </c>
      <c r="B49" s="13" t="s">
        <v>6</v>
      </c>
      <c r="C49" s="13" t="s">
        <v>1198</v>
      </c>
      <c r="D49" s="13" t="s">
        <v>1199</v>
      </c>
      <c r="E49" s="13" t="s">
        <v>723</v>
      </c>
      <c r="F49" s="13">
        <v>2</v>
      </c>
      <c r="G49" s="2" t="s">
        <v>1195</v>
      </c>
      <c r="H49" s="13" t="s">
        <v>0</v>
      </c>
      <c r="I49" s="13" t="s">
        <v>140</v>
      </c>
      <c r="J49" s="13" t="s">
        <v>46</v>
      </c>
      <c r="K49" s="109">
        <v>44564</v>
      </c>
      <c r="Q49" s="13" t="str">
        <f t="shared" si="0"/>
        <v>CALICRD025033AUTOSERVICIONUTRESA</v>
      </c>
      <c r="T49" s="123">
        <f t="shared" si="1"/>
        <v>0</v>
      </c>
      <c r="U49" s="13">
        <f t="shared" si="2"/>
        <v>0</v>
      </c>
      <c r="V49" s="123">
        <f t="shared" si="3"/>
        <v>0</v>
      </c>
      <c r="X49" s="13">
        <v>30000000</v>
      </c>
      <c r="Y49" s="13">
        <v>40000000</v>
      </c>
      <c r="Z49" s="13">
        <v>40000000</v>
      </c>
      <c r="AA49" s="13">
        <f t="shared" si="4"/>
        <v>4.8E+22</v>
      </c>
      <c r="AB49" s="13">
        <f t="shared" si="5"/>
        <v>9.6E+22</v>
      </c>
      <c r="AC49" s="13">
        <f t="shared" si="6"/>
        <v>6.6666666666666664E+16</v>
      </c>
      <c r="AD49" s="110">
        <f t="shared" si="7"/>
        <v>44568</v>
      </c>
      <c r="AE49" s="13" t="e">
        <f>IF(AND(AD49&lt;=$AI$4,#REF!&lt;1),1,"")</f>
        <v>#REF!</v>
      </c>
      <c r="AF49" s="110">
        <f t="shared" ca="1" si="8"/>
        <v>44553</v>
      </c>
      <c r="AH49" s="13">
        <f t="shared" ca="1" si="9"/>
        <v>-11</v>
      </c>
    </row>
    <row r="50" spans="1:34" x14ac:dyDescent="0.25">
      <c r="A50" s="13" t="s">
        <v>10</v>
      </c>
      <c r="B50" s="13" t="s">
        <v>10</v>
      </c>
      <c r="C50" s="13" t="s">
        <v>1198</v>
      </c>
      <c r="D50" s="13" t="s">
        <v>1199</v>
      </c>
      <c r="E50" s="13" t="s">
        <v>723</v>
      </c>
      <c r="F50" s="13">
        <v>9</v>
      </c>
      <c r="G50" s="2" t="s">
        <v>1195</v>
      </c>
      <c r="H50" s="13" t="s">
        <v>0</v>
      </c>
      <c r="I50" s="13" t="s">
        <v>140</v>
      </c>
      <c r="J50" s="13" t="s">
        <v>46</v>
      </c>
      <c r="K50" s="109">
        <v>44564</v>
      </c>
      <c r="Q50" s="13" t="str">
        <f t="shared" si="0"/>
        <v>PERECRD025033AUTOSERVICIONUTRESA</v>
      </c>
      <c r="T50" s="123">
        <f t="shared" si="1"/>
        <v>0</v>
      </c>
      <c r="U50" s="13">
        <f t="shared" si="2"/>
        <v>0</v>
      </c>
      <c r="V50" s="123">
        <f t="shared" si="3"/>
        <v>0</v>
      </c>
      <c r="X50" s="13">
        <v>30000000</v>
      </c>
      <c r="Y50" s="13">
        <v>40000000</v>
      </c>
      <c r="Z50" s="13">
        <v>40000000</v>
      </c>
      <c r="AA50" s="13">
        <f t="shared" si="4"/>
        <v>4.8E+22</v>
      </c>
      <c r="AB50" s="13">
        <f t="shared" si="5"/>
        <v>4.3200000000000003E+23</v>
      </c>
      <c r="AC50" s="13">
        <f t="shared" si="6"/>
        <v>3E+17</v>
      </c>
      <c r="AD50" s="110">
        <f t="shared" si="7"/>
        <v>44568</v>
      </c>
      <c r="AE50" s="13" t="e">
        <f>IF(AND(AD50&lt;=$AI$4,#REF!&lt;1),1,"")</f>
        <v>#REF!</v>
      </c>
      <c r="AF50" s="110">
        <f t="shared" ca="1" si="8"/>
        <v>44553</v>
      </c>
      <c r="AH50" s="13">
        <f t="shared" ca="1" si="9"/>
        <v>-11</v>
      </c>
    </row>
    <row r="51" spans="1:34" x14ac:dyDescent="0.25">
      <c r="A51" s="13" t="s">
        <v>4</v>
      </c>
      <c r="B51" s="13" t="s">
        <v>4</v>
      </c>
      <c r="C51" s="13" t="s">
        <v>1200</v>
      </c>
      <c r="D51" s="13" t="s">
        <v>1201</v>
      </c>
      <c r="E51" s="13" t="s">
        <v>723</v>
      </c>
      <c r="F51" s="13">
        <v>17</v>
      </c>
      <c r="G51" s="2" t="s">
        <v>1195</v>
      </c>
      <c r="H51" s="13" t="s">
        <v>0</v>
      </c>
      <c r="I51" s="13" t="s">
        <v>140</v>
      </c>
      <c r="J51" s="13" t="s">
        <v>46</v>
      </c>
      <c r="K51" s="109">
        <v>44564</v>
      </c>
      <c r="Q51" s="13" t="str">
        <f t="shared" si="0"/>
        <v>BGTACRD025034AUTOSERVICIONUTRESA</v>
      </c>
      <c r="T51" s="123">
        <f t="shared" si="1"/>
        <v>0</v>
      </c>
      <c r="U51" s="13">
        <f t="shared" si="2"/>
        <v>0</v>
      </c>
      <c r="V51" s="123">
        <f t="shared" si="3"/>
        <v>0</v>
      </c>
      <c r="X51" s="13">
        <v>30000000</v>
      </c>
      <c r="Y51" s="13">
        <v>40000000</v>
      </c>
      <c r="Z51" s="13">
        <v>40000000</v>
      </c>
      <c r="AA51" s="13">
        <f t="shared" si="4"/>
        <v>4.8E+22</v>
      </c>
      <c r="AB51" s="13">
        <f t="shared" si="5"/>
        <v>8.1600000000000003E+23</v>
      </c>
      <c r="AC51" s="13">
        <f t="shared" si="6"/>
        <v>5.6666666666666669E+17</v>
      </c>
      <c r="AD51" s="110">
        <f t="shared" si="7"/>
        <v>44568</v>
      </c>
      <c r="AE51" s="13" t="e">
        <f>IF(AND(AD51&lt;=$AI$4,#REF!&lt;1),1,"")</f>
        <v>#REF!</v>
      </c>
      <c r="AF51" s="110">
        <f t="shared" ca="1" si="8"/>
        <v>44553</v>
      </c>
      <c r="AH51" s="13">
        <f t="shared" ca="1" si="9"/>
        <v>-11</v>
      </c>
    </row>
    <row r="52" spans="1:34" x14ac:dyDescent="0.25">
      <c r="A52" s="13" t="s">
        <v>149</v>
      </c>
      <c r="B52" s="13" t="s">
        <v>149</v>
      </c>
      <c r="C52" s="13" t="s">
        <v>1200</v>
      </c>
      <c r="D52" s="13" t="s">
        <v>1201</v>
      </c>
      <c r="E52" s="13" t="s">
        <v>723</v>
      </c>
      <c r="F52" s="13">
        <v>5</v>
      </c>
      <c r="G52" s="2" t="s">
        <v>1195</v>
      </c>
      <c r="H52" s="13" t="s">
        <v>0</v>
      </c>
      <c r="I52" s="13" t="s">
        <v>140</v>
      </c>
      <c r="J52" s="13" t="s">
        <v>46</v>
      </c>
      <c r="K52" s="109">
        <v>44564</v>
      </c>
      <c r="Q52" s="13" t="str">
        <f t="shared" si="0"/>
        <v>DUITCRD025034AUTOSERVICIONUTRESA</v>
      </c>
      <c r="T52" s="123">
        <f t="shared" si="1"/>
        <v>0</v>
      </c>
      <c r="U52" s="13">
        <f t="shared" si="2"/>
        <v>0</v>
      </c>
      <c r="V52" s="123">
        <f t="shared" si="3"/>
        <v>0</v>
      </c>
      <c r="X52" s="13">
        <v>30000000</v>
      </c>
      <c r="Y52" s="13">
        <v>40000000</v>
      </c>
      <c r="Z52" s="13">
        <v>40000000</v>
      </c>
      <c r="AA52" s="13">
        <f t="shared" si="4"/>
        <v>4.8E+22</v>
      </c>
      <c r="AB52" s="13">
        <f t="shared" si="5"/>
        <v>2.4E+23</v>
      </c>
      <c r="AC52" s="13">
        <f t="shared" si="6"/>
        <v>1.6666666666666666E+17</v>
      </c>
      <c r="AD52" s="110">
        <f t="shared" si="7"/>
        <v>44568</v>
      </c>
      <c r="AE52" s="13" t="e">
        <f>IF(AND(AD52&lt;=$AI$4,#REF!&lt;1),1,"")</f>
        <v>#REF!</v>
      </c>
      <c r="AF52" s="110">
        <f t="shared" ca="1" si="8"/>
        <v>44553</v>
      </c>
      <c r="AH52" s="13">
        <f t="shared" ca="1" si="9"/>
        <v>-11</v>
      </c>
    </row>
    <row r="53" spans="1:34" x14ac:dyDescent="0.25">
      <c r="A53" s="13" t="s">
        <v>5</v>
      </c>
      <c r="B53" s="13" t="s">
        <v>5</v>
      </c>
      <c r="C53" s="13" t="s">
        <v>1200</v>
      </c>
      <c r="D53" s="13" t="s">
        <v>1201</v>
      </c>
      <c r="E53" s="13" t="s">
        <v>723</v>
      </c>
      <c r="F53" s="13">
        <v>6</v>
      </c>
      <c r="G53" s="2" t="s">
        <v>1195</v>
      </c>
      <c r="H53" s="13" t="s">
        <v>0</v>
      </c>
      <c r="I53" s="13" t="s">
        <v>140</v>
      </c>
      <c r="J53" s="13" t="s">
        <v>46</v>
      </c>
      <c r="K53" s="109">
        <v>44564</v>
      </c>
      <c r="Q53" s="13" t="str">
        <f t="shared" si="0"/>
        <v>BUCACRD025034AUTOSERVICIONUTRESA</v>
      </c>
      <c r="T53" s="123">
        <f t="shared" si="1"/>
        <v>0</v>
      </c>
      <c r="U53" s="13">
        <f t="shared" si="2"/>
        <v>0</v>
      </c>
      <c r="V53" s="123">
        <f t="shared" si="3"/>
        <v>0</v>
      </c>
      <c r="X53" s="13">
        <v>30000000</v>
      </c>
      <c r="Y53" s="13">
        <v>40000000</v>
      </c>
      <c r="Z53" s="13">
        <v>40000000</v>
      </c>
      <c r="AA53" s="13">
        <f t="shared" si="4"/>
        <v>4.8E+22</v>
      </c>
      <c r="AB53" s="13">
        <f t="shared" si="5"/>
        <v>2.88E+23</v>
      </c>
      <c r="AC53" s="13">
        <f t="shared" si="6"/>
        <v>2E+17</v>
      </c>
      <c r="AD53" s="110">
        <f t="shared" si="7"/>
        <v>44568</v>
      </c>
      <c r="AE53" s="13" t="e">
        <f>IF(AND(AD53&lt;=$AI$4,#REF!&lt;1),1,"")</f>
        <v>#REF!</v>
      </c>
      <c r="AF53" s="110">
        <f t="shared" ca="1" si="8"/>
        <v>44553</v>
      </c>
      <c r="AH53" s="13">
        <f t="shared" ca="1" si="9"/>
        <v>-11</v>
      </c>
    </row>
    <row r="54" spans="1:34" x14ac:dyDescent="0.25">
      <c r="A54" s="13" t="s">
        <v>7</v>
      </c>
      <c r="B54" s="13" t="s">
        <v>7</v>
      </c>
      <c r="C54" s="13" t="s">
        <v>1200</v>
      </c>
      <c r="D54" s="13" t="s">
        <v>1201</v>
      </c>
      <c r="E54" s="13" t="s">
        <v>723</v>
      </c>
      <c r="F54" s="13">
        <v>4</v>
      </c>
      <c r="G54" s="2" t="s">
        <v>1195</v>
      </c>
      <c r="H54" s="13" t="s">
        <v>0</v>
      </c>
      <c r="I54" s="13" t="s">
        <v>140</v>
      </c>
      <c r="J54" s="13" t="s">
        <v>46</v>
      </c>
      <c r="K54" s="109">
        <v>44564</v>
      </c>
      <c r="Q54" s="13" t="str">
        <f t="shared" si="0"/>
        <v>CARTCRD025034AUTOSERVICIONUTRESA</v>
      </c>
      <c r="T54" s="123">
        <f t="shared" si="1"/>
        <v>0</v>
      </c>
      <c r="U54" s="13">
        <f t="shared" si="2"/>
        <v>0</v>
      </c>
      <c r="V54" s="123">
        <f t="shared" si="3"/>
        <v>0</v>
      </c>
      <c r="X54" s="13">
        <v>30000000</v>
      </c>
      <c r="Y54" s="13">
        <v>40000000</v>
      </c>
      <c r="Z54" s="13">
        <v>40000000</v>
      </c>
      <c r="AA54" s="13">
        <f t="shared" si="4"/>
        <v>4.8E+22</v>
      </c>
      <c r="AB54" s="13">
        <f t="shared" si="5"/>
        <v>1.92E+23</v>
      </c>
      <c r="AC54" s="13">
        <f t="shared" si="6"/>
        <v>1.3333333333333333E+17</v>
      </c>
      <c r="AD54" s="110">
        <f t="shared" si="7"/>
        <v>44568</v>
      </c>
      <c r="AE54" s="13" t="e">
        <f>IF(AND(AD54&lt;=$AI$4,#REF!&lt;1),1,"")</f>
        <v>#REF!</v>
      </c>
      <c r="AF54" s="110">
        <f t="shared" ca="1" si="8"/>
        <v>44553</v>
      </c>
      <c r="AH54" s="13">
        <f t="shared" ca="1" si="9"/>
        <v>-11</v>
      </c>
    </row>
    <row r="55" spans="1:34" x14ac:dyDescent="0.25">
      <c r="A55" s="13" t="s">
        <v>9</v>
      </c>
      <c r="B55" s="13" t="s">
        <v>9</v>
      </c>
      <c r="C55" s="13" t="s">
        <v>1200</v>
      </c>
      <c r="D55" s="13" t="s">
        <v>1201</v>
      </c>
      <c r="E55" s="13" t="s">
        <v>723</v>
      </c>
      <c r="F55" s="13">
        <v>5</v>
      </c>
      <c r="G55" s="2" t="s">
        <v>1195</v>
      </c>
      <c r="H55" s="13" t="s">
        <v>0</v>
      </c>
      <c r="I55" s="13" t="s">
        <v>140</v>
      </c>
      <c r="J55" s="13" t="s">
        <v>46</v>
      </c>
      <c r="K55" s="109">
        <v>44564</v>
      </c>
      <c r="Q55" s="13" t="str">
        <f t="shared" si="0"/>
        <v>MEDECRD025034AUTOSERVICIONUTRESA</v>
      </c>
      <c r="T55" s="123">
        <f t="shared" si="1"/>
        <v>0</v>
      </c>
      <c r="U55" s="13">
        <f t="shared" si="2"/>
        <v>0</v>
      </c>
      <c r="V55" s="123">
        <f t="shared" si="3"/>
        <v>0</v>
      </c>
      <c r="X55" s="13">
        <v>30000000</v>
      </c>
      <c r="Y55" s="13">
        <v>40000000</v>
      </c>
      <c r="Z55" s="13">
        <v>40000000</v>
      </c>
      <c r="AA55" s="13">
        <f t="shared" si="4"/>
        <v>4.8E+22</v>
      </c>
      <c r="AB55" s="13">
        <f t="shared" si="5"/>
        <v>2.4E+23</v>
      </c>
      <c r="AC55" s="13">
        <f t="shared" si="6"/>
        <v>1.6666666666666666E+17</v>
      </c>
      <c r="AD55" s="110">
        <f t="shared" si="7"/>
        <v>44568</v>
      </c>
      <c r="AE55" s="13" t="e">
        <f>IF(AND(AD55&lt;=$AI$4,#REF!&lt;1),1,"")</f>
        <v>#REF!</v>
      </c>
      <c r="AF55" s="110">
        <f t="shared" ca="1" si="8"/>
        <v>44553</v>
      </c>
      <c r="AH55" s="13">
        <f t="shared" ca="1" si="9"/>
        <v>-11</v>
      </c>
    </row>
    <row r="56" spans="1:34" x14ac:dyDescent="0.25">
      <c r="A56" s="13" t="s">
        <v>4</v>
      </c>
      <c r="B56" s="13" t="s">
        <v>4</v>
      </c>
      <c r="C56" s="13" t="s">
        <v>1193</v>
      </c>
      <c r="D56" s="13" t="s">
        <v>1194</v>
      </c>
      <c r="E56" s="13" t="s">
        <v>723</v>
      </c>
      <c r="F56" s="13">
        <v>5</v>
      </c>
      <c r="G56" s="2" t="s">
        <v>1195</v>
      </c>
      <c r="H56" s="13" t="s">
        <v>0</v>
      </c>
      <c r="I56" s="13" t="s">
        <v>140</v>
      </c>
      <c r="J56" s="13" t="s">
        <v>139</v>
      </c>
      <c r="K56" s="109">
        <v>44564</v>
      </c>
      <c r="Q56" s="13" t="str">
        <f t="shared" si="0"/>
        <v>BGTACRD025035AUTOSERVICIONUTRESA</v>
      </c>
      <c r="T56" s="123">
        <f t="shared" si="1"/>
        <v>0</v>
      </c>
      <c r="U56" s="13">
        <f t="shared" si="2"/>
        <v>0</v>
      </c>
      <c r="V56" s="123">
        <f t="shared" si="3"/>
        <v>0</v>
      </c>
      <c r="X56" s="13">
        <v>5000000</v>
      </c>
      <c r="Y56" s="13">
        <v>100000000</v>
      </c>
      <c r="Z56" s="13">
        <v>100000000</v>
      </c>
      <c r="AA56" s="13">
        <f t="shared" si="4"/>
        <v>4.9999999999999996E+22</v>
      </c>
      <c r="AB56" s="13">
        <f t="shared" si="5"/>
        <v>2.5E+23</v>
      </c>
      <c r="AC56" s="13">
        <f t="shared" si="6"/>
        <v>1.736111111111111E+17</v>
      </c>
      <c r="AD56" s="110">
        <f t="shared" si="7"/>
        <v>44568</v>
      </c>
      <c r="AE56" s="13" t="e">
        <f>IF(AND(AD56&lt;=$AI$4,#REF!&lt;1),1,"")</f>
        <v>#REF!</v>
      </c>
      <c r="AF56" s="110">
        <f t="shared" ca="1" si="8"/>
        <v>44553</v>
      </c>
      <c r="AH56" s="13">
        <f t="shared" ca="1" si="9"/>
        <v>-11</v>
      </c>
    </row>
    <row r="57" spans="1:34" x14ac:dyDescent="0.25">
      <c r="A57" s="13" t="s">
        <v>149</v>
      </c>
      <c r="B57" s="13" t="s">
        <v>149</v>
      </c>
      <c r="C57" s="13" t="s">
        <v>1193</v>
      </c>
      <c r="D57" s="13" t="s">
        <v>1194</v>
      </c>
      <c r="E57" s="13" t="s">
        <v>723</v>
      </c>
      <c r="F57" s="13">
        <v>3</v>
      </c>
      <c r="G57" s="2" t="s">
        <v>1195</v>
      </c>
      <c r="H57" s="13" t="s">
        <v>0</v>
      </c>
      <c r="I57" s="13" t="s">
        <v>140</v>
      </c>
      <c r="J57" s="13" t="s">
        <v>139</v>
      </c>
      <c r="K57" s="109">
        <v>44564</v>
      </c>
      <c r="Q57" s="13" t="str">
        <f t="shared" si="0"/>
        <v>DUITCRD025035AUTOSERVICIONUTRESA</v>
      </c>
      <c r="T57" s="123">
        <f t="shared" si="1"/>
        <v>0</v>
      </c>
      <c r="U57" s="13">
        <f t="shared" si="2"/>
        <v>0</v>
      </c>
      <c r="V57" s="123">
        <f t="shared" si="3"/>
        <v>0</v>
      </c>
      <c r="X57" s="13">
        <v>5000000</v>
      </c>
      <c r="Y57" s="13">
        <v>100000000</v>
      </c>
      <c r="Z57" s="13">
        <v>100000000</v>
      </c>
      <c r="AA57" s="13">
        <f t="shared" si="4"/>
        <v>4.9999999999999996E+22</v>
      </c>
      <c r="AB57" s="13">
        <f t="shared" si="5"/>
        <v>1.4999999999999999E+23</v>
      </c>
      <c r="AC57" s="13">
        <f t="shared" si="6"/>
        <v>1.0416666666666666E+17</v>
      </c>
      <c r="AD57" s="110">
        <f t="shared" si="7"/>
        <v>44568</v>
      </c>
      <c r="AE57" s="13" t="e">
        <f>IF(AND(AD57&lt;=$AI$4,#REF!&lt;1),1,"")</f>
        <v>#REF!</v>
      </c>
      <c r="AF57" s="110">
        <f t="shared" ca="1" si="8"/>
        <v>44553</v>
      </c>
      <c r="AH57" s="13">
        <f t="shared" ca="1" si="9"/>
        <v>-11</v>
      </c>
    </row>
    <row r="58" spans="1:34" x14ac:dyDescent="0.25">
      <c r="A58" s="13" t="s">
        <v>8</v>
      </c>
      <c r="B58" s="13" t="s">
        <v>8</v>
      </c>
      <c r="C58" s="13" t="s">
        <v>1193</v>
      </c>
      <c r="D58" s="13" t="s">
        <v>1194</v>
      </c>
      <c r="E58" s="13" t="s">
        <v>723</v>
      </c>
      <c r="F58" s="13">
        <v>19</v>
      </c>
      <c r="G58" s="2" t="s">
        <v>1195</v>
      </c>
      <c r="H58" s="13" t="s">
        <v>0</v>
      </c>
      <c r="I58" s="13" t="s">
        <v>140</v>
      </c>
      <c r="J58" s="13" t="s">
        <v>139</v>
      </c>
      <c r="K58" s="109">
        <v>44564</v>
      </c>
      <c r="Q58" s="13" t="str">
        <f t="shared" si="0"/>
        <v>IBA1CRD025035AUTOSERVICIONUTRESA</v>
      </c>
      <c r="T58" s="123">
        <f t="shared" si="1"/>
        <v>0</v>
      </c>
      <c r="U58" s="13">
        <f t="shared" si="2"/>
        <v>0</v>
      </c>
      <c r="V58" s="123">
        <f t="shared" si="3"/>
        <v>0</v>
      </c>
      <c r="X58" s="13">
        <v>5000000</v>
      </c>
      <c r="Y58" s="13">
        <v>100000000</v>
      </c>
      <c r="Z58" s="13">
        <v>100000000</v>
      </c>
      <c r="AA58" s="13">
        <f t="shared" si="4"/>
        <v>4.9999999999999996E+22</v>
      </c>
      <c r="AB58" s="13">
        <f t="shared" si="5"/>
        <v>9.499999999999999E+23</v>
      </c>
      <c r="AC58" s="13">
        <f t="shared" si="6"/>
        <v>6.5972222222222221E+17</v>
      </c>
      <c r="AD58" s="110">
        <f t="shared" si="7"/>
        <v>44568</v>
      </c>
      <c r="AE58" s="13" t="e">
        <f>IF(AND(AD58&lt;=$AI$4,#REF!&lt;1),1,"")</f>
        <v>#REF!</v>
      </c>
      <c r="AF58" s="110">
        <f t="shared" ca="1" si="8"/>
        <v>44553</v>
      </c>
      <c r="AH58" s="13">
        <f t="shared" ca="1" si="9"/>
        <v>-11</v>
      </c>
    </row>
    <row r="59" spans="1:34" x14ac:dyDescent="0.25">
      <c r="A59" s="13" t="s">
        <v>4</v>
      </c>
      <c r="B59" s="13" t="s">
        <v>4</v>
      </c>
      <c r="C59" s="13" t="s">
        <v>1202</v>
      </c>
      <c r="D59" s="13" t="s">
        <v>1203</v>
      </c>
      <c r="E59" s="13" t="s">
        <v>723</v>
      </c>
      <c r="F59" s="13">
        <v>1</v>
      </c>
      <c r="G59" s="2" t="s">
        <v>1195</v>
      </c>
      <c r="H59" s="13" t="s">
        <v>0</v>
      </c>
      <c r="I59" s="13" t="s">
        <v>140</v>
      </c>
      <c r="J59" s="13" t="s">
        <v>139</v>
      </c>
      <c r="K59" s="109">
        <v>44564</v>
      </c>
      <c r="Q59" s="13" t="str">
        <f t="shared" si="0"/>
        <v>BGTACRD025036AUTOSERVICIONUTRESA</v>
      </c>
      <c r="T59" s="123">
        <f t="shared" si="1"/>
        <v>0</v>
      </c>
      <c r="U59" s="13">
        <f t="shared" si="2"/>
        <v>0</v>
      </c>
      <c r="V59" s="123">
        <f t="shared" si="3"/>
        <v>0</v>
      </c>
      <c r="X59" s="13">
        <v>1000000</v>
      </c>
      <c r="Y59" s="13">
        <v>40000000</v>
      </c>
      <c r="Z59" s="13">
        <v>40000000</v>
      </c>
      <c r="AA59" s="13">
        <f t="shared" si="4"/>
        <v>1.6E+21</v>
      </c>
      <c r="AB59" s="13">
        <f t="shared" si="5"/>
        <v>1.6E+21</v>
      </c>
      <c r="AC59" s="13">
        <f t="shared" si="6"/>
        <v>1111111111111111.1</v>
      </c>
      <c r="AD59" s="110">
        <f t="shared" si="7"/>
        <v>44568</v>
      </c>
      <c r="AE59" s="13" t="e">
        <f>IF(AND(AD59&lt;=$AI$4,#REF!&lt;1),1,"")</f>
        <v>#REF!</v>
      </c>
      <c r="AF59" s="110">
        <f t="shared" ca="1" si="8"/>
        <v>44553</v>
      </c>
      <c r="AH59" s="13">
        <f t="shared" ca="1" si="9"/>
        <v>-11</v>
      </c>
    </row>
    <row r="60" spans="1:34" x14ac:dyDescent="0.25">
      <c r="A60" s="13" t="s">
        <v>9</v>
      </c>
      <c r="B60" s="13" t="s">
        <v>9</v>
      </c>
      <c r="C60" s="13" t="s">
        <v>1202</v>
      </c>
      <c r="D60" s="13" t="s">
        <v>1203</v>
      </c>
      <c r="E60" s="13" t="s">
        <v>723</v>
      </c>
      <c r="F60" s="13">
        <v>2</v>
      </c>
      <c r="G60" s="2" t="s">
        <v>1195</v>
      </c>
      <c r="H60" s="13" t="s">
        <v>0</v>
      </c>
      <c r="I60" s="13" t="s">
        <v>140</v>
      </c>
      <c r="J60" s="13" t="s">
        <v>139</v>
      </c>
      <c r="K60" s="109">
        <v>44564</v>
      </c>
      <c r="Q60" s="13" t="str">
        <f t="shared" si="0"/>
        <v>MEDECRD025036AUTOSERVICIONUTRESA</v>
      </c>
      <c r="T60" s="123">
        <f t="shared" si="1"/>
        <v>0</v>
      </c>
      <c r="U60" s="13">
        <f t="shared" si="2"/>
        <v>0</v>
      </c>
      <c r="V60" s="123">
        <f t="shared" si="3"/>
        <v>0</v>
      </c>
      <c r="X60" s="13">
        <v>1000000</v>
      </c>
      <c r="Y60" s="13">
        <v>40000000</v>
      </c>
      <c r="Z60" s="13">
        <v>40000000</v>
      </c>
      <c r="AA60" s="13">
        <f t="shared" si="4"/>
        <v>1.6E+21</v>
      </c>
      <c r="AB60" s="13">
        <f t="shared" si="5"/>
        <v>3.2E+21</v>
      </c>
      <c r="AC60" s="13">
        <f t="shared" si="6"/>
        <v>2222222222222222.3</v>
      </c>
      <c r="AD60" s="110">
        <f t="shared" si="7"/>
        <v>44568</v>
      </c>
      <c r="AE60" s="13" t="e">
        <f>IF(AND(AD60&lt;=$AI$4,#REF!&lt;1),1,"")</f>
        <v>#REF!</v>
      </c>
      <c r="AF60" s="110">
        <f t="shared" ca="1" si="8"/>
        <v>44553</v>
      </c>
      <c r="AH60" s="13">
        <f t="shared" ca="1" si="9"/>
        <v>-11</v>
      </c>
    </row>
    <row r="61" spans="1:34" x14ac:dyDescent="0.25">
      <c r="A61" s="13" t="s">
        <v>4</v>
      </c>
      <c r="B61" s="13" t="s">
        <v>4</v>
      </c>
      <c r="C61" s="13" t="s">
        <v>1204</v>
      </c>
      <c r="D61" s="13" t="s">
        <v>1205</v>
      </c>
      <c r="E61" s="13" t="s">
        <v>723</v>
      </c>
      <c r="F61" s="13">
        <v>90</v>
      </c>
      <c r="G61" s="2" t="s">
        <v>1195</v>
      </c>
      <c r="H61" s="13" t="s">
        <v>0</v>
      </c>
      <c r="I61" s="13" t="s">
        <v>140</v>
      </c>
      <c r="J61" s="13" t="s">
        <v>139</v>
      </c>
      <c r="K61" s="109">
        <v>44564</v>
      </c>
      <c r="Q61" s="13" t="str">
        <f t="shared" si="0"/>
        <v>BGTACRD025037AUTOSERVICIONUTRESA</v>
      </c>
      <c r="T61" s="123">
        <f t="shared" si="1"/>
        <v>0</v>
      </c>
      <c r="U61" s="13">
        <f t="shared" si="2"/>
        <v>0</v>
      </c>
      <c r="V61" s="123">
        <f t="shared" si="3"/>
        <v>0</v>
      </c>
      <c r="X61" s="13">
        <v>5000000</v>
      </c>
      <c r="Y61" s="13">
        <v>30000000</v>
      </c>
      <c r="Z61" s="13">
        <v>30000000</v>
      </c>
      <c r="AA61" s="13">
        <f t="shared" si="4"/>
        <v>4.5E+21</v>
      </c>
      <c r="AB61" s="13">
        <f t="shared" si="5"/>
        <v>4.0500000000000001E+23</v>
      </c>
      <c r="AC61" s="13">
        <f t="shared" si="6"/>
        <v>2.8125E+17</v>
      </c>
      <c r="AD61" s="110">
        <f t="shared" si="7"/>
        <v>44568</v>
      </c>
      <c r="AE61" s="13" t="e">
        <f>IF(AND(AD61&lt;=$AI$4,#REF!&lt;1),1,"")</f>
        <v>#REF!</v>
      </c>
      <c r="AF61" s="110">
        <f t="shared" ca="1" si="8"/>
        <v>44553</v>
      </c>
      <c r="AH61" s="13">
        <f t="shared" ca="1" si="9"/>
        <v>-11</v>
      </c>
    </row>
    <row r="62" spans="1:34" x14ac:dyDescent="0.25">
      <c r="A62" s="13" t="s">
        <v>149</v>
      </c>
      <c r="B62" s="13" t="s">
        <v>149</v>
      </c>
      <c r="C62" s="13" t="s">
        <v>1204</v>
      </c>
      <c r="D62" s="13" t="s">
        <v>1205</v>
      </c>
      <c r="E62" s="13" t="s">
        <v>723</v>
      </c>
      <c r="F62" s="13">
        <v>20</v>
      </c>
      <c r="G62" s="2" t="s">
        <v>1195</v>
      </c>
      <c r="H62" s="13" t="s">
        <v>0</v>
      </c>
      <c r="I62" s="13" t="s">
        <v>140</v>
      </c>
      <c r="J62" s="13" t="s">
        <v>139</v>
      </c>
      <c r="K62" s="109">
        <v>44564</v>
      </c>
      <c r="Q62" s="13" t="str">
        <f t="shared" si="0"/>
        <v>DUITCRD025037AUTOSERVICIONUTRESA</v>
      </c>
      <c r="T62" s="123">
        <f t="shared" si="1"/>
        <v>0</v>
      </c>
      <c r="U62" s="13">
        <f t="shared" si="2"/>
        <v>0</v>
      </c>
      <c r="V62" s="123">
        <f t="shared" si="3"/>
        <v>0</v>
      </c>
      <c r="X62" s="13">
        <v>5000000</v>
      </c>
      <c r="Y62" s="13">
        <v>30000000</v>
      </c>
      <c r="Z62" s="13">
        <v>30000000</v>
      </c>
      <c r="AA62" s="13">
        <f t="shared" si="4"/>
        <v>4.5E+21</v>
      </c>
      <c r="AB62" s="13">
        <f t="shared" si="5"/>
        <v>8.9999999999999996E+22</v>
      </c>
      <c r="AC62" s="13">
        <f t="shared" si="6"/>
        <v>6.25E+16</v>
      </c>
      <c r="AD62" s="110">
        <f t="shared" si="7"/>
        <v>44568</v>
      </c>
      <c r="AE62" s="13" t="e">
        <f>IF(AND(AD62&lt;=$AI$4,#REF!&lt;1),1,"")</f>
        <v>#REF!</v>
      </c>
      <c r="AF62" s="110">
        <f t="shared" ca="1" si="8"/>
        <v>44553</v>
      </c>
      <c r="AH62" s="13">
        <f t="shared" ca="1" si="9"/>
        <v>-11</v>
      </c>
    </row>
    <row r="63" spans="1:34" x14ac:dyDescent="0.25">
      <c r="A63" s="13" t="s">
        <v>5</v>
      </c>
      <c r="B63" s="13" t="s">
        <v>5</v>
      </c>
      <c r="C63" s="13" t="s">
        <v>1204</v>
      </c>
      <c r="D63" s="13" t="s">
        <v>1205</v>
      </c>
      <c r="E63" s="13" t="s">
        <v>723</v>
      </c>
      <c r="F63" s="13">
        <v>80</v>
      </c>
      <c r="G63" s="2" t="s">
        <v>1195</v>
      </c>
      <c r="H63" s="13" t="s">
        <v>0</v>
      </c>
      <c r="I63" s="13" t="s">
        <v>140</v>
      </c>
      <c r="J63" s="13" t="s">
        <v>139</v>
      </c>
      <c r="K63" s="109">
        <v>44564</v>
      </c>
      <c r="Q63" s="13" t="str">
        <f t="shared" si="0"/>
        <v>BUCACRD025037AUTOSERVICIONUTRESA</v>
      </c>
      <c r="T63" s="123">
        <f t="shared" si="1"/>
        <v>0</v>
      </c>
      <c r="U63" s="13">
        <f t="shared" si="2"/>
        <v>0</v>
      </c>
      <c r="V63" s="123">
        <f t="shared" si="3"/>
        <v>0</v>
      </c>
      <c r="X63" s="13">
        <v>5000000</v>
      </c>
      <c r="Y63" s="13">
        <v>30000000</v>
      </c>
      <c r="Z63" s="13">
        <v>30000000</v>
      </c>
      <c r="AA63" s="13">
        <f t="shared" si="4"/>
        <v>4.5E+21</v>
      </c>
      <c r="AB63" s="13">
        <f t="shared" si="5"/>
        <v>3.5999999999999998E+23</v>
      </c>
      <c r="AC63" s="13">
        <f t="shared" si="6"/>
        <v>2.5E+17</v>
      </c>
      <c r="AD63" s="110">
        <f t="shared" si="7"/>
        <v>44568</v>
      </c>
      <c r="AE63" s="13" t="e">
        <f>IF(AND(AD63&lt;=$AI$4,#REF!&lt;1),1,"")</f>
        <v>#REF!</v>
      </c>
      <c r="AF63" s="110">
        <f t="shared" ca="1" si="8"/>
        <v>44553</v>
      </c>
      <c r="AH63" s="13">
        <f t="shared" ca="1" si="9"/>
        <v>-11</v>
      </c>
    </row>
    <row r="64" spans="1:34" x14ac:dyDescent="0.25">
      <c r="A64" s="13" t="s">
        <v>7</v>
      </c>
      <c r="B64" s="13" t="s">
        <v>7</v>
      </c>
      <c r="C64" s="13" t="s">
        <v>1204</v>
      </c>
      <c r="D64" s="13" t="s">
        <v>1205</v>
      </c>
      <c r="E64" s="13" t="s">
        <v>723</v>
      </c>
      <c r="F64" s="13">
        <v>10</v>
      </c>
      <c r="G64" s="2" t="s">
        <v>1195</v>
      </c>
      <c r="H64" s="13" t="s">
        <v>0</v>
      </c>
      <c r="I64" s="13" t="s">
        <v>140</v>
      </c>
      <c r="J64" s="13" t="s">
        <v>139</v>
      </c>
      <c r="K64" s="109">
        <v>44564</v>
      </c>
      <c r="Q64" s="13" t="str">
        <f t="shared" si="0"/>
        <v>CARTCRD025037AUTOSERVICIONUTRESA</v>
      </c>
      <c r="T64" s="123">
        <f t="shared" si="1"/>
        <v>0</v>
      </c>
      <c r="U64" s="13">
        <f t="shared" si="2"/>
        <v>0</v>
      </c>
      <c r="V64" s="123">
        <f t="shared" si="3"/>
        <v>0</v>
      </c>
      <c r="X64" s="13">
        <v>5000000</v>
      </c>
      <c r="Y64" s="13">
        <v>30000000</v>
      </c>
      <c r="Z64" s="13">
        <v>30000000</v>
      </c>
      <c r="AA64" s="13">
        <f t="shared" si="4"/>
        <v>4.5E+21</v>
      </c>
      <c r="AB64" s="13">
        <f t="shared" si="5"/>
        <v>4.4999999999999998E+22</v>
      </c>
      <c r="AC64" s="13">
        <f t="shared" si="6"/>
        <v>3.125E+16</v>
      </c>
      <c r="AD64" s="110">
        <f t="shared" si="7"/>
        <v>44568</v>
      </c>
      <c r="AE64" s="13" t="e">
        <f>IF(AND(AD64&lt;=$AI$4,#REF!&lt;1),1,"")</f>
        <v>#REF!</v>
      </c>
      <c r="AF64" s="110">
        <f t="shared" ca="1" si="8"/>
        <v>44553</v>
      </c>
      <c r="AH64" s="13">
        <f t="shared" ca="1" si="9"/>
        <v>-11</v>
      </c>
    </row>
    <row r="65" spans="1:34" x14ac:dyDescent="0.25">
      <c r="A65" s="13" t="s">
        <v>9</v>
      </c>
      <c r="B65" s="13" t="s">
        <v>9</v>
      </c>
      <c r="C65" s="13" t="s">
        <v>1204</v>
      </c>
      <c r="D65" s="13" t="s">
        <v>1205</v>
      </c>
      <c r="E65" s="13" t="s">
        <v>723</v>
      </c>
      <c r="F65" s="13">
        <v>50</v>
      </c>
      <c r="G65" s="2" t="s">
        <v>1195</v>
      </c>
      <c r="H65" s="13" t="s">
        <v>0</v>
      </c>
      <c r="I65" s="13" t="s">
        <v>140</v>
      </c>
      <c r="J65" s="13" t="s">
        <v>139</v>
      </c>
      <c r="K65" s="109">
        <v>44564</v>
      </c>
      <c r="Q65" s="13" t="str">
        <f t="shared" si="0"/>
        <v>MEDECRD025037AUTOSERVICIONUTRESA</v>
      </c>
      <c r="T65" s="123">
        <f t="shared" si="1"/>
        <v>0</v>
      </c>
      <c r="U65" s="13">
        <f t="shared" si="2"/>
        <v>0</v>
      </c>
      <c r="V65" s="123">
        <f t="shared" si="3"/>
        <v>0</v>
      </c>
      <c r="X65" s="13">
        <v>5000000</v>
      </c>
      <c r="Y65" s="13">
        <v>30000000</v>
      </c>
      <c r="Z65" s="13">
        <v>30000000</v>
      </c>
      <c r="AA65" s="13">
        <f t="shared" si="4"/>
        <v>4.5E+21</v>
      </c>
      <c r="AB65" s="13">
        <f t="shared" si="5"/>
        <v>2.2499999999999999E+23</v>
      </c>
      <c r="AC65" s="13">
        <f t="shared" si="6"/>
        <v>1.5625E+17</v>
      </c>
      <c r="AD65" s="110">
        <f t="shared" si="7"/>
        <v>44568</v>
      </c>
      <c r="AE65" s="13" t="e">
        <f>IF(AND(AD65&lt;=$AI$4,#REF!&lt;1),1,"")</f>
        <v>#REF!</v>
      </c>
      <c r="AF65" s="110">
        <f t="shared" ca="1" si="8"/>
        <v>44553</v>
      </c>
      <c r="AH65" s="13">
        <f t="shared" ca="1" si="9"/>
        <v>-11</v>
      </c>
    </row>
    <row r="66" spans="1:34" x14ac:dyDescent="0.25">
      <c r="A66" s="13" t="s">
        <v>3</v>
      </c>
      <c r="B66" s="13" t="s">
        <v>3</v>
      </c>
      <c r="C66" s="13" t="s">
        <v>1193</v>
      </c>
      <c r="D66" s="13" t="s">
        <v>1194</v>
      </c>
      <c r="E66" s="13" t="s">
        <v>723</v>
      </c>
      <c r="F66" s="13">
        <v>1</v>
      </c>
      <c r="G66" s="2" t="s">
        <v>1195</v>
      </c>
      <c r="H66" s="13" t="s">
        <v>1</v>
      </c>
      <c r="I66" s="13" t="s">
        <v>140</v>
      </c>
      <c r="J66" s="13" t="s">
        <v>139</v>
      </c>
      <c r="K66" s="109">
        <v>44559</v>
      </c>
      <c r="Q66" s="13" t="str">
        <f t="shared" si="0"/>
        <v>BARRCRD025035CADENASNUTRESA</v>
      </c>
      <c r="T66" s="123">
        <f t="shared" si="1"/>
        <v>0</v>
      </c>
      <c r="U66" s="13">
        <f t="shared" si="2"/>
        <v>0</v>
      </c>
      <c r="V66" s="123">
        <f t="shared" si="3"/>
        <v>0</v>
      </c>
      <c r="X66" s="13">
        <v>5000000</v>
      </c>
      <c r="Y66" s="13">
        <v>100000000</v>
      </c>
      <c r="Z66" s="13">
        <v>100000000</v>
      </c>
      <c r="AA66" s="13">
        <f t="shared" si="4"/>
        <v>4.9999999999999996E+22</v>
      </c>
      <c r="AB66" s="13">
        <f t="shared" si="5"/>
        <v>4.9999999999999996E+22</v>
      </c>
      <c r="AC66" s="13">
        <f t="shared" si="6"/>
        <v>3.472222222222222E+16</v>
      </c>
      <c r="AD66" s="110">
        <f t="shared" si="7"/>
        <v>44563</v>
      </c>
      <c r="AE66" s="13" t="e">
        <f>IF(AND(AD66&lt;=$AI$4,#REF!&lt;1),1,"")</f>
        <v>#REF!</v>
      </c>
      <c r="AF66" s="110">
        <f t="shared" ca="1" si="8"/>
        <v>44553</v>
      </c>
      <c r="AH66" s="13">
        <f t="shared" ca="1" si="9"/>
        <v>-6</v>
      </c>
    </row>
    <row r="67" spans="1:34" x14ac:dyDescent="0.25">
      <c r="A67" s="13" t="s">
        <v>4</v>
      </c>
      <c r="B67" s="13" t="s">
        <v>4</v>
      </c>
      <c r="C67" s="13" t="s">
        <v>1193</v>
      </c>
      <c r="D67" s="13" t="s">
        <v>1194</v>
      </c>
      <c r="E67" s="13" t="s">
        <v>723</v>
      </c>
      <c r="F67" s="13">
        <v>12</v>
      </c>
      <c r="G67" s="2" t="s">
        <v>1195</v>
      </c>
      <c r="H67" s="13" t="s">
        <v>1</v>
      </c>
      <c r="I67" s="13" t="s">
        <v>140</v>
      </c>
      <c r="J67" s="13" t="s">
        <v>139</v>
      </c>
      <c r="K67" s="109">
        <v>44559</v>
      </c>
      <c r="Q67" s="13" t="str">
        <f t="shared" ref="Q67:Q130" si="10">+CONCATENATE(B67,C67,H67,I67)</f>
        <v>BGTACRD025035CADENASNUTRESA</v>
      </c>
      <c r="T67" s="123">
        <f t="shared" ref="T67:T130" si="11">IFERROR(R67/F67,0)</f>
        <v>0</v>
      </c>
      <c r="U67" s="13">
        <f t="shared" ref="U67:U130" si="12">R67-S67</f>
        <v>0</v>
      </c>
      <c r="V67" s="123">
        <f t="shared" ref="V67:V130" si="13">IFERROR(U67/R67,0)</f>
        <v>0</v>
      </c>
      <c r="X67" s="13">
        <v>5000000</v>
      </c>
      <c r="Y67" s="13">
        <v>100000000</v>
      </c>
      <c r="Z67" s="13">
        <v>100000000</v>
      </c>
      <c r="AA67" s="13">
        <f t="shared" ref="AA67:AA130" si="14">X67*Y67*Z67</f>
        <v>4.9999999999999996E+22</v>
      </c>
      <c r="AB67" s="13">
        <f t="shared" ref="AB67:AB130" si="15">AA67*F67</f>
        <v>5.9999999999999995E+23</v>
      </c>
      <c r="AC67" s="13">
        <f t="shared" ref="AC67:AC130" si="16">AB67/1440000</f>
        <v>4.1666666666666662E+17</v>
      </c>
      <c r="AD67" s="110">
        <f t="shared" ref="AD67:AD130" si="17">K67+4</f>
        <v>44563</v>
      </c>
      <c r="AE67" s="13" t="e">
        <f>IF(AND(AD67&lt;=$AI$4,#REF!&lt;1),1,"")</f>
        <v>#REF!</v>
      </c>
      <c r="AF67" s="110">
        <f t="shared" ref="AF67:AF130" ca="1" si="18">TODAY()</f>
        <v>44553</v>
      </c>
      <c r="AH67" s="13">
        <f t="shared" ref="AH67:AH130" ca="1" si="19">AF67-K67</f>
        <v>-6</v>
      </c>
    </row>
    <row r="68" spans="1:34" x14ac:dyDescent="0.25">
      <c r="A68" s="13" t="s">
        <v>5</v>
      </c>
      <c r="B68" s="13" t="s">
        <v>5</v>
      </c>
      <c r="C68" s="13" t="s">
        <v>1193</v>
      </c>
      <c r="D68" s="13" t="s">
        <v>1194</v>
      </c>
      <c r="E68" s="13" t="s">
        <v>723</v>
      </c>
      <c r="F68" s="13">
        <v>2</v>
      </c>
      <c r="G68" s="2" t="s">
        <v>1195</v>
      </c>
      <c r="H68" s="13" t="s">
        <v>1</v>
      </c>
      <c r="I68" s="13" t="s">
        <v>140</v>
      </c>
      <c r="J68" s="13" t="s">
        <v>139</v>
      </c>
      <c r="K68" s="109">
        <v>44559</v>
      </c>
      <c r="Q68" s="13" t="str">
        <f t="shared" si="10"/>
        <v>BUCACRD025035CADENASNUTRESA</v>
      </c>
      <c r="T68" s="123">
        <f t="shared" si="11"/>
        <v>0</v>
      </c>
      <c r="U68" s="13">
        <f t="shared" si="12"/>
        <v>0</v>
      </c>
      <c r="V68" s="123">
        <f t="shared" si="13"/>
        <v>0</v>
      </c>
      <c r="X68" s="13">
        <v>5000000</v>
      </c>
      <c r="Y68" s="13">
        <v>100000000</v>
      </c>
      <c r="Z68" s="13">
        <v>100000000</v>
      </c>
      <c r="AA68" s="13">
        <f t="shared" si="14"/>
        <v>4.9999999999999996E+22</v>
      </c>
      <c r="AB68" s="13">
        <f t="shared" si="15"/>
        <v>9.9999999999999992E+22</v>
      </c>
      <c r="AC68" s="13">
        <f t="shared" si="16"/>
        <v>6.944444444444444E+16</v>
      </c>
      <c r="AD68" s="110">
        <f t="shared" si="17"/>
        <v>44563</v>
      </c>
      <c r="AE68" s="13" t="e">
        <f>IF(AND(AD68&lt;=$AI$4,#REF!&lt;1),1,"")</f>
        <v>#REF!</v>
      </c>
      <c r="AF68" s="110">
        <f t="shared" ca="1" si="18"/>
        <v>44553</v>
      </c>
      <c r="AH68" s="13">
        <f t="shared" ca="1" si="19"/>
        <v>-6</v>
      </c>
    </row>
    <row r="69" spans="1:34" x14ac:dyDescent="0.25">
      <c r="A69" s="13" t="s">
        <v>6</v>
      </c>
      <c r="B69" s="13" t="s">
        <v>6</v>
      </c>
      <c r="C69" s="13" t="s">
        <v>1193</v>
      </c>
      <c r="D69" s="13" t="s">
        <v>1194</v>
      </c>
      <c r="E69" s="13" t="s">
        <v>723</v>
      </c>
      <c r="F69" s="13">
        <v>3</v>
      </c>
      <c r="G69" s="2" t="s">
        <v>1195</v>
      </c>
      <c r="H69" s="13" t="s">
        <v>1</v>
      </c>
      <c r="I69" s="13" t="s">
        <v>140</v>
      </c>
      <c r="J69" s="13" t="s">
        <v>139</v>
      </c>
      <c r="K69" s="109">
        <v>44559</v>
      </c>
      <c r="Q69" s="13" t="str">
        <f t="shared" si="10"/>
        <v>CALICRD025035CADENASNUTRESA</v>
      </c>
      <c r="T69" s="123">
        <f t="shared" si="11"/>
        <v>0</v>
      </c>
      <c r="U69" s="13">
        <f t="shared" si="12"/>
        <v>0</v>
      </c>
      <c r="V69" s="123">
        <f t="shared" si="13"/>
        <v>0</v>
      </c>
      <c r="X69" s="13">
        <v>5000000</v>
      </c>
      <c r="Y69" s="13">
        <v>100000000</v>
      </c>
      <c r="Z69" s="13">
        <v>100000000</v>
      </c>
      <c r="AA69" s="13">
        <f t="shared" si="14"/>
        <v>4.9999999999999996E+22</v>
      </c>
      <c r="AB69" s="13">
        <f t="shared" si="15"/>
        <v>1.4999999999999999E+23</v>
      </c>
      <c r="AC69" s="13">
        <f t="shared" si="16"/>
        <v>1.0416666666666666E+17</v>
      </c>
      <c r="AD69" s="110">
        <f t="shared" si="17"/>
        <v>44563</v>
      </c>
      <c r="AE69" s="13" t="e">
        <f>IF(AND(AD69&lt;=$AI$4,#REF!&lt;1),1,"")</f>
        <v>#REF!</v>
      </c>
      <c r="AF69" s="110">
        <f t="shared" ca="1" si="18"/>
        <v>44553</v>
      </c>
      <c r="AH69" s="13">
        <f t="shared" ca="1" si="19"/>
        <v>-6</v>
      </c>
    </row>
    <row r="70" spans="1:34" x14ac:dyDescent="0.25">
      <c r="A70" s="13" t="s">
        <v>7</v>
      </c>
      <c r="B70" s="13" t="s">
        <v>7</v>
      </c>
      <c r="C70" s="13" t="s">
        <v>1193</v>
      </c>
      <c r="D70" s="13" t="s">
        <v>1194</v>
      </c>
      <c r="E70" s="13" t="s">
        <v>723</v>
      </c>
      <c r="F70" s="13">
        <v>3</v>
      </c>
      <c r="G70" s="2" t="s">
        <v>1195</v>
      </c>
      <c r="H70" s="13" t="s">
        <v>1</v>
      </c>
      <c r="I70" s="13" t="s">
        <v>140</v>
      </c>
      <c r="J70" s="13" t="s">
        <v>139</v>
      </c>
      <c r="K70" s="109">
        <v>44559</v>
      </c>
      <c r="Q70" s="13" t="str">
        <f t="shared" si="10"/>
        <v>CARTCRD025035CADENASNUTRESA</v>
      </c>
      <c r="T70" s="123">
        <f t="shared" si="11"/>
        <v>0</v>
      </c>
      <c r="U70" s="13">
        <f t="shared" si="12"/>
        <v>0</v>
      </c>
      <c r="V70" s="123">
        <f t="shared" si="13"/>
        <v>0</v>
      </c>
      <c r="X70" s="13">
        <v>5000000</v>
      </c>
      <c r="Y70" s="13">
        <v>100000000</v>
      </c>
      <c r="Z70" s="13">
        <v>100000000</v>
      </c>
      <c r="AA70" s="13">
        <f t="shared" si="14"/>
        <v>4.9999999999999996E+22</v>
      </c>
      <c r="AB70" s="13">
        <f t="shared" si="15"/>
        <v>1.4999999999999999E+23</v>
      </c>
      <c r="AC70" s="13">
        <f t="shared" si="16"/>
        <v>1.0416666666666666E+17</v>
      </c>
      <c r="AD70" s="110">
        <f t="shared" si="17"/>
        <v>44563</v>
      </c>
      <c r="AE70" s="13" t="e">
        <f>IF(AND(AD70&lt;=$AI$4,#REF!&lt;1),1,"")</f>
        <v>#REF!</v>
      </c>
      <c r="AF70" s="110">
        <f t="shared" ca="1" si="18"/>
        <v>44553</v>
      </c>
      <c r="AH70" s="13">
        <f t="shared" ca="1" si="19"/>
        <v>-6</v>
      </c>
    </row>
    <row r="71" spans="1:34" x14ac:dyDescent="0.25">
      <c r="A71" s="13" t="s">
        <v>8</v>
      </c>
      <c r="B71" s="13" t="s">
        <v>8</v>
      </c>
      <c r="C71" s="13" t="s">
        <v>1193</v>
      </c>
      <c r="D71" s="13" t="s">
        <v>1194</v>
      </c>
      <c r="E71" s="13" t="s">
        <v>723</v>
      </c>
      <c r="F71" s="13">
        <v>2</v>
      </c>
      <c r="G71" s="2" t="s">
        <v>1195</v>
      </c>
      <c r="H71" s="13" t="s">
        <v>1</v>
      </c>
      <c r="I71" s="13" t="s">
        <v>140</v>
      </c>
      <c r="J71" s="13" t="s">
        <v>139</v>
      </c>
      <c r="K71" s="109">
        <v>44559</v>
      </c>
      <c r="Q71" s="13" t="str">
        <f t="shared" si="10"/>
        <v>IBA1CRD025035CADENASNUTRESA</v>
      </c>
      <c r="T71" s="123">
        <f t="shared" si="11"/>
        <v>0</v>
      </c>
      <c r="U71" s="13">
        <f t="shared" si="12"/>
        <v>0</v>
      </c>
      <c r="V71" s="123">
        <f t="shared" si="13"/>
        <v>0</v>
      </c>
      <c r="X71" s="13">
        <v>5000000</v>
      </c>
      <c r="Y71" s="13">
        <v>100000000</v>
      </c>
      <c r="Z71" s="13">
        <v>100000000</v>
      </c>
      <c r="AA71" s="13">
        <f t="shared" si="14"/>
        <v>4.9999999999999996E+22</v>
      </c>
      <c r="AB71" s="13">
        <f t="shared" si="15"/>
        <v>9.9999999999999992E+22</v>
      </c>
      <c r="AC71" s="13">
        <f t="shared" si="16"/>
        <v>6.944444444444444E+16</v>
      </c>
      <c r="AD71" s="110">
        <f t="shared" si="17"/>
        <v>44563</v>
      </c>
      <c r="AE71" s="13" t="e">
        <f>IF(AND(AD71&lt;=$AI$4,#REF!&lt;1),1,"")</f>
        <v>#REF!</v>
      </c>
      <c r="AF71" s="110">
        <f t="shared" ca="1" si="18"/>
        <v>44553</v>
      </c>
      <c r="AH71" s="13">
        <f t="shared" ca="1" si="19"/>
        <v>-6</v>
      </c>
    </row>
    <row r="72" spans="1:34" x14ac:dyDescent="0.25">
      <c r="A72" s="13" t="s">
        <v>9</v>
      </c>
      <c r="B72" s="13" t="s">
        <v>9</v>
      </c>
      <c r="C72" s="13" t="s">
        <v>1193</v>
      </c>
      <c r="D72" s="13" t="s">
        <v>1194</v>
      </c>
      <c r="E72" s="13" t="s">
        <v>723</v>
      </c>
      <c r="F72" s="13">
        <v>4</v>
      </c>
      <c r="G72" s="2" t="s">
        <v>1195</v>
      </c>
      <c r="H72" s="13" t="s">
        <v>1</v>
      </c>
      <c r="I72" s="13" t="s">
        <v>140</v>
      </c>
      <c r="J72" s="13" t="s">
        <v>139</v>
      </c>
      <c r="K72" s="109">
        <v>44559</v>
      </c>
      <c r="Q72" s="13" t="str">
        <f t="shared" si="10"/>
        <v>MEDECRD025035CADENASNUTRESA</v>
      </c>
      <c r="T72" s="123">
        <f t="shared" si="11"/>
        <v>0</v>
      </c>
      <c r="U72" s="13">
        <f t="shared" si="12"/>
        <v>0</v>
      </c>
      <c r="V72" s="123">
        <f t="shared" si="13"/>
        <v>0</v>
      </c>
      <c r="X72" s="13">
        <v>5000000</v>
      </c>
      <c r="Y72" s="13">
        <v>100000000</v>
      </c>
      <c r="Z72" s="13">
        <v>100000000</v>
      </c>
      <c r="AA72" s="13">
        <f t="shared" si="14"/>
        <v>4.9999999999999996E+22</v>
      </c>
      <c r="AB72" s="13">
        <f t="shared" si="15"/>
        <v>1.9999999999999998E+23</v>
      </c>
      <c r="AC72" s="13">
        <f t="shared" si="16"/>
        <v>1.3888888888888888E+17</v>
      </c>
      <c r="AD72" s="110">
        <f t="shared" si="17"/>
        <v>44563</v>
      </c>
      <c r="AE72" s="13" t="e">
        <f>IF(AND(AD72&lt;=$AI$4,#REF!&lt;1),1,"")</f>
        <v>#REF!</v>
      </c>
      <c r="AF72" s="110">
        <f t="shared" ca="1" si="18"/>
        <v>44553</v>
      </c>
      <c r="AH72" s="13">
        <f t="shared" ca="1" si="19"/>
        <v>-6</v>
      </c>
    </row>
    <row r="73" spans="1:34" x14ac:dyDescent="0.25">
      <c r="A73" s="13" t="s">
        <v>10</v>
      </c>
      <c r="B73" s="13" t="s">
        <v>10</v>
      </c>
      <c r="C73" s="13" t="s">
        <v>1193</v>
      </c>
      <c r="D73" s="13" t="s">
        <v>1194</v>
      </c>
      <c r="E73" s="13" t="s">
        <v>723</v>
      </c>
      <c r="F73" s="13">
        <v>4</v>
      </c>
      <c r="G73" s="2" t="s">
        <v>1195</v>
      </c>
      <c r="H73" s="13" t="s">
        <v>1</v>
      </c>
      <c r="I73" s="13" t="s">
        <v>140</v>
      </c>
      <c r="J73" s="13" t="s">
        <v>139</v>
      </c>
      <c r="K73" s="109">
        <v>44559</v>
      </c>
      <c r="Q73" s="13" t="str">
        <f t="shared" si="10"/>
        <v>PERECRD025035CADENASNUTRESA</v>
      </c>
      <c r="T73" s="123">
        <f t="shared" si="11"/>
        <v>0</v>
      </c>
      <c r="U73" s="13">
        <f t="shared" si="12"/>
        <v>0</v>
      </c>
      <c r="V73" s="123">
        <f t="shared" si="13"/>
        <v>0</v>
      </c>
      <c r="X73" s="13">
        <v>5000000</v>
      </c>
      <c r="Y73" s="13">
        <v>100000000</v>
      </c>
      <c r="Z73" s="13">
        <v>100000000</v>
      </c>
      <c r="AA73" s="13">
        <f t="shared" si="14"/>
        <v>4.9999999999999996E+22</v>
      </c>
      <c r="AB73" s="13">
        <f t="shared" si="15"/>
        <v>1.9999999999999998E+23</v>
      </c>
      <c r="AC73" s="13">
        <f t="shared" si="16"/>
        <v>1.3888888888888888E+17</v>
      </c>
      <c r="AD73" s="110">
        <f t="shared" si="17"/>
        <v>44563</v>
      </c>
      <c r="AE73" s="13" t="e">
        <f>IF(AND(AD73&lt;=$AI$4,#REF!&lt;1),1,"")</f>
        <v>#REF!</v>
      </c>
      <c r="AF73" s="110">
        <f t="shared" ca="1" si="18"/>
        <v>44553</v>
      </c>
      <c r="AH73" s="13">
        <f t="shared" ca="1" si="19"/>
        <v>-6</v>
      </c>
    </row>
    <row r="74" spans="1:34" x14ac:dyDescent="0.25">
      <c r="A74" s="13" t="s">
        <v>6</v>
      </c>
      <c r="B74" s="13" t="s">
        <v>6</v>
      </c>
      <c r="C74" s="13" t="s">
        <v>1196</v>
      </c>
      <c r="D74" s="13" t="s">
        <v>1197</v>
      </c>
      <c r="E74" s="13" t="s">
        <v>723</v>
      </c>
      <c r="F74" s="13">
        <v>2</v>
      </c>
      <c r="G74" s="2" t="s">
        <v>1195</v>
      </c>
      <c r="H74" s="13" t="s">
        <v>0</v>
      </c>
      <c r="I74" s="13" t="s">
        <v>140</v>
      </c>
      <c r="J74" s="13" t="s">
        <v>46</v>
      </c>
      <c r="K74" s="109">
        <v>44564</v>
      </c>
      <c r="Q74" s="13" t="str">
        <f t="shared" si="10"/>
        <v>CALICRD025032AUTOSERVICIONUTRESA</v>
      </c>
      <c r="T74" s="123">
        <f t="shared" si="11"/>
        <v>0</v>
      </c>
      <c r="U74" s="13">
        <f t="shared" si="12"/>
        <v>0</v>
      </c>
      <c r="V74" s="123">
        <f t="shared" si="13"/>
        <v>0</v>
      </c>
      <c r="X74" s="13">
        <v>50000000</v>
      </c>
      <c r="Y74" s="13">
        <v>50000000</v>
      </c>
      <c r="Z74" s="13">
        <v>50000000</v>
      </c>
      <c r="AA74" s="13">
        <f t="shared" si="14"/>
        <v>1.25E+23</v>
      </c>
      <c r="AB74" s="13">
        <f t="shared" si="15"/>
        <v>2.5E+23</v>
      </c>
      <c r="AC74" s="13">
        <f t="shared" si="16"/>
        <v>1.736111111111111E+17</v>
      </c>
      <c r="AD74" s="110">
        <f t="shared" si="17"/>
        <v>44568</v>
      </c>
      <c r="AE74" s="13" t="e">
        <f>IF(AND(AD74&lt;=$AI$4,#REF!&lt;1),1,"")</f>
        <v>#REF!</v>
      </c>
      <c r="AF74" s="110">
        <f t="shared" ca="1" si="18"/>
        <v>44553</v>
      </c>
      <c r="AH74" s="13">
        <f t="shared" ca="1" si="19"/>
        <v>-11</v>
      </c>
    </row>
    <row r="75" spans="1:34" x14ac:dyDescent="0.25">
      <c r="A75" s="13" t="s">
        <v>8</v>
      </c>
      <c r="B75" s="13" t="s">
        <v>8</v>
      </c>
      <c r="C75" s="13" t="s">
        <v>1196</v>
      </c>
      <c r="D75" s="13" t="s">
        <v>1197</v>
      </c>
      <c r="E75" s="13" t="s">
        <v>723</v>
      </c>
      <c r="F75" s="13">
        <v>2</v>
      </c>
      <c r="G75" s="2" t="s">
        <v>1195</v>
      </c>
      <c r="H75" s="13" t="s">
        <v>0</v>
      </c>
      <c r="I75" s="13" t="s">
        <v>140</v>
      </c>
      <c r="J75" s="13" t="s">
        <v>46</v>
      </c>
      <c r="K75" s="109">
        <v>44564</v>
      </c>
      <c r="Q75" s="13" t="str">
        <f t="shared" si="10"/>
        <v>IBA1CRD025032AUTOSERVICIONUTRESA</v>
      </c>
      <c r="T75" s="123">
        <f t="shared" si="11"/>
        <v>0</v>
      </c>
      <c r="U75" s="13">
        <f t="shared" si="12"/>
        <v>0</v>
      </c>
      <c r="V75" s="123">
        <f t="shared" si="13"/>
        <v>0</v>
      </c>
      <c r="X75" s="13">
        <v>50000000</v>
      </c>
      <c r="Y75" s="13">
        <v>50000000</v>
      </c>
      <c r="Z75" s="13">
        <v>50000000</v>
      </c>
      <c r="AA75" s="13">
        <f t="shared" si="14"/>
        <v>1.25E+23</v>
      </c>
      <c r="AB75" s="13">
        <f t="shared" si="15"/>
        <v>2.5E+23</v>
      </c>
      <c r="AC75" s="13">
        <f t="shared" si="16"/>
        <v>1.736111111111111E+17</v>
      </c>
      <c r="AD75" s="110">
        <f t="shared" si="17"/>
        <v>44568</v>
      </c>
      <c r="AE75" s="13" t="e">
        <f>IF(AND(AD75&lt;=$AI$4,#REF!&lt;1),1,"")</f>
        <v>#REF!</v>
      </c>
      <c r="AF75" s="110">
        <f t="shared" ca="1" si="18"/>
        <v>44553</v>
      </c>
      <c r="AH75" s="13">
        <f t="shared" ca="1" si="19"/>
        <v>-11</v>
      </c>
    </row>
    <row r="76" spans="1:34" x14ac:dyDescent="0.25">
      <c r="A76" s="13" t="s">
        <v>10</v>
      </c>
      <c r="B76" s="13" t="s">
        <v>10</v>
      </c>
      <c r="C76" s="13" t="s">
        <v>1196</v>
      </c>
      <c r="D76" s="13" t="s">
        <v>1197</v>
      </c>
      <c r="E76" s="13" t="s">
        <v>723</v>
      </c>
      <c r="F76" s="13">
        <v>1</v>
      </c>
      <c r="G76" s="2" t="s">
        <v>1195</v>
      </c>
      <c r="H76" s="13" t="s">
        <v>0</v>
      </c>
      <c r="I76" s="13" t="s">
        <v>140</v>
      </c>
      <c r="J76" s="13" t="s">
        <v>46</v>
      </c>
      <c r="K76" s="109">
        <v>44564</v>
      </c>
      <c r="Q76" s="13" t="str">
        <f t="shared" si="10"/>
        <v>PERECRD025032AUTOSERVICIONUTRESA</v>
      </c>
      <c r="T76" s="123">
        <f t="shared" si="11"/>
        <v>0</v>
      </c>
      <c r="U76" s="13">
        <f t="shared" si="12"/>
        <v>0</v>
      </c>
      <c r="V76" s="123">
        <f t="shared" si="13"/>
        <v>0</v>
      </c>
      <c r="X76" s="13">
        <v>50000000</v>
      </c>
      <c r="Y76" s="13">
        <v>50000000</v>
      </c>
      <c r="Z76" s="13">
        <v>50000000</v>
      </c>
      <c r="AA76" s="13">
        <f t="shared" si="14"/>
        <v>1.25E+23</v>
      </c>
      <c r="AB76" s="13">
        <f t="shared" si="15"/>
        <v>1.25E+23</v>
      </c>
      <c r="AC76" s="13">
        <f t="shared" si="16"/>
        <v>8.6805555555555552E+16</v>
      </c>
      <c r="AD76" s="110">
        <f t="shared" si="17"/>
        <v>44568</v>
      </c>
      <c r="AE76" s="13" t="e">
        <f>IF(AND(AD76&lt;=$AI$4,#REF!&lt;1),1,"")</f>
        <v>#REF!</v>
      </c>
      <c r="AF76" s="110">
        <f t="shared" ca="1" si="18"/>
        <v>44553</v>
      </c>
      <c r="AH76" s="13">
        <f t="shared" ca="1" si="19"/>
        <v>-11</v>
      </c>
    </row>
    <row r="77" spans="1:34" x14ac:dyDescent="0.25">
      <c r="A77" s="13" t="s">
        <v>724</v>
      </c>
      <c r="B77" s="13" t="s">
        <v>724</v>
      </c>
      <c r="C77" s="13" t="s">
        <v>1198</v>
      </c>
      <c r="D77" s="13" t="s">
        <v>1199</v>
      </c>
      <c r="E77" s="13" t="s">
        <v>723</v>
      </c>
      <c r="F77" s="13">
        <v>15</v>
      </c>
      <c r="G77" s="2" t="s">
        <v>1195</v>
      </c>
      <c r="H77" s="13" t="s">
        <v>0</v>
      </c>
      <c r="I77" s="13" t="s">
        <v>145</v>
      </c>
      <c r="J77" s="13" t="s">
        <v>46</v>
      </c>
      <c r="K77" s="109">
        <v>44564</v>
      </c>
      <c r="Q77" s="13" t="str">
        <f t="shared" si="10"/>
        <v>BGTA ALTCRD025033AUTOSERVICIOALTILLANO</v>
      </c>
      <c r="T77" s="123">
        <f t="shared" si="11"/>
        <v>0</v>
      </c>
      <c r="U77" s="13">
        <f t="shared" si="12"/>
        <v>0</v>
      </c>
      <c r="V77" s="123">
        <f t="shared" si="13"/>
        <v>0</v>
      </c>
      <c r="X77" s="13">
        <v>30000000</v>
      </c>
      <c r="Y77" s="13">
        <v>40000000</v>
      </c>
      <c r="Z77" s="13">
        <v>40000000</v>
      </c>
      <c r="AA77" s="13">
        <f t="shared" si="14"/>
        <v>4.8E+22</v>
      </c>
      <c r="AB77" s="13">
        <f t="shared" si="15"/>
        <v>7.1999999999999997E+23</v>
      </c>
      <c r="AC77" s="13">
        <f t="shared" si="16"/>
        <v>5E+17</v>
      </c>
      <c r="AD77" s="110">
        <f t="shared" si="17"/>
        <v>44568</v>
      </c>
      <c r="AE77" s="13" t="e">
        <f>IF(AND(AD77&lt;=$AI$4,#REF!&lt;1),1,"")</f>
        <v>#REF!</v>
      </c>
      <c r="AF77" s="110">
        <f t="shared" ca="1" si="18"/>
        <v>44553</v>
      </c>
      <c r="AH77" s="13">
        <f t="shared" ca="1" si="19"/>
        <v>-11</v>
      </c>
    </row>
    <row r="78" spans="1:34" x14ac:dyDescent="0.25">
      <c r="A78" s="13" t="s">
        <v>149</v>
      </c>
      <c r="B78" s="13" t="s">
        <v>149</v>
      </c>
      <c r="C78" s="13" t="s">
        <v>1198</v>
      </c>
      <c r="D78" s="13" t="s">
        <v>1199</v>
      </c>
      <c r="E78" s="13" t="s">
        <v>723</v>
      </c>
      <c r="F78" s="13">
        <v>10</v>
      </c>
      <c r="G78" s="2" t="s">
        <v>1195</v>
      </c>
      <c r="H78" s="13" t="s">
        <v>0</v>
      </c>
      <c r="I78" s="13" t="s">
        <v>140</v>
      </c>
      <c r="J78" s="13" t="s">
        <v>46</v>
      </c>
      <c r="K78" s="109">
        <v>44564</v>
      </c>
      <c r="Q78" s="13" t="str">
        <f t="shared" si="10"/>
        <v>DUITCRD025033AUTOSERVICIONUTRESA</v>
      </c>
      <c r="T78" s="123">
        <f t="shared" si="11"/>
        <v>0</v>
      </c>
      <c r="U78" s="13">
        <f t="shared" si="12"/>
        <v>0</v>
      </c>
      <c r="V78" s="123">
        <f t="shared" si="13"/>
        <v>0</v>
      </c>
      <c r="X78" s="13">
        <v>30000000</v>
      </c>
      <c r="Y78" s="13">
        <v>40000000</v>
      </c>
      <c r="Z78" s="13">
        <v>40000000</v>
      </c>
      <c r="AA78" s="13">
        <f t="shared" si="14"/>
        <v>4.8E+22</v>
      </c>
      <c r="AB78" s="13">
        <f t="shared" si="15"/>
        <v>4.8E+23</v>
      </c>
      <c r="AC78" s="13">
        <f t="shared" si="16"/>
        <v>3.3333333333333331E+17</v>
      </c>
      <c r="AD78" s="110">
        <f t="shared" si="17"/>
        <v>44568</v>
      </c>
      <c r="AE78" s="13" t="e">
        <f>IF(AND(AD78&lt;=$AI$4,#REF!&lt;1),1,"")</f>
        <v>#REF!</v>
      </c>
      <c r="AF78" s="110">
        <f t="shared" ca="1" si="18"/>
        <v>44553</v>
      </c>
      <c r="AH78" s="13">
        <f t="shared" ca="1" si="19"/>
        <v>-11</v>
      </c>
    </row>
    <row r="79" spans="1:34" x14ac:dyDescent="0.25">
      <c r="A79" s="13" t="s">
        <v>150</v>
      </c>
      <c r="B79" s="13" t="s">
        <v>150</v>
      </c>
      <c r="C79" s="13" t="s">
        <v>1198</v>
      </c>
      <c r="D79" s="13" t="s">
        <v>1199</v>
      </c>
      <c r="E79" s="13" t="s">
        <v>723</v>
      </c>
      <c r="F79" s="13">
        <v>10</v>
      </c>
      <c r="G79" s="2" t="s">
        <v>1195</v>
      </c>
      <c r="H79" s="13" t="s">
        <v>0</v>
      </c>
      <c r="I79" s="13" t="s">
        <v>140</v>
      </c>
      <c r="J79" s="13" t="s">
        <v>46</v>
      </c>
      <c r="K79" s="109">
        <v>44564</v>
      </c>
      <c r="Q79" s="13" t="str">
        <f t="shared" si="10"/>
        <v>VILACRD025033AUTOSERVICIONUTRESA</v>
      </c>
      <c r="T79" s="123">
        <f t="shared" si="11"/>
        <v>0</v>
      </c>
      <c r="U79" s="13">
        <f t="shared" si="12"/>
        <v>0</v>
      </c>
      <c r="V79" s="123">
        <f t="shared" si="13"/>
        <v>0</v>
      </c>
      <c r="X79" s="13">
        <v>30000000</v>
      </c>
      <c r="Y79" s="13">
        <v>40000000</v>
      </c>
      <c r="Z79" s="13">
        <v>40000000</v>
      </c>
      <c r="AA79" s="13">
        <f t="shared" si="14"/>
        <v>4.8E+22</v>
      </c>
      <c r="AB79" s="13">
        <f t="shared" si="15"/>
        <v>4.8E+23</v>
      </c>
      <c r="AC79" s="13">
        <f t="shared" si="16"/>
        <v>3.3333333333333331E+17</v>
      </c>
      <c r="AD79" s="110">
        <f t="shared" si="17"/>
        <v>44568</v>
      </c>
      <c r="AE79" s="13" t="e">
        <f>IF(AND(AD79&lt;=$AI$4,#REF!&lt;1),1,"")</f>
        <v>#REF!</v>
      </c>
      <c r="AF79" s="110">
        <f t="shared" ca="1" si="18"/>
        <v>44553</v>
      </c>
      <c r="AH79" s="13">
        <f t="shared" ca="1" si="19"/>
        <v>-11</v>
      </c>
    </row>
    <row r="80" spans="1:34" x14ac:dyDescent="0.25">
      <c r="A80" s="13" t="s">
        <v>5</v>
      </c>
      <c r="B80" s="13" t="s">
        <v>5</v>
      </c>
      <c r="C80" s="13" t="s">
        <v>1198</v>
      </c>
      <c r="D80" s="13" t="s">
        <v>1199</v>
      </c>
      <c r="E80" s="13" t="s">
        <v>723</v>
      </c>
      <c r="F80" s="13">
        <v>4</v>
      </c>
      <c r="G80" s="2" t="s">
        <v>1195</v>
      </c>
      <c r="H80" s="13" t="s">
        <v>0</v>
      </c>
      <c r="I80" s="13" t="s">
        <v>140</v>
      </c>
      <c r="J80" s="13" t="s">
        <v>46</v>
      </c>
      <c r="K80" s="109">
        <v>44564</v>
      </c>
      <c r="Q80" s="13" t="str">
        <f t="shared" si="10"/>
        <v>BUCACRD025033AUTOSERVICIONUTRESA</v>
      </c>
      <c r="T80" s="123">
        <f t="shared" si="11"/>
        <v>0</v>
      </c>
      <c r="U80" s="13">
        <f t="shared" si="12"/>
        <v>0</v>
      </c>
      <c r="V80" s="123">
        <f t="shared" si="13"/>
        <v>0</v>
      </c>
      <c r="X80" s="13">
        <v>30000000</v>
      </c>
      <c r="Y80" s="13">
        <v>40000000</v>
      </c>
      <c r="Z80" s="13">
        <v>40000000</v>
      </c>
      <c r="AA80" s="13">
        <f t="shared" si="14"/>
        <v>4.8E+22</v>
      </c>
      <c r="AB80" s="13">
        <f t="shared" si="15"/>
        <v>1.92E+23</v>
      </c>
      <c r="AC80" s="13">
        <f t="shared" si="16"/>
        <v>1.3333333333333333E+17</v>
      </c>
      <c r="AD80" s="110">
        <f t="shared" si="17"/>
        <v>44568</v>
      </c>
      <c r="AE80" s="13" t="e">
        <f>IF(AND(AD80&lt;=$AI$4,#REF!&lt;1),1,"")</f>
        <v>#REF!</v>
      </c>
      <c r="AF80" s="110">
        <f t="shared" ca="1" si="18"/>
        <v>44553</v>
      </c>
      <c r="AH80" s="13">
        <f t="shared" ca="1" si="19"/>
        <v>-11</v>
      </c>
    </row>
    <row r="81" spans="1:34" x14ac:dyDescent="0.25">
      <c r="A81" s="13" t="s">
        <v>6</v>
      </c>
      <c r="B81" s="13" t="s">
        <v>6</v>
      </c>
      <c r="C81" s="13" t="s">
        <v>1198</v>
      </c>
      <c r="D81" s="13" t="s">
        <v>1199</v>
      </c>
      <c r="E81" s="13" t="s">
        <v>723</v>
      </c>
      <c r="F81" s="13">
        <v>2</v>
      </c>
      <c r="G81" s="2" t="s">
        <v>1195</v>
      </c>
      <c r="H81" s="13" t="s">
        <v>0</v>
      </c>
      <c r="I81" s="13" t="s">
        <v>140</v>
      </c>
      <c r="J81" s="13" t="s">
        <v>46</v>
      </c>
      <c r="K81" s="109">
        <v>44564</v>
      </c>
      <c r="Q81" s="13" t="str">
        <f t="shared" si="10"/>
        <v>CALICRD025033AUTOSERVICIONUTRESA</v>
      </c>
      <c r="T81" s="123">
        <f t="shared" si="11"/>
        <v>0</v>
      </c>
      <c r="U81" s="13">
        <f t="shared" si="12"/>
        <v>0</v>
      </c>
      <c r="V81" s="123">
        <f t="shared" si="13"/>
        <v>0</v>
      </c>
      <c r="X81" s="13">
        <v>30000000</v>
      </c>
      <c r="Y81" s="13">
        <v>40000000</v>
      </c>
      <c r="Z81" s="13">
        <v>40000000</v>
      </c>
      <c r="AA81" s="13">
        <f t="shared" si="14"/>
        <v>4.8E+22</v>
      </c>
      <c r="AB81" s="13">
        <f t="shared" si="15"/>
        <v>9.6E+22</v>
      </c>
      <c r="AC81" s="13">
        <f t="shared" si="16"/>
        <v>6.6666666666666664E+16</v>
      </c>
      <c r="AD81" s="110">
        <f t="shared" si="17"/>
        <v>44568</v>
      </c>
      <c r="AE81" s="13" t="e">
        <f>IF(AND(AD81&lt;=$AI$4,#REF!&lt;1),1,"")</f>
        <v>#REF!</v>
      </c>
      <c r="AF81" s="110">
        <f t="shared" ca="1" si="18"/>
        <v>44553</v>
      </c>
      <c r="AH81" s="13">
        <f t="shared" ca="1" si="19"/>
        <v>-11</v>
      </c>
    </row>
    <row r="82" spans="1:34" x14ac:dyDescent="0.25">
      <c r="A82" s="13" t="s">
        <v>8</v>
      </c>
      <c r="B82" s="13" t="s">
        <v>8</v>
      </c>
      <c r="C82" s="13" t="s">
        <v>1198</v>
      </c>
      <c r="D82" s="13" t="s">
        <v>1199</v>
      </c>
      <c r="E82" s="13" t="s">
        <v>723</v>
      </c>
      <c r="F82" s="13">
        <v>22</v>
      </c>
      <c r="G82" s="2" t="s">
        <v>1195</v>
      </c>
      <c r="H82" s="13" t="s">
        <v>0</v>
      </c>
      <c r="I82" s="13" t="s">
        <v>140</v>
      </c>
      <c r="J82" s="13" t="s">
        <v>46</v>
      </c>
      <c r="K82" s="109">
        <v>44564</v>
      </c>
      <c r="Q82" s="13" t="str">
        <f t="shared" si="10"/>
        <v>IBA1CRD025033AUTOSERVICIONUTRESA</v>
      </c>
      <c r="T82" s="123">
        <f t="shared" si="11"/>
        <v>0</v>
      </c>
      <c r="U82" s="13">
        <f t="shared" si="12"/>
        <v>0</v>
      </c>
      <c r="V82" s="123">
        <f t="shared" si="13"/>
        <v>0</v>
      </c>
      <c r="X82" s="13">
        <v>30000000</v>
      </c>
      <c r="Y82" s="13">
        <v>40000000</v>
      </c>
      <c r="Z82" s="13">
        <v>40000000</v>
      </c>
      <c r="AA82" s="13">
        <f t="shared" si="14"/>
        <v>4.8E+22</v>
      </c>
      <c r="AB82" s="13">
        <f t="shared" si="15"/>
        <v>1.0559999999999999E+24</v>
      </c>
      <c r="AC82" s="13">
        <f t="shared" si="16"/>
        <v>7.3333333333333325E+17</v>
      </c>
      <c r="AD82" s="110">
        <f t="shared" si="17"/>
        <v>44568</v>
      </c>
      <c r="AE82" s="13" t="e">
        <f>IF(AND(AD82&lt;=$AI$4,#REF!&lt;1),1,"")</f>
        <v>#REF!</v>
      </c>
      <c r="AF82" s="110">
        <f t="shared" ca="1" si="18"/>
        <v>44553</v>
      </c>
      <c r="AH82" s="13">
        <f t="shared" ca="1" si="19"/>
        <v>-11</v>
      </c>
    </row>
    <row r="83" spans="1:34" x14ac:dyDescent="0.25">
      <c r="A83" s="13" t="s">
        <v>10</v>
      </c>
      <c r="B83" s="13" t="s">
        <v>10</v>
      </c>
      <c r="C83" s="13" t="s">
        <v>1198</v>
      </c>
      <c r="D83" s="13" t="s">
        <v>1199</v>
      </c>
      <c r="E83" s="13" t="s">
        <v>723</v>
      </c>
      <c r="F83" s="13">
        <v>9</v>
      </c>
      <c r="G83" s="2" t="s">
        <v>1195</v>
      </c>
      <c r="H83" s="13" t="s">
        <v>0</v>
      </c>
      <c r="I83" s="13" t="s">
        <v>140</v>
      </c>
      <c r="J83" s="13" t="s">
        <v>46</v>
      </c>
      <c r="K83" s="109">
        <v>44564</v>
      </c>
      <c r="Q83" s="13" t="str">
        <f t="shared" si="10"/>
        <v>PERECRD025033AUTOSERVICIONUTRESA</v>
      </c>
      <c r="T83" s="123">
        <f t="shared" si="11"/>
        <v>0</v>
      </c>
      <c r="U83" s="13">
        <f t="shared" si="12"/>
        <v>0</v>
      </c>
      <c r="V83" s="123">
        <f t="shared" si="13"/>
        <v>0</v>
      </c>
      <c r="X83" s="13">
        <v>30000000</v>
      </c>
      <c r="Y83" s="13">
        <v>40000000</v>
      </c>
      <c r="Z83" s="13">
        <v>40000000</v>
      </c>
      <c r="AA83" s="13">
        <f t="shared" si="14"/>
        <v>4.8E+22</v>
      </c>
      <c r="AB83" s="13">
        <f t="shared" si="15"/>
        <v>4.3200000000000003E+23</v>
      </c>
      <c r="AC83" s="13">
        <f t="shared" si="16"/>
        <v>3E+17</v>
      </c>
      <c r="AD83" s="110">
        <f t="shared" si="17"/>
        <v>44568</v>
      </c>
      <c r="AE83" s="13" t="e">
        <f>IF(AND(AD83&lt;=$AI$4,#REF!&lt;1),1,"")</f>
        <v>#REF!</v>
      </c>
      <c r="AF83" s="110">
        <f t="shared" ca="1" si="18"/>
        <v>44553</v>
      </c>
      <c r="AH83" s="13">
        <f t="shared" ca="1" si="19"/>
        <v>-11</v>
      </c>
    </row>
    <row r="84" spans="1:34" x14ac:dyDescent="0.25">
      <c r="A84" s="13" t="s">
        <v>3</v>
      </c>
      <c r="B84" s="13" t="s">
        <v>3</v>
      </c>
      <c r="C84" s="13" t="s">
        <v>1200</v>
      </c>
      <c r="D84" s="13" t="s">
        <v>1201</v>
      </c>
      <c r="E84" s="13" t="s">
        <v>723</v>
      </c>
      <c r="F84" s="13">
        <v>4</v>
      </c>
      <c r="G84" s="2" t="s">
        <v>1195</v>
      </c>
      <c r="H84" s="13" t="s">
        <v>0</v>
      </c>
      <c r="I84" s="13" t="s">
        <v>140</v>
      </c>
      <c r="J84" s="13" t="s">
        <v>46</v>
      </c>
      <c r="K84" s="109">
        <v>44564</v>
      </c>
      <c r="Q84" s="13" t="str">
        <f t="shared" si="10"/>
        <v>BARRCRD025034AUTOSERVICIONUTRESA</v>
      </c>
      <c r="T84" s="123">
        <f t="shared" si="11"/>
        <v>0</v>
      </c>
      <c r="U84" s="13">
        <f t="shared" si="12"/>
        <v>0</v>
      </c>
      <c r="V84" s="123">
        <f t="shared" si="13"/>
        <v>0</v>
      </c>
      <c r="X84" s="13">
        <v>30000000</v>
      </c>
      <c r="Y84" s="13">
        <v>40000000</v>
      </c>
      <c r="Z84" s="13">
        <v>40000000</v>
      </c>
      <c r="AA84" s="13">
        <f t="shared" si="14"/>
        <v>4.8E+22</v>
      </c>
      <c r="AB84" s="13">
        <f t="shared" si="15"/>
        <v>1.92E+23</v>
      </c>
      <c r="AC84" s="13">
        <f t="shared" si="16"/>
        <v>1.3333333333333333E+17</v>
      </c>
      <c r="AD84" s="110">
        <f t="shared" si="17"/>
        <v>44568</v>
      </c>
      <c r="AE84" s="13" t="e">
        <f>IF(AND(AD84&lt;=$AI$4,#REF!&lt;1),1,"")</f>
        <v>#REF!</v>
      </c>
      <c r="AF84" s="110">
        <f t="shared" ca="1" si="18"/>
        <v>44553</v>
      </c>
      <c r="AH84" s="13">
        <f t="shared" ca="1" si="19"/>
        <v>-11</v>
      </c>
    </row>
    <row r="85" spans="1:34" x14ac:dyDescent="0.25">
      <c r="A85" s="13" t="s">
        <v>4</v>
      </c>
      <c r="B85" s="13" t="s">
        <v>4</v>
      </c>
      <c r="C85" s="13" t="s">
        <v>1200</v>
      </c>
      <c r="D85" s="13" t="s">
        <v>1201</v>
      </c>
      <c r="E85" s="13" t="s">
        <v>723</v>
      </c>
      <c r="F85" s="13">
        <v>17</v>
      </c>
      <c r="G85" s="2" t="s">
        <v>1195</v>
      </c>
      <c r="H85" s="13" t="s">
        <v>0</v>
      </c>
      <c r="I85" s="13" t="s">
        <v>140</v>
      </c>
      <c r="J85" s="13" t="s">
        <v>46</v>
      </c>
      <c r="K85" s="109">
        <v>44564</v>
      </c>
      <c r="Q85" s="13" t="str">
        <f t="shared" si="10"/>
        <v>BGTACRD025034AUTOSERVICIONUTRESA</v>
      </c>
      <c r="T85" s="123">
        <f t="shared" si="11"/>
        <v>0</v>
      </c>
      <c r="U85" s="13">
        <f t="shared" si="12"/>
        <v>0</v>
      </c>
      <c r="V85" s="123">
        <f t="shared" si="13"/>
        <v>0</v>
      </c>
      <c r="X85" s="13">
        <v>30000000</v>
      </c>
      <c r="Y85" s="13">
        <v>40000000</v>
      </c>
      <c r="Z85" s="13">
        <v>40000000</v>
      </c>
      <c r="AA85" s="13">
        <f t="shared" si="14"/>
        <v>4.8E+22</v>
      </c>
      <c r="AB85" s="13">
        <f t="shared" si="15"/>
        <v>8.1600000000000003E+23</v>
      </c>
      <c r="AC85" s="13">
        <f t="shared" si="16"/>
        <v>5.6666666666666669E+17</v>
      </c>
      <c r="AD85" s="110">
        <f t="shared" si="17"/>
        <v>44568</v>
      </c>
      <c r="AE85" s="13" t="e">
        <f>IF(AND(AD85&lt;=$AI$4,#REF!&lt;1),1,"")</f>
        <v>#REF!</v>
      </c>
      <c r="AF85" s="110">
        <f t="shared" ca="1" si="18"/>
        <v>44553</v>
      </c>
      <c r="AH85" s="13">
        <f t="shared" ca="1" si="19"/>
        <v>-11</v>
      </c>
    </row>
    <row r="86" spans="1:34" x14ac:dyDescent="0.25">
      <c r="A86" s="13" t="s">
        <v>724</v>
      </c>
      <c r="B86" s="13" t="s">
        <v>724</v>
      </c>
      <c r="C86" s="13" t="s">
        <v>1200</v>
      </c>
      <c r="D86" s="13" t="s">
        <v>1201</v>
      </c>
      <c r="E86" s="13" t="s">
        <v>723</v>
      </c>
      <c r="F86" s="13">
        <v>9</v>
      </c>
      <c r="G86" s="2" t="s">
        <v>1195</v>
      </c>
      <c r="H86" s="13" t="s">
        <v>0</v>
      </c>
      <c r="I86" s="13" t="s">
        <v>145</v>
      </c>
      <c r="J86" s="13" t="s">
        <v>46</v>
      </c>
      <c r="K86" s="109">
        <v>44564</v>
      </c>
      <c r="Q86" s="13" t="str">
        <f t="shared" si="10"/>
        <v>BGTA ALTCRD025034AUTOSERVICIOALTILLANO</v>
      </c>
      <c r="T86" s="123">
        <f t="shared" si="11"/>
        <v>0</v>
      </c>
      <c r="U86" s="13">
        <f t="shared" si="12"/>
        <v>0</v>
      </c>
      <c r="V86" s="123">
        <f t="shared" si="13"/>
        <v>0</v>
      </c>
      <c r="X86" s="13">
        <v>30000000</v>
      </c>
      <c r="Y86" s="13">
        <v>40000000</v>
      </c>
      <c r="Z86" s="13">
        <v>40000000</v>
      </c>
      <c r="AA86" s="13">
        <f t="shared" si="14"/>
        <v>4.8E+22</v>
      </c>
      <c r="AB86" s="13">
        <f t="shared" si="15"/>
        <v>4.3200000000000003E+23</v>
      </c>
      <c r="AC86" s="13">
        <f t="shared" si="16"/>
        <v>3E+17</v>
      </c>
      <c r="AD86" s="110">
        <f t="shared" si="17"/>
        <v>44568</v>
      </c>
      <c r="AE86" s="13" t="e">
        <f>IF(AND(AD86&lt;=$AI$4,#REF!&lt;1),1,"")</f>
        <v>#REF!</v>
      </c>
      <c r="AF86" s="110">
        <f t="shared" ca="1" si="18"/>
        <v>44553</v>
      </c>
      <c r="AH86" s="13">
        <f t="shared" ca="1" si="19"/>
        <v>-11</v>
      </c>
    </row>
    <row r="87" spans="1:34" x14ac:dyDescent="0.25">
      <c r="A87" s="13" t="s">
        <v>149</v>
      </c>
      <c r="B87" s="13" t="s">
        <v>149</v>
      </c>
      <c r="C87" s="13" t="s">
        <v>1200</v>
      </c>
      <c r="D87" s="13" t="s">
        <v>1201</v>
      </c>
      <c r="E87" s="13" t="s">
        <v>723</v>
      </c>
      <c r="F87" s="13">
        <v>5</v>
      </c>
      <c r="G87" s="2" t="s">
        <v>1195</v>
      </c>
      <c r="H87" s="13" t="s">
        <v>0</v>
      </c>
      <c r="I87" s="13" t="s">
        <v>140</v>
      </c>
      <c r="J87" s="13" t="s">
        <v>46</v>
      </c>
      <c r="K87" s="109">
        <v>44564</v>
      </c>
      <c r="Q87" s="13" t="str">
        <f t="shared" si="10"/>
        <v>DUITCRD025034AUTOSERVICIONUTRESA</v>
      </c>
      <c r="T87" s="123">
        <f t="shared" si="11"/>
        <v>0</v>
      </c>
      <c r="U87" s="13">
        <f t="shared" si="12"/>
        <v>0</v>
      </c>
      <c r="V87" s="123">
        <f t="shared" si="13"/>
        <v>0</v>
      </c>
      <c r="X87" s="13">
        <v>30000000</v>
      </c>
      <c r="Y87" s="13">
        <v>40000000</v>
      </c>
      <c r="Z87" s="13">
        <v>40000000</v>
      </c>
      <c r="AA87" s="13">
        <f t="shared" si="14"/>
        <v>4.8E+22</v>
      </c>
      <c r="AB87" s="13">
        <f t="shared" si="15"/>
        <v>2.4E+23</v>
      </c>
      <c r="AC87" s="13">
        <f t="shared" si="16"/>
        <v>1.6666666666666666E+17</v>
      </c>
      <c r="AD87" s="110">
        <f t="shared" si="17"/>
        <v>44568</v>
      </c>
      <c r="AE87" s="13" t="e">
        <f>IF(AND(AD87&lt;=$AI$4,#REF!&lt;1),1,"")</f>
        <v>#REF!</v>
      </c>
      <c r="AF87" s="110">
        <f t="shared" ca="1" si="18"/>
        <v>44553</v>
      </c>
      <c r="AH87" s="13">
        <f t="shared" ca="1" si="19"/>
        <v>-11</v>
      </c>
    </row>
    <row r="88" spans="1:34" x14ac:dyDescent="0.25">
      <c r="A88" s="13" t="s">
        <v>150</v>
      </c>
      <c r="B88" s="13" t="s">
        <v>150</v>
      </c>
      <c r="C88" s="13" t="s">
        <v>1200</v>
      </c>
      <c r="D88" s="13" t="s">
        <v>1201</v>
      </c>
      <c r="E88" s="13" t="s">
        <v>723</v>
      </c>
      <c r="F88" s="13">
        <v>5</v>
      </c>
      <c r="G88" s="2" t="s">
        <v>1195</v>
      </c>
      <c r="H88" s="13" t="s">
        <v>0</v>
      </c>
      <c r="I88" s="13" t="s">
        <v>140</v>
      </c>
      <c r="J88" s="13" t="s">
        <v>46</v>
      </c>
      <c r="K88" s="109">
        <v>44564</v>
      </c>
      <c r="Q88" s="13" t="str">
        <f t="shared" si="10"/>
        <v>VILACRD025034AUTOSERVICIONUTRESA</v>
      </c>
      <c r="T88" s="123">
        <f t="shared" si="11"/>
        <v>0</v>
      </c>
      <c r="U88" s="13">
        <f t="shared" si="12"/>
        <v>0</v>
      </c>
      <c r="V88" s="123">
        <f t="shared" si="13"/>
        <v>0</v>
      </c>
      <c r="X88" s="13">
        <v>30000000</v>
      </c>
      <c r="Y88" s="13">
        <v>40000000</v>
      </c>
      <c r="Z88" s="13">
        <v>40000000</v>
      </c>
      <c r="AA88" s="13">
        <f t="shared" si="14"/>
        <v>4.8E+22</v>
      </c>
      <c r="AB88" s="13">
        <f t="shared" si="15"/>
        <v>2.4E+23</v>
      </c>
      <c r="AC88" s="13">
        <f t="shared" si="16"/>
        <v>1.6666666666666666E+17</v>
      </c>
      <c r="AD88" s="110">
        <f t="shared" si="17"/>
        <v>44568</v>
      </c>
      <c r="AE88" s="13" t="e">
        <f>IF(AND(AD88&lt;=$AI$4,#REF!&lt;1),1,"")</f>
        <v>#REF!</v>
      </c>
      <c r="AF88" s="110">
        <f t="shared" ca="1" si="18"/>
        <v>44553</v>
      </c>
      <c r="AH88" s="13">
        <f t="shared" ca="1" si="19"/>
        <v>-11</v>
      </c>
    </row>
    <row r="89" spans="1:34" x14ac:dyDescent="0.25">
      <c r="A89" s="13" t="s">
        <v>5</v>
      </c>
      <c r="B89" s="13" t="s">
        <v>5</v>
      </c>
      <c r="C89" s="13" t="s">
        <v>1200</v>
      </c>
      <c r="D89" s="13" t="s">
        <v>1201</v>
      </c>
      <c r="E89" s="13" t="s">
        <v>723</v>
      </c>
      <c r="F89" s="13">
        <v>6</v>
      </c>
      <c r="G89" s="2" t="s">
        <v>1195</v>
      </c>
      <c r="H89" s="13" t="s">
        <v>0</v>
      </c>
      <c r="I89" s="13" t="s">
        <v>140</v>
      </c>
      <c r="J89" s="13" t="s">
        <v>46</v>
      </c>
      <c r="K89" s="109">
        <v>44564</v>
      </c>
      <c r="Q89" s="13" t="str">
        <f t="shared" si="10"/>
        <v>BUCACRD025034AUTOSERVICIONUTRESA</v>
      </c>
      <c r="T89" s="123">
        <f t="shared" si="11"/>
        <v>0</v>
      </c>
      <c r="U89" s="13">
        <f t="shared" si="12"/>
        <v>0</v>
      </c>
      <c r="V89" s="123">
        <f t="shared" si="13"/>
        <v>0</v>
      </c>
      <c r="X89" s="13">
        <v>30000000</v>
      </c>
      <c r="Y89" s="13">
        <v>40000000</v>
      </c>
      <c r="Z89" s="13">
        <v>40000000</v>
      </c>
      <c r="AA89" s="13">
        <f t="shared" si="14"/>
        <v>4.8E+22</v>
      </c>
      <c r="AB89" s="13">
        <f t="shared" si="15"/>
        <v>2.88E+23</v>
      </c>
      <c r="AC89" s="13">
        <f t="shared" si="16"/>
        <v>2E+17</v>
      </c>
      <c r="AD89" s="110">
        <f t="shared" si="17"/>
        <v>44568</v>
      </c>
      <c r="AE89" s="13" t="e">
        <f>IF(AND(AD89&lt;=$AI$4,#REF!&lt;1),1,"")</f>
        <v>#REF!</v>
      </c>
      <c r="AF89" s="110">
        <f t="shared" ca="1" si="18"/>
        <v>44553</v>
      </c>
      <c r="AH89" s="13">
        <f t="shared" ca="1" si="19"/>
        <v>-11</v>
      </c>
    </row>
    <row r="90" spans="1:34" x14ac:dyDescent="0.25">
      <c r="A90" s="13" t="s">
        <v>6</v>
      </c>
      <c r="B90" s="13" t="s">
        <v>6</v>
      </c>
      <c r="C90" s="13" t="s">
        <v>1200</v>
      </c>
      <c r="D90" s="13" t="s">
        <v>1201</v>
      </c>
      <c r="E90" s="13" t="s">
        <v>723</v>
      </c>
      <c r="F90" s="13">
        <v>2</v>
      </c>
      <c r="G90" s="2" t="s">
        <v>1195</v>
      </c>
      <c r="H90" s="13" t="s">
        <v>0</v>
      </c>
      <c r="I90" s="13" t="s">
        <v>140</v>
      </c>
      <c r="J90" s="13" t="s">
        <v>46</v>
      </c>
      <c r="K90" s="109">
        <v>44564</v>
      </c>
      <c r="Q90" s="13" t="str">
        <f t="shared" si="10"/>
        <v>CALICRD025034AUTOSERVICIONUTRESA</v>
      </c>
      <c r="T90" s="123">
        <f t="shared" si="11"/>
        <v>0</v>
      </c>
      <c r="U90" s="13">
        <f t="shared" si="12"/>
        <v>0</v>
      </c>
      <c r="V90" s="123">
        <f t="shared" si="13"/>
        <v>0</v>
      </c>
      <c r="X90" s="13">
        <v>30000000</v>
      </c>
      <c r="Y90" s="13">
        <v>40000000</v>
      </c>
      <c r="Z90" s="13">
        <v>40000000</v>
      </c>
      <c r="AA90" s="13">
        <f t="shared" si="14"/>
        <v>4.8E+22</v>
      </c>
      <c r="AB90" s="13">
        <f t="shared" si="15"/>
        <v>9.6E+22</v>
      </c>
      <c r="AC90" s="13">
        <f t="shared" si="16"/>
        <v>6.6666666666666664E+16</v>
      </c>
      <c r="AD90" s="110">
        <f t="shared" si="17"/>
        <v>44568</v>
      </c>
      <c r="AE90" s="13" t="e">
        <f>IF(AND(AD90&lt;=$AI$4,#REF!&lt;1),1,"")</f>
        <v>#REF!</v>
      </c>
      <c r="AF90" s="110">
        <f t="shared" ca="1" si="18"/>
        <v>44553</v>
      </c>
      <c r="AH90" s="13">
        <f t="shared" ca="1" si="19"/>
        <v>-11</v>
      </c>
    </row>
    <row r="91" spans="1:34" x14ac:dyDescent="0.25">
      <c r="A91" s="13" t="s">
        <v>7</v>
      </c>
      <c r="B91" s="13" t="s">
        <v>7</v>
      </c>
      <c r="C91" s="13" t="s">
        <v>1200</v>
      </c>
      <c r="D91" s="13" t="s">
        <v>1201</v>
      </c>
      <c r="E91" s="13" t="s">
        <v>723</v>
      </c>
      <c r="F91" s="13">
        <v>4</v>
      </c>
      <c r="G91" s="2" t="s">
        <v>1195</v>
      </c>
      <c r="H91" s="13" t="s">
        <v>0</v>
      </c>
      <c r="I91" s="13" t="s">
        <v>140</v>
      </c>
      <c r="J91" s="13" t="s">
        <v>46</v>
      </c>
      <c r="K91" s="109">
        <v>44564</v>
      </c>
      <c r="Q91" s="13" t="str">
        <f t="shared" si="10"/>
        <v>CARTCRD025034AUTOSERVICIONUTRESA</v>
      </c>
      <c r="T91" s="123">
        <f t="shared" si="11"/>
        <v>0</v>
      </c>
      <c r="U91" s="13">
        <f t="shared" si="12"/>
        <v>0</v>
      </c>
      <c r="V91" s="123">
        <f t="shared" si="13"/>
        <v>0</v>
      </c>
      <c r="X91" s="13">
        <v>30000000</v>
      </c>
      <c r="Y91" s="13">
        <v>40000000</v>
      </c>
      <c r="Z91" s="13">
        <v>40000000</v>
      </c>
      <c r="AA91" s="13">
        <f t="shared" si="14"/>
        <v>4.8E+22</v>
      </c>
      <c r="AB91" s="13">
        <f t="shared" si="15"/>
        <v>1.92E+23</v>
      </c>
      <c r="AC91" s="13">
        <f t="shared" si="16"/>
        <v>1.3333333333333333E+17</v>
      </c>
      <c r="AD91" s="110">
        <f t="shared" si="17"/>
        <v>44568</v>
      </c>
      <c r="AE91" s="13" t="e">
        <f>IF(AND(AD91&lt;=$AI$4,#REF!&lt;1),1,"")</f>
        <v>#REF!</v>
      </c>
      <c r="AF91" s="110">
        <f t="shared" ca="1" si="18"/>
        <v>44553</v>
      </c>
      <c r="AH91" s="13">
        <f t="shared" ca="1" si="19"/>
        <v>-11</v>
      </c>
    </row>
    <row r="92" spans="1:34" x14ac:dyDescent="0.25">
      <c r="A92" s="13" t="s">
        <v>8</v>
      </c>
      <c r="B92" s="13" t="s">
        <v>8</v>
      </c>
      <c r="C92" s="13" t="s">
        <v>1200</v>
      </c>
      <c r="D92" s="13" t="s">
        <v>1201</v>
      </c>
      <c r="E92" s="13" t="s">
        <v>723</v>
      </c>
      <c r="F92" s="13">
        <v>32</v>
      </c>
      <c r="G92" s="2" t="s">
        <v>1195</v>
      </c>
      <c r="H92" s="13" t="s">
        <v>0</v>
      </c>
      <c r="I92" s="13" t="s">
        <v>140</v>
      </c>
      <c r="J92" s="13" t="s">
        <v>46</v>
      </c>
      <c r="K92" s="109">
        <v>44564</v>
      </c>
      <c r="Q92" s="13" t="str">
        <f t="shared" si="10"/>
        <v>IBA1CRD025034AUTOSERVICIONUTRESA</v>
      </c>
      <c r="T92" s="123">
        <f t="shared" si="11"/>
        <v>0</v>
      </c>
      <c r="U92" s="13">
        <f t="shared" si="12"/>
        <v>0</v>
      </c>
      <c r="V92" s="123">
        <f t="shared" si="13"/>
        <v>0</v>
      </c>
      <c r="X92" s="13">
        <v>30000000</v>
      </c>
      <c r="Y92" s="13">
        <v>40000000</v>
      </c>
      <c r="Z92" s="13">
        <v>40000000</v>
      </c>
      <c r="AA92" s="13">
        <f t="shared" si="14"/>
        <v>4.8E+22</v>
      </c>
      <c r="AB92" s="13">
        <f t="shared" si="15"/>
        <v>1.536E+24</v>
      </c>
      <c r="AC92" s="13">
        <f t="shared" si="16"/>
        <v>1.0666666666666666E+18</v>
      </c>
      <c r="AD92" s="110">
        <f t="shared" si="17"/>
        <v>44568</v>
      </c>
      <c r="AE92" s="13" t="e">
        <f>IF(AND(AD92&lt;=$AI$4,#REF!&lt;1),1,"")</f>
        <v>#REF!</v>
      </c>
      <c r="AF92" s="110">
        <f t="shared" ca="1" si="18"/>
        <v>44553</v>
      </c>
      <c r="AH92" s="13">
        <f t="shared" ca="1" si="19"/>
        <v>-11</v>
      </c>
    </row>
    <row r="93" spans="1:34" x14ac:dyDescent="0.25">
      <c r="A93" s="13" t="s">
        <v>9</v>
      </c>
      <c r="B93" s="13" t="s">
        <v>9</v>
      </c>
      <c r="C93" s="13" t="s">
        <v>1200</v>
      </c>
      <c r="D93" s="13" t="s">
        <v>1201</v>
      </c>
      <c r="E93" s="13" t="s">
        <v>723</v>
      </c>
      <c r="F93" s="13">
        <v>5</v>
      </c>
      <c r="G93" s="2" t="s">
        <v>1195</v>
      </c>
      <c r="H93" s="13" t="s">
        <v>0</v>
      </c>
      <c r="I93" s="13" t="s">
        <v>140</v>
      </c>
      <c r="J93" s="13" t="s">
        <v>46</v>
      </c>
      <c r="K93" s="109">
        <v>44564</v>
      </c>
      <c r="Q93" s="13" t="str">
        <f t="shared" si="10"/>
        <v>MEDECRD025034AUTOSERVICIONUTRESA</v>
      </c>
      <c r="T93" s="123">
        <f t="shared" si="11"/>
        <v>0</v>
      </c>
      <c r="U93" s="13">
        <f t="shared" si="12"/>
        <v>0</v>
      </c>
      <c r="V93" s="123">
        <f t="shared" si="13"/>
        <v>0</v>
      </c>
      <c r="X93" s="13">
        <v>30000000</v>
      </c>
      <c r="Y93" s="13">
        <v>40000000</v>
      </c>
      <c r="Z93" s="13">
        <v>40000000</v>
      </c>
      <c r="AA93" s="13">
        <f t="shared" si="14"/>
        <v>4.8E+22</v>
      </c>
      <c r="AB93" s="13">
        <f t="shared" si="15"/>
        <v>2.4E+23</v>
      </c>
      <c r="AC93" s="13">
        <f t="shared" si="16"/>
        <v>1.6666666666666666E+17</v>
      </c>
      <c r="AD93" s="110">
        <f t="shared" si="17"/>
        <v>44568</v>
      </c>
      <c r="AE93" s="13" t="e">
        <f>IF(AND(AD93&lt;=$AI$4,#REF!&lt;1),1,"")</f>
        <v>#REF!</v>
      </c>
      <c r="AF93" s="110">
        <f t="shared" ca="1" si="18"/>
        <v>44553</v>
      </c>
      <c r="AH93" s="13">
        <f t="shared" ca="1" si="19"/>
        <v>-11</v>
      </c>
    </row>
    <row r="94" spans="1:34" x14ac:dyDescent="0.25">
      <c r="A94" s="13" t="s">
        <v>10</v>
      </c>
      <c r="B94" s="13" t="s">
        <v>10</v>
      </c>
      <c r="C94" s="13" t="s">
        <v>1200</v>
      </c>
      <c r="D94" s="13" t="s">
        <v>1201</v>
      </c>
      <c r="E94" s="13" t="s">
        <v>723</v>
      </c>
      <c r="F94" s="13">
        <v>13</v>
      </c>
      <c r="G94" s="2" t="s">
        <v>1195</v>
      </c>
      <c r="H94" s="13" t="s">
        <v>0</v>
      </c>
      <c r="I94" s="13" t="s">
        <v>140</v>
      </c>
      <c r="J94" s="13" t="s">
        <v>46</v>
      </c>
      <c r="K94" s="109">
        <v>44564</v>
      </c>
      <c r="Q94" s="13" t="str">
        <f t="shared" si="10"/>
        <v>PERECRD025034AUTOSERVICIONUTRESA</v>
      </c>
      <c r="T94" s="123">
        <f t="shared" si="11"/>
        <v>0</v>
      </c>
      <c r="U94" s="13">
        <f t="shared" si="12"/>
        <v>0</v>
      </c>
      <c r="V94" s="123">
        <f t="shared" si="13"/>
        <v>0</v>
      </c>
      <c r="X94" s="13">
        <v>30000000</v>
      </c>
      <c r="Y94" s="13">
        <v>40000000</v>
      </c>
      <c r="Z94" s="13">
        <v>40000000</v>
      </c>
      <c r="AA94" s="13">
        <f t="shared" si="14"/>
        <v>4.8E+22</v>
      </c>
      <c r="AB94" s="13">
        <f t="shared" si="15"/>
        <v>6.2400000000000003E+23</v>
      </c>
      <c r="AC94" s="13">
        <f t="shared" si="16"/>
        <v>4.3333333333333338E+17</v>
      </c>
      <c r="AD94" s="110">
        <f t="shared" si="17"/>
        <v>44568</v>
      </c>
      <c r="AE94" s="13" t="e">
        <f>IF(AND(AD94&lt;=$AI$4,#REF!&lt;1),1,"")</f>
        <v>#REF!</v>
      </c>
      <c r="AF94" s="110">
        <f t="shared" ca="1" si="18"/>
        <v>44553</v>
      </c>
      <c r="AH94" s="13">
        <f t="shared" ca="1" si="19"/>
        <v>-11</v>
      </c>
    </row>
    <row r="95" spans="1:34" x14ac:dyDescent="0.25">
      <c r="A95" s="13" t="s">
        <v>4</v>
      </c>
      <c r="B95" s="13" t="s">
        <v>4</v>
      </c>
      <c r="C95" s="13" t="s">
        <v>1193</v>
      </c>
      <c r="D95" s="13" t="s">
        <v>1194</v>
      </c>
      <c r="E95" s="13" t="s">
        <v>723</v>
      </c>
      <c r="F95" s="13">
        <v>5</v>
      </c>
      <c r="G95" s="2" t="s">
        <v>1195</v>
      </c>
      <c r="H95" s="13" t="s">
        <v>0</v>
      </c>
      <c r="I95" s="13" t="s">
        <v>140</v>
      </c>
      <c r="J95" s="13" t="s">
        <v>139</v>
      </c>
      <c r="K95" s="109">
        <v>44564</v>
      </c>
      <c r="Q95" s="13" t="str">
        <f t="shared" si="10"/>
        <v>BGTACRD025035AUTOSERVICIONUTRESA</v>
      </c>
      <c r="T95" s="123">
        <f t="shared" si="11"/>
        <v>0</v>
      </c>
      <c r="U95" s="13">
        <f t="shared" si="12"/>
        <v>0</v>
      </c>
      <c r="V95" s="123">
        <f t="shared" si="13"/>
        <v>0</v>
      </c>
      <c r="X95" s="13">
        <v>5000000</v>
      </c>
      <c r="Y95" s="13">
        <v>100000000</v>
      </c>
      <c r="Z95" s="13">
        <v>100000000</v>
      </c>
      <c r="AA95" s="13">
        <f t="shared" si="14"/>
        <v>4.9999999999999996E+22</v>
      </c>
      <c r="AB95" s="13">
        <f t="shared" si="15"/>
        <v>2.5E+23</v>
      </c>
      <c r="AC95" s="13">
        <f t="shared" si="16"/>
        <v>1.736111111111111E+17</v>
      </c>
      <c r="AD95" s="110">
        <f t="shared" si="17"/>
        <v>44568</v>
      </c>
      <c r="AE95" s="13" t="e">
        <f>IF(AND(AD95&lt;=$AI$4,#REF!&lt;1),1,"")</f>
        <v>#REF!</v>
      </c>
      <c r="AF95" s="110">
        <f t="shared" ca="1" si="18"/>
        <v>44553</v>
      </c>
      <c r="AH95" s="13">
        <f t="shared" ca="1" si="19"/>
        <v>-11</v>
      </c>
    </row>
    <row r="96" spans="1:34" x14ac:dyDescent="0.25">
      <c r="A96" s="13" t="s">
        <v>724</v>
      </c>
      <c r="B96" s="13" t="s">
        <v>724</v>
      </c>
      <c r="C96" s="13" t="s">
        <v>1193</v>
      </c>
      <c r="D96" s="13" t="s">
        <v>1194</v>
      </c>
      <c r="E96" s="13" t="s">
        <v>723</v>
      </c>
      <c r="F96" s="13">
        <v>3</v>
      </c>
      <c r="G96" s="2" t="s">
        <v>1195</v>
      </c>
      <c r="H96" s="13" t="s">
        <v>0</v>
      </c>
      <c r="I96" s="13" t="s">
        <v>145</v>
      </c>
      <c r="J96" s="13" t="s">
        <v>139</v>
      </c>
      <c r="K96" s="109">
        <v>44564</v>
      </c>
      <c r="Q96" s="13" t="str">
        <f t="shared" si="10"/>
        <v>BGTA ALTCRD025035AUTOSERVICIOALTILLANO</v>
      </c>
      <c r="T96" s="123">
        <f t="shared" si="11"/>
        <v>0</v>
      </c>
      <c r="U96" s="13">
        <f t="shared" si="12"/>
        <v>0</v>
      </c>
      <c r="V96" s="123">
        <f t="shared" si="13"/>
        <v>0</v>
      </c>
      <c r="X96" s="13">
        <v>5000000</v>
      </c>
      <c r="Y96" s="13">
        <v>100000000</v>
      </c>
      <c r="Z96" s="13">
        <v>100000000</v>
      </c>
      <c r="AA96" s="13">
        <f t="shared" si="14"/>
        <v>4.9999999999999996E+22</v>
      </c>
      <c r="AB96" s="13">
        <f t="shared" si="15"/>
        <v>1.4999999999999999E+23</v>
      </c>
      <c r="AC96" s="13">
        <f t="shared" si="16"/>
        <v>1.0416666666666666E+17</v>
      </c>
      <c r="AD96" s="110">
        <f t="shared" si="17"/>
        <v>44568</v>
      </c>
      <c r="AE96" s="13" t="e">
        <f>IF(AND(AD96&lt;=$AI$4,#REF!&lt;1),1,"")</f>
        <v>#REF!</v>
      </c>
      <c r="AF96" s="110">
        <f t="shared" ca="1" si="18"/>
        <v>44553</v>
      </c>
      <c r="AH96" s="13">
        <f t="shared" ca="1" si="19"/>
        <v>-11</v>
      </c>
    </row>
    <row r="97" spans="1:34" x14ac:dyDescent="0.25">
      <c r="A97" s="13" t="s">
        <v>149</v>
      </c>
      <c r="B97" s="13" t="s">
        <v>149</v>
      </c>
      <c r="C97" s="13" t="s">
        <v>1193</v>
      </c>
      <c r="D97" s="13" t="s">
        <v>1194</v>
      </c>
      <c r="E97" s="13" t="s">
        <v>723</v>
      </c>
      <c r="F97" s="13">
        <v>3</v>
      </c>
      <c r="G97" s="2" t="s">
        <v>1195</v>
      </c>
      <c r="H97" s="13" t="s">
        <v>0</v>
      </c>
      <c r="I97" s="13" t="s">
        <v>140</v>
      </c>
      <c r="J97" s="13" t="s">
        <v>139</v>
      </c>
      <c r="K97" s="109">
        <v>44564</v>
      </c>
      <c r="Q97" s="13" t="str">
        <f t="shared" si="10"/>
        <v>DUITCRD025035AUTOSERVICIONUTRESA</v>
      </c>
      <c r="T97" s="123">
        <f t="shared" si="11"/>
        <v>0</v>
      </c>
      <c r="U97" s="13">
        <f t="shared" si="12"/>
        <v>0</v>
      </c>
      <c r="V97" s="123">
        <f t="shared" si="13"/>
        <v>0</v>
      </c>
      <c r="X97" s="13">
        <v>5000000</v>
      </c>
      <c r="Y97" s="13">
        <v>100000000</v>
      </c>
      <c r="Z97" s="13">
        <v>100000000</v>
      </c>
      <c r="AA97" s="13">
        <f t="shared" si="14"/>
        <v>4.9999999999999996E+22</v>
      </c>
      <c r="AB97" s="13">
        <f t="shared" si="15"/>
        <v>1.4999999999999999E+23</v>
      </c>
      <c r="AC97" s="13">
        <f t="shared" si="16"/>
        <v>1.0416666666666666E+17</v>
      </c>
      <c r="AD97" s="110">
        <f t="shared" si="17"/>
        <v>44568</v>
      </c>
      <c r="AE97" s="13" t="e">
        <f>IF(AND(AD97&lt;=$AI$4,#REF!&lt;1),1,"")</f>
        <v>#REF!</v>
      </c>
      <c r="AF97" s="110">
        <f t="shared" ca="1" si="18"/>
        <v>44553</v>
      </c>
      <c r="AH97" s="13">
        <f t="shared" ca="1" si="19"/>
        <v>-11</v>
      </c>
    </row>
    <row r="98" spans="1:34" x14ac:dyDescent="0.25">
      <c r="A98" s="13" t="s">
        <v>6</v>
      </c>
      <c r="B98" s="13" t="s">
        <v>6</v>
      </c>
      <c r="C98" s="13" t="s">
        <v>1193</v>
      </c>
      <c r="D98" s="13" t="s">
        <v>1194</v>
      </c>
      <c r="E98" s="13" t="s">
        <v>723</v>
      </c>
      <c r="F98" s="13">
        <v>1</v>
      </c>
      <c r="G98" s="2" t="s">
        <v>1195</v>
      </c>
      <c r="H98" s="13" t="s">
        <v>0</v>
      </c>
      <c r="I98" s="13" t="s">
        <v>140</v>
      </c>
      <c r="J98" s="13" t="s">
        <v>139</v>
      </c>
      <c r="K98" s="109">
        <v>44564</v>
      </c>
      <c r="Q98" s="13" t="str">
        <f t="shared" si="10"/>
        <v>CALICRD025035AUTOSERVICIONUTRESA</v>
      </c>
      <c r="T98" s="123">
        <f t="shared" si="11"/>
        <v>0</v>
      </c>
      <c r="U98" s="13">
        <f t="shared" si="12"/>
        <v>0</v>
      </c>
      <c r="V98" s="123">
        <f t="shared" si="13"/>
        <v>0</v>
      </c>
      <c r="X98" s="13">
        <v>5000000</v>
      </c>
      <c r="Y98" s="13">
        <v>100000000</v>
      </c>
      <c r="Z98" s="13">
        <v>100000000</v>
      </c>
      <c r="AA98" s="13">
        <f t="shared" si="14"/>
        <v>4.9999999999999996E+22</v>
      </c>
      <c r="AB98" s="13">
        <f t="shared" si="15"/>
        <v>4.9999999999999996E+22</v>
      </c>
      <c r="AC98" s="13">
        <f t="shared" si="16"/>
        <v>3.472222222222222E+16</v>
      </c>
      <c r="AD98" s="110">
        <f t="shared" si="17"/>
        <v>44568</v>
      </c>
      <c r="AE98" s="13" t="e">
        <f>IF(AND(AD98&lt;=$AI$4,#REF!&lt;1),1,"")</f>
        <v>#REF!</v>
      </c>
      <c r="AF98" s="110">
        <f t="shared" ca="1" si="18"/>
        <v>44553</v>
      </c>
      <c r="AH98" s="13">
        <f t="shared" ca="1" si="19"/>
        <v>-11</v>
      </c>
    </row>
    <row r="99" spans="1:34" x14ac:dyDescent="0.25">
      <c r="A99" s="13" t="s">
        <v>8</v>
      </c>
      <c r="B99" s="13" t="s">
        <v>8</v>
      </c>
      <c r="C99" s="13" t="s">
        <v>1193</v>
      </c>
      <c r="D99" s="13" t="s">
        <v>1194</v>
      </c>
      <c r="E99" s="13" t="s">
        <v>723</v>
      </c>
      <c r="F99" s="13">
        <v>19</v>
      </c>
      <c r="G99" s="2" t="s">
        <v>1195</v>
      </c>
      <c r="H99" s="13" t="s">
        <v>0</v>
      </c>
      <c r="I99" s="13" t="s">
        <v>140</v>
      </c>
      <c r="J99" s="13" t="s">
        <v>139</v>
      </c>
      <c r="K99" s="109">
        <v>44564</v>
      </c>
      <c r="Q99" s="13" t="str">
        <f t="shared" si="10"/>
        <v>IBA1CRD025035AUTOSERVICIONUTRESA</v>
      </c>
      <c r="T99" s="123">
        <f t="shared" si="11"/>
        <v>0</v>
      </c>
      <c r="U99" s="13">
        <f t="shared" si="12"/>
        <v>0</v>
      </c>
      <c r="V99" s="123">
        <f t="shared" si="13"/>
        <v>0</v>
      </c>
      <c r="X99" s="13">
        <v>5000000</v>
      </c>
      <c r="Y99" s="13">
        <v>100000000</v>
      </c>
      <c r="Z99" s="13">
        <v>100000000</v>
      </c>
      <c r="AA99" s="13">
        <f t="shared" si="14"/>
        <v>4.9999999999999996E+22</v>
      </c>
      <c r="AB99" s="13">
        <f t="shared" si="15"/>
        <v>9.499999999999999E+23</v>
      </c>
      <c r="AC99" s="13">
        <f t="shared" si="16"/>
        <v>6.5972222222222221E+17</v>
      </c>
      <c r="AD99" s="110">
        <f t="shared" si="17"/>
        <v>44568</v>
      </c>
      <c r="AE99" s="13" t="e">
        <f>IF(AND(AD99&lt;=$AI$4,#REF!&lt;1),1,"")</f>
        <v>#REF!</v>
      </c>
      <c r="AF99" s="110">
        <f t="shared" ca="1" si="18"/>
        <v>44553</v>
      </c>
      <c r="AH99" s="13">
        <f t="shared" ca="1" si="19"/>
        <v>-11</v>
      </c>
    </row>
    <row r="100" spans="1:34" x14ac:dyDescent="0.25">
      <c r="A100" s="13" t="s">
        <v>10</v>
      </c>
      <c r="B100" s="13" t="s">
        <v>10</v>
      </c>
      <c r="C100" s="13" t="s">
        <v>1193</v>
      </c>
      <c r="D100" s="13" t="s">
        <v>1194</v>
      </c>
      <c r="E100" s="13" t="s">
        <v>723</v>
      </c>
      <c r="F100" s="13">
        <v>5</v>
      </c>
      <c r="G100" s="2" t="s">
        <v>1195</v>
      </c>
      <c r="H100" s="13" t="s">
        <v>0</v>
      </c>
      <c r="I100" s="13" t="s">
        <v>140</v>
      </c>
      <c r="J100" s="13" t="s">
        <v>139</v>
      </c>
      <c r="K100" s="109">
        <v>44564</v>
      </c>
      <c r="Q100" s="13" t="str">
        <f t="shared" si="10"/>
        <v>PERECRD025035AUTOSERVICIONUTRESA</v>
      </c>
      <c r="T100" s="123">
        <f t="shared" si="11"/>
        <v>0</v>
      </c>
      <c r="U100" s="13">
        <f t="shared" si="12"/>
        <v>0</v>
      </c>
      <c r="V100" s="123">
        <f t="shared" si="13"/>
        <v>0</v>
      </c>
      <c r="X100" s="13">
        <v>5000000</v>
      </c>
      <c r="Y100" s="13">
        <v>100000000</v>
      </c>
      <c r="Z100" s="13">
        <v>100000000</v>
      </c>
      <c r="AA100" s="13">
        <f t="shared" si="14"/>
        <v>4.9999999999999996E+22</v>
      </c>
      <c r="AB100" s="13">
        <f t="shared" si="15"/>
        <v>2.5E+23</v>
      </c>
      <c r="AC100" s="13">
        <f t="shared" si="16"/>
        <v>1.736111111111111E+17</v>
      </c>
      <c r="AD100" s="110">
        <f t="shared" si="17"/>
        <v>44568</v>
      </c>
      <c r="AE100" s="13" t="e">
        <f>IF(AND(AD100&lt;=$AI$4,#REF!&lt;1),1,"")</f>
        <v>#REF!</v>
      </c>
      <c r="AF100" s="110">
        <f t="shared" ca="1" si="18"/>
        <v>44553</v>
      </c>
      <c r="AH100" s="13">
        <f t="shared" ca="1" si="19"/>
        <v>-11</v>
      </c>
    </row>
    <row r="101" spans="1:34" x14ac:dyDescent="0.25">
      <c r="A101" s="13" t="s">
        <v>4</v>
      </c>
      <c r="B101" s="13" t="s">
        <v>4</v>
      </c>
      <c r="C101" s="13" t="s">
        <v>1202</v>
      </c>
      <c r="D101" s="13" t="s">
        <v>1203</v>
      </c>
      <c r="E101" s="13" t="s">
        <v>723</v>
      </c>
      <c r="F101" s="13">
        <v>1</v>
      </c>
      <c r="G101" s="2" t="s">
        <v>1195</v>
      </c>
      <c r="H101" s="13" t="s">
        <v>0</v>
      </c>
      <c r="I101" s="13" t="s">
        <v>140</v>
      </c>
      <c r="J101" s="13" t="s">
        <v>139</v>
      </c>
      <c r="K101" s="109">
        <v>44564</v>
      </c>
      <c r="Q101" s="13" t="str">
        <f t="shared" si="10"/>
        <v>BGTACRD025036AUTOSERVICIONUTRESA</v>
      </c>
      <c r="T101" s="123">
        <f t="shared" si="11"/>
        <v>0</v>
      </c>
      <c r="U101" s="13">
        <f t="shared" si="12"/>
        <v>0</v>
      </c>
      <c r="V101" s="123">
        <f t="shared" si="13"/>
        <v>0</v>
      </c>
      <c r="X101" s="13">
        <v>1000000</v>
      </c>
      <c r="Y101" s="13">
        <v>40000000</v>
      </c>
      <c r="Z101" s="13">
        <v>40000000</v>
      </c>
      <c r="AA101" s="13">
        <f t="shared" si="14"/>
        <v>1.6E+21</v>
      </c>
      <c r="AB101" s="13">
        <f t="shared" si="15"/>
        <v>1.6E+21</v>
      </c>
      <c r="AC101" s="13">
        <f t="shared" si="16"/>
        <v>1111111111111111.1</v>
      </c>
      <c r="AD101" s="110">
        <f t="shared" si="17"/>
        <v>44568</v>
      </c>
      <c r="AE101" s="13" t="e">
        <f>IF(AND(AD101&lt;=$AI$4,#REF!&lt;1),1,"")</f>
        <v>#REF!</v>
      </c>
      <c r="AF101" s="110">
        <f t="shared" ca="1" si="18"/>
        <v>44553</v>
      </c>
      <c r="AH101" s="13">
        <f t="shared" ca="1" si="19"/>
        <v>-11</v>
      </c>
    </row>
    <row r="102" spans="1:34" x14ac:dyDescent="0.25">
      <c r="A102" s="13" t="s">
        <v>6</v>
      </c>
      <c r="B102" s="13" t="s">
        <v>6</v>
      </c>
      <c r="C102" s="13" t="s">
        <v>1202</v>
      </c>
      <c r="D102" s="13" t="s">
        <v>1203</v>
      </c>
      <c r="E102" s="13" t="s">
        <v>723</v>
      </c>
      <c r="F102" s="13">
        <v>2</v>
      </c>
      <c r="G102" s="2" t="s">
        <v>1195</v>
      </c>
      <c r="H102" s="13" t="s">
        <v>0</v>
      </c>
      <c r="I102" s="13" t="s">
        <v>140</v>
      </c>
      <c r="J102" s="13" t="s">
        <v>139</v>
      </c>
      <c r="K102" s="109">
        <v>44564</v>
      </c>
      <c r="Q102" s="13" t="str">
        <f t="shared" si="10"/>
        <v>CALICRD025036AUTOSERVICIONUTRESA</v>
      </c>
      <c r="T102" s="123">
        <f t="shared" si="11"/>
        <v>0</v>
      </c>
      <c r="U102" s="13">
        <f t="shared" si="12"/>
        <v>0</v>
      </c>
      <c r="V102" s="123">
        <f t="shared" si="13"/>
        <v>0</v>
      </c>
      <c r="X102" s="13">
        <v>1000000</v>
      </c>
      <c r="Y102" s="13">
        <v>40000000</v>
      </c>
      <c r="Z102" s="13">
        <v>40000000</v>
      </c>
      <c r="AA102" s="13">
        <f t="shared" si="14"/>
        <v>1.6E+21</v>
      </c>
      <c r="AB102" s="13">
        <f t="shared" si="15"/>
        <v>3.2E+21</v>
      </c>
      <c r="AC102" s="13">
        <f t="shared" si="16"/>
        <v>2222222222222222.3</v>
      </c>
      <c r="AD102" s="110">
        <f t="shared" si="17"/>
        <v>44568</v>
      </c>
      <c r="AE102" s="13" t="e">
        <f>IF(AND(AD102&lt;=$AI$4,#REF!&lt;1),1,"")</f>
        <v>#REF!</v>
      </c>
      <c r="AF102" s="110">
        <f t="shared" ca="1" si="18"/>
        <v>44553</v>
      </c>
      <c r="AH102" s="13">
        <f t="shared" ca="1" si="19"/>
        <v>-11</v>
      </c>
    </row>
    <row r="103" spans="1:34" x14ac:dyDescent="0.25">
      <c r="A103" s="13" t="s">
        <v>9</v>
      </c>
      <c r="B103" s="13" t="s">
        <v>9</v>
      </c>
      <c r="C103" s="13" t="s">
        <v>1202</v>
      </c>
      <c r="D103" s="13" t="s">
        <v>1203</v>
      </c>
      <c r="E103" s="13" t="s">
        <v>723</v>
      </c>
      <c r="F103" s="13">
        <v>2</v>
      </c>
      <c r="G103" s="2" t="s">
        <v>1195</v>
      </c>
      <c r="H103" s="13" t="s">
        <v>0</v>
      </c>
      <c r="I103" s="13" t="s">
        <v>140</v>
      </c>
      <c r="J103" s="13" t="s">
        <v>139</v>
      </c>
      <c r="K103" s="109">
        <v>44564</v>
      </c>
      <c r="Q103" s="13" t="str">
        <f t="shared" si="10"/>
        <v>MEDECRD025036AUTOSERVICIONUTRESA</v>
      </c>
      <c r="T103" s="123">
        <f t="shared" si="11"/>
        <v>0</v>
      </c>
      <c r="U103" s="13">
        <f t="shared" si="12"/>
        <v>0</v>
      </c>
      <c r="V103" s="123">
        <f t="shared" si="13"/>
        <v>0</v>
      </c>
      <c r="X103" s="13">
        <v>1000000</v>
      </c>
      <c r="Y103" s="13">
        <v>40000000</v>
      </c>
      <c r="Z103" s="13">
        <v>40000000</v>
      </c>
      <c r="AA103" s="13">
        <f t="shared" si="14"/>
        <v>1.6E+21</v>
      </c>
      <c r="AB103" s="13">
        <f t="shared" si="15"/>
        <v>3.2E+21</v>
      </c>
      <c r="AC103" s="13">
        <f t="shared" si="16"/>
        <v>2222222222222222.3</v>
      </c>
      <c r="AD103" s="110">
        <f t="shared" si="17"/>
        <v>44568</v>
      </c>
      <c r="AE103" s="13" t="e">
        <f>IF(AND(AD103&lt;=$AI$4,#REF!&lt;1),1,"")</f>
        <v>#REF!</v>
      </c>
      <c r="AF103" s="110">
        <f t="shared" ca="1" si="18"/>
        <v>44553</v>
      </c>
      <c r="AH103" s="13">
        <f t="shared" ca="1" si="19"/>
        <v>-11</v>
      </c>
    </row>
    <row r="104" spans="1:34" x14ac:dyDescent="0.25">
      <c r="A104" s="13" t="s">
        <v>3</v>
      </c>
      <c r="B104" s="13" t="s">
        <v>3</v>
      </c>
      <c r="C104" s="13" t="s">
        <v>1204</v>
      </c>
      <c r="D104" s="13" t="s">
        <v>1205</v>
      </c>
      <c r="E104" s="13" t="s">
        <v>723</v>
      </c>
      <c r="F104" s="13">
        <v>10</v>
      </c>
      <c r="G104" s="2" t="s">
        <v>1195</v>
      </c>
      <c r="H104" s="13" t="s">
        <v>0</v>
      </c>
      <c r="I104" s="13" t="s">
        <v>140</v>
      </c>
      <c r="J104" s="13" t="s">
        <v>139</v>
      </c>
      <c r="K104" s="109">
        <v>44564</v>
      </c>
      <c r="Q104" s="13" t="str">
        <f t="shared" si="10"/>
        <v>BARRCRD025037AUTOSERVICIONUTRESA</v>
      </c>
      <c r="T104" s="123">
        <f t="shared" si="11"/>
        <v>0</v>
      </c>
      <c r="U104" s="13">
        <f t="shared" si="12"/>
        <v>0</v>
      </c>
      <c r="V104" s="123">
        <f t="shared" si="13"/>
        <v>0</v>
      </c>
      <c r="X104" s="13">
        <v>5000000</v>
      </c>
      <c r="Y104" s="13">
        <v>30000000</v>
      </c>
      <c r="Z104" s="13">
        <v>30000000</v>
      </c>
      <c r="AA104" s="13">
        <f t="shared" si="14"/>
        <v>4.5E+21</v>
      </c>
      <c r="AB104" s="13">
        <f t="shared" si="15"/>
        <v>4.4999999999999998E+22</v>
      </c>
      <c r="AC104" s="13">
        <f t="shared" si="16"/>
        <v>3.125E+16</v>
      </c>
      <c r="AD104" s="110">
        <f t="shared" si="17"/>
        <v>44568</v>
      </c>
      <c r="AE104" s="13" t="e">
        <f>IF(AND(AD104&lt;=$AI$4,#REF!&lt;1),1,"")</f>
        <v>#REF!</v>
      </c>
      <c r="AF104" s="110">
        <f t="shared" ca="1" si="18"/>
        <v>44553</v>
      </c>
      <c r="AH104" s="13">
        <f t="shared" ca="1" si="19"/>
        <v>-11</v>
      </c>
    </row>
    <row r="105" spans="1:34" x14ac:dyDescent="0.25">
      <c r="A105" s="13" t="s">
        <v>4</v>
      </c>
      <c r="B105" s="13" t="s">
        <v>4</v>
      </c>
      <c r="C105" s="13" t="s">
        <v>1204</v>
      </c>
      <c r="D105" s="13" t="s">
        <v>1205</v>
      </c>
      <c r="E105" s="13" t="s">
        <v>723</v>
      </c>
      <c r="F105" s="13">
        <v>90</v>
      </c>
      <c r="G105" s="2" t="s">
        <v>1195</v>
      </c>
      <c r="H105" s="13" t="s">
        <v>0</v>
      </c>
      <c r="I105" s="13" t="s">
        <v>140</v>
      </c>
      <c r="J105" s="13" t="s">
        <v>139</v>
      </c>
      <c r="K105" s="109">
        <v>44564</v>
      </c>
      <c r="Q105" s="13" t="str">
        <f t="shared" si="10"/>
        <v>BGTACRD025037AUTOSERVICIONUTRESA</v>
      </c>
      <c r="T105" s="123">
        <f t="shared" si="11"/>
        <v>0</v>
      </c>
      <c r="U105" s="13">
        <f t="shared" si="12"/>
        <v>0</v>
      </c>
      <c r="V105" s="123">
        <f t="shared" si="13"/>
        <v>0</v>
      </c>
      <c r="X105" s="13">
        <v>5000000</v>
      </c>
      <c r="Y105" s="13">
        <v>30000000</v>
      </c>
      <c r="Z105" s="13">
        <v>30000000</v>
      </c>
      <c r="AA105" s="13">
        <f t="shared" si="14"/>
        <v>4.5E+21</v>
      </c>
      <c r="AB105" s="13">
        <f t="shared" si="15"/>
        <v>4.0500000000000001E+23</v>
      </c>
      <c r="AC105" s="13">
        <f t="shared" si="16"/>
        <v>2.8125E+17</v>
      </c>
      <c r="AD105" s="110">
        <f t="shared" si="17"/>
        <v>44568</v>
      </c>
      <c r="AE105" s="13" t="e">
        <f>IF(AND(AD105&lt;=$AI$4,#REF!&lt;1),1,"")</f>
        <v>#REF!</v>
      </c>
      <c r="AF105" s="110">
        <f t="shared" ca="1" si="18"/>
        <v>44553</v>
      </c>
      <c r="AH105" s="13">
        <f t="shared" ca="1" si="19"/>
        <v>-11</v>
      </c>
    </row>
    <row r="106" spans="1:34" x14ac:dyDescent="0.25">
      <c r="A106" s="13" t="s">
        <v>724</v>
      </c>
      <c r="B106" s="13" t="s">
        <v>724</v>
      </c>
      <c r="C106" s="13" t="s">
        <v>1204</v>
      </c>
      <c r="D106" s="13" t="s">
        <v>1205</v>
      </c>
      <c r="E106" s="13" t="s">
        <v>723</v>
      </c>
      <c r="F106" s="13">
        <v>30</v>
      </c>
      <c r="G106" s="2" t="s">
        <v>1195</v>
      </c>
      <c r="H106" s="13" t="s">
        <v>0</v>
      </c>
      <c r="I106" s="13" t="s">
        <v>145</v>
      </c>
      <c r="J106" s="13" t="s">
        <v>139</v>
      </c>
      <c r="K106" s="109">
        <v>44564</v>
      </c>
      <c r="Q106" s="13" t="str">
        <f t="shared" si="10"/>
        <v>BGTA ALTCRD025037AUTOSERVICIOALTILLANO</v>
      </c>
      <c r="T106" s="123">
        <f t="shared" si="11"/>
        <v>0</v>
      </c>
      <c r="U106" s="13">
        <f t="shared" si="12"/>
        <v>0</v>
      </c>
      <c r="V106" s="123">
        <f t="shared" si="13"/>
        <v>0</v>
      </c>
      <c r="X106" s="13">
        <v>5000000</v>
      </c>
      <c r="Y106" s="13">
        <v>30000000</v>
      </c>
      <c r="Z106" s="13">
        <v>30000000</v>
      </c>
      <c r="AA106" s="13">
        <f t="shared" si="14"/>
        <v>4.5E+21</v>
      </c>
      <c r="AB106" s="13">
        <f t="shared" si="15"/>
        <v>1.3499999999999999E+23</v>
      </c>
      <c r="AC106" s="13">
        <f t="shared" si="16"/>
        <v>9.375E+16</v>
      </c>
      <c r="AD106" s="110">
        <f t="shared" si="17"/>
        <v>44568</v>
      </c>
      <c r="AE106" s="13" t="e">
        <f>IF(AND(AD106&lt;=$AI$4,#REF!&lt;1),1,"")</f>
        <v>#REF!</v>
      </c>
      <c r="AF106" s="110">
        <f t="shared" ca="1" si="18"/>
        <v>44553</v>
      </c>
      <c r="AH106" s="13">
        <f t="shared" ca="1" si="19"/>
        <v>-11</v>
      </c>
    </row>
    <row r="107" spans="1:34" x14ac:dyDescent="0.25">
      <c r="A107" s="13" t="s">
        <v>149</v>
      </c>
      <c r="B107" s="13" t="s">
        <v>149</v>
      </c>
      <c r="C107" s="13" t="s">
        <v>1204</v>
      </c>
      <c r="D107" s="13" t="s">
        <v>1205</v>
      </c>
      <c r="E107" s="13" t="s">
        <v>723</v>
      </c>
      <c r="F107" s="13">
        <v>20</v>
      </c>
      <c r="G107" s="2" t="s">
        <v>1195</v>
      </c>
      <c r="H107" s="13" t="s">
        <v>0</v>
      </c>
      <c r="I107" s="13" t="s">
        <v>140</v>
      </c>
      <c r="J107" s="13" t="s">
        <v>139</v>
      </c>
      <c r="K107" s="109">
        <v>44564</v>
      </c>
      <c r="Q107" s="13" t="str">
        <f t="shared" si="10"/>
        <v>DUITCRD025037AUTOSERVICIONUTRESA</v>
      </c>
      <c r="T107" s="123">
        <f t="shared" si="11"/>
        <v>0</v>
      </c>
      <c r="U107" s="13">
        <f t="shared" si="12"/>
        <v>0</v>
      </c>
      <c r="V107" s="123">
        <f t="shared" si="13"/>
        <v>0</v>
      </c>
      <c r="X107" s="13">
        <v>5000000</v>
      </c>
      <c r="Y107" s="13">
        <v>30000000</v>
      </c>
      <c r="Z107" s="13">
        <v>30000000</v>
      </c>
      <c r="AA107" s="13">
        <f t="shared" si="14"/>
        <v>4.5E+21</v>
      </c>
      <c r="AB107" s="13">
        <f t="shared" si="15"/>
        <v>8.9999999999999996E+22</v>
      </c>
      <c r="AC107" s="13">
        <f t="shared" si="16"/>
        <v>6.25E+16</v>
      </c>
      <c r="AD107" s="110">
        <f t="shared" si="17"/>
        <v>44568</v>
      </c>
      <c r="AE107" s="13" t="e">
        <f>IF(AND(AD107&lt;=$AI$4,#REF!&lt;1),1,"")</f>
        <v>#REF!</v>
      </c>
      <c r="AF107" s="110">
        <f t="shared" ca="1" si="18"/>
        <v>44553</v>
      </c>
      <c r="AH107" s="13">
        <f t="shared" ca="1" si="19"/>
        <v>-11</v>
      </c>
    </row>
    <row r="108" spans="1:34" x14ac:dyDescent="0.25">
      <c r="A108" s="13" t="s">
        <v>150</v>
      </c>
      <c r="B108" s="13" t="s">
        <v>150</v>
      </c>
      <c r="C108" s="13" t="s">
        <v>1204</v>
      </c>
      <c r="D108" s="13" t="s">
        <v>1205</v>
      </c>
      <c r="E108" s="13" t="s">
        <v>723</v>
      </c>
      <c r="F108" s="13">
        <v>20</v>
      </c>
      <c r="G108" s="2" t="s">
        <v>1195</v>
      </c>
      <c r="H108" s="13" t="s">
        <v>0</v>
      </c>
      <c r="I108" s="13" t="s">
        <v>140</v>
      </c>
      <c r="J108" s="13" t="s">
        <v>139</v>
      </c>
      <c r="K108" s="109">
        <v>44564</v>
      </c>
      <c r="Q108" s="13" t="str">
        <f t="shared" si="10"/>
        <v>VILACRD025037AUTOSERVICIONUTRESA</v>
      </c>
      <c r="T108" s="123">
        <f t="shared" si="11"/>
        <v>0</v>
      </c>
      <c r="U108" s="13">
        <f t="shared" si="12"/>
        <v>0</v>
      </c>
      <c r="V108" s="123">
        <f t="shared" si="13"/>
        <v>0</v>
      </c>
      <c r="X108" s="13">
        <v>5000000</v>
      </c>
      <c r="Y108" s="13">
        <v>30000000</v>
      </c>
      <c r="Z108" s="13">
        <v>30000000</v>
      </c>
      <c r="AA108" s="13">
        <f t="shared" si="14"/>
        <v>4.5E+21</v>
      </c>
      <c r="AB108" s="13">
        <f t="shared" si="15"/>
        <v>8.9999999999999996E+22</v>
      </c>
      <c r="AC108" s="13">
        <f t="shared" si="16"/>
        <v>6.25E+16</v>
      </c>
      <c r="AD108" s="110">
        <f t="shared" si="17"/>
        <v>44568</v>
      </c>
      <c r="AE108" s="13" t="e">
        <f>IF(AND(AD108&lt;=$AI$4,#REF!&lt;1),1,"")</f>
        <v>#REF!</v>
      </c>
      <c r="AF108" s="110">
        <f t="shared" ca="1" si="18"/>
        <v>44553</v>
      </c>
      <c r="AH108" s="13">
        <f t="shared" ca="1" si="19"/>
        <v>-11</v>
      </c>
    </row>
    <row r="109" spans="1:34" x14ac:dyDescent="0.25">
      <c r="A109" s="13" t="s">
        <v>5</v>
      </c>
      <c r="B109" s="13" t="s">
        <v>5</v>
      </c>
      <c r="C109" s="13" t="s">
        <v>1204</v>
      </c>
      <c r="D109" s="13" t="s">
        <v>1205</v>
      </c>
      <c r="E109" s="13" t="s">
        <v>723</v>
      </c>
      <c r="F109" s="13">
        <v>80</v>
      </c>
      <c r="G109" s="2" t="s">
        <v>1195</v>
      </c>
      <c r="H109" s="13" t="s">
        <v>0</v>
      </c>
      <c r="I109" s="13" t="s">
        <v>140</v>
      </c>
      <c r="J109" s="13" t="s">
        <v>139</v>
      </c>
      <c r="K109" s="109">
        <v>44564</v>
      </c>
      <c r="Q109" s="13" t="str">
        <f t="shared" si="10"/>
        <v>BUCACRD025037AUTOSERVICIONUTRESA</v>
      </c>
      <c r="T109" s="123">
        <f t="shared" si="11"/>
        <v>0</v>
      </c>
      <c r="U109" s="13">
        <f t="shared" si="12"/>
        <v>0</v>
      </c>
      <c r="V109" s="123">
        <f t="shared" si="13"/>
        <v>0</v>
      </c>
      <c r="X109" s="13">
        <v>5000000</v>
      </c>
      <c r="Y109" s="13">
        <v>30000000</v>
      </c>
      <c r="Z109" s="13">
        <v>30000000</v>
      </c>
      <c r="AA109" s="13">
        <f t="shared" si="14"/>
        <v>4.5E+21</v>
      </c>
      <c r="AB109" s="13">
        <f t="shared" si="15"/>
        <v>3.5999999999999998E+23</v>
      </c>
      <c r="AC109" s="13">
        <f t="shared" si="16"/>
        <v>2.5E+17</v>
      </c>
      <c r="AD109" s="110">
        <f t="shared" si="17"/>
        <v>44568</v>
      </c>
      <c r="AE109" s="13" t="e">
        <f>IF(AND(AD109&lt;=$AI$4,#REF!&lt;1),1,"")</f>
        <v>#REF!</v>
      </c>
      <c r="AF109" s="110">
        <f t="shared" ca="1" si="18"/>
        <v>44553</v>
      </c>
      <c r="AH109" s="13">
        <f t="shared" ca="1" si="19"/>
        <v>-11</v>
      </c>
    </row>
    <row r="110" spans="1:34" x14ac:dyDescent="0.25">
      <c r="A110" s="13" t="s">
        <v>6</v>
      </c>
      <c r="B110" s="13" t="s">
        <v>6</v>
      </c>
      <c r="C110" s="13" t="s">
        <v>1204</v>
      </c>
      <c r="D110" s="13" t="s">
        <v>1205</v>
      </c>
      <c r="E110" s="13" t="s">
        <v>723</v>
      </c>
      <c r="F110" s="13">
        <v>60</v>
      </c>
      <c r="G110" s="2" t="s">
        <v>1195</v>
      </c>
      <c r="H110" s="13" t="s">
        <v>0</v>
      </c>
      <c r="I110" s="13" t="s">
        <v>140</v>
      </c>
      <c r="J110" s="13" t="s">
        <v>139</v>
      </c>
      <c r="K110" s="109">
        <v>44564</v>
      </c>
      <c r="Q110" s="13" t="str">
        <f t="shared" si="10"/>
        <v>CALICRD025037AUTOSERVICIONUTRESA</v>
      </c>
      <c r="T110" s="123">
        <f t="shared" si="11"/>
        <v>0</v>
      </c>
      <c r="U110" s="13">
        <f t="shared" si="12"/>
        <v>0</v>
      </c>
      <c r="V110" s="123">
        <f t="shared" si="13"/>
        <v>0</v>
      </c>
      <c r="X110" s="13">
        <v>5000000</v>
      </c>
      <c r="Y110" s="13">
        <v>30000000</v>
      </c>
      <c r="Z110" s="13">
        <v>30000000</v>
      </c>
      <c r="AA110" s="13">
        <f t="shared" si="14"/>
        <v>4.5E+21</v>
      </c>
      <c r="AB110" s="13">
        <f t="shared" si="15"/>
        <v>2.6999999999999999E+23</v>
      </c>
      <c r="AC110" s="13">
        <f t="shared" si="16"/>
        <v>1.875E+17</v>
      </c>
      <c r="AD110" s="110">
        <f t="shared" si="17"/>
        <v>44568</v>
      </c>
      <c r="AE110" s="13" t="e">
        <f>IF(AND(AD110&lt;=$AI$4,#REF!&lt;1),1,"")</f>
        <v>#REF!</v>
      </c>
      <c r="AF110" s="110">
        <f t="shared" ca="1" si="18"/>
        <v>44553</v>
      </c>
      <c r="AH110" s="13">
        <f t="shared" ca="1" si="19"/>
        <v>-11</v>
      </c>
    </row>
    <row r="111" spans="1:34" x14ac:dyDescent="0.25">
      <c r="A111" s="13" t="s">
        <v>7</v>
      </c>
      <c r="B111" s="13" t="s">
        <v>7</v>
      </c>
      <c r="C111" s="13" t="s">
        <v>1204</v>
      </c>
      <c r="D111" s="13" t="s">
        <v>1205</v>
      </c>
      <c r="E111" s="13" t="s">
        <v>723</v>
      </c>
      <c r="F111" s="13">
        <v>10</v>
      </c>
      <c r="G111" s="2" t="s">
        <v>1195</v>
      </c>
      <c r="H111" s="13" t="s">
        <v>0</v>
      </c>
      <c r="I111" s="13" t="s">
        <v>140</v>
      </c>
      <c r="J111" s="13" t="s">
        <v>139</v>
      </c>
      <c r="K111" s="109">
        <v>44564</v>
      </c>
      <c r="Q111" s="13" t="str">
        <f t="shared" si="10"/>
        <v>CARTCRD025037AUTOSERVICIONUTRESA</v>
      </c>
      <c r="T111" s="123">
        <f t="shared" si="11"/>
        <v>0</v>
      </c>
      <c r="U111" s="13">
        <f t="shared" si="12"/>
        <v>0</v>
      </c>
      <c r="V111" s="123">
        <f t="shared" si="13"/>
        <v>0</v>
      </c>
      <c r="X111" s="13">
        <v>5000000</v>
      </c>
      <c r="Y111" s="13">
        <v>30000000</v>
      </c>
      <c r="Z111" s="13">
        <v>30000000</v>
      </c>
      <c r="AA111" s="13">
        <f t="shared" si="14"/>
        <v>4.5E+21</v>
      </c>
      <c r="AB111" s="13">
        <f t="shared" si="15"/>
        <v>4.4999999999999998E+22</v>
      </c>
      <c r="AC111" s="13">
        <f t="shared" si="16"/>
        <v>3.125E+16</v>
      </c>
      <c r="AD111" s="110">
        <f t="shared" si="17"/>
        <v>44568</v>
      </c>
      <c r="AE111" s="13" t="e">
        <f>IF(AND(AD111&lt;=$AI$4,#REF!&lt;1),1,"")</f>
        <v>#REF!</v>
      </c>
      <c r="AF111" s="110">
        <f t="shared" ca="1" si="18"/>
        <v>44553</v>
      </c>
      <c r="AH111" s="13">
        <f t="shared" ca="1" si="19"/>
        <v>-11</v>
      </c>
    </row>
    <row r="112" spans="1:34" x14ac:dyDescent="0.25">
      <c r="A112" s="13" t="s">
        <v>8</v>
      </c>
      <c r="B112" s="13" t="s">
        <v>8</v>
      </c>
      <c r="C112" s="13" t="s">
        <v>1204</v>
      </c>
      <c r="D112" s="13" t="s">
        <v>1205</v>
      </c>
      <c r="E112" s="13" t="s">
        <v>723</v>
      </c>
      <c r="F112" s="13">
        <v>140</v>
      </c>
      <c r="G112" s="2" t="s">
        <v>1195</v>
      </c>
      <c r="H112" s="13" t="s">
        <v>0</v>
      </c>
      <c r="I112" s="13" t="s">
        <v>140</v>
      </c>
      <c r="J112" s="13" t="s">
        <v>139</v>
      </c>
      <c r="K112" s="109">
        <v>44564</v>
      </c>
      <c r="Q112" s="13" t="str">
        <f t="shared" si="10"/>
        <v>IBA1CRD025037AUTOSERVICIONUTRESA</v>
      </c>
      <c r="T112" s="123">
        <f t="shared" si="11"/>
        <v>0</v>
      </c>
      <c r="U112" s="13">
        <f t="shared" si="12"/>
        <v>0</v>
      </c>
      <c r="V112" s="123">
        <f t="shared" si="13"/>
        <v>0</v>
      </c>
      <c r="X112" s="13">
        <v>5000000</v>
      </c>
      <c r="Y112" s="13">
        <v>30000000</v>
      </c>
      <c r="Z112" s="13">
        <v>30000000</v>
      </c>
      <c r="AA112" s="13">
        <f t="shared" si="14"/>
        <v>4.5E+21</v>
      </c>
      <c r="AB112" s="13">
        <f t="shared" si="15"/>
        <v>6.3000000000000004E+23</v>
      </c>
      <c r="AC112" s="13">
        <f t="shared" si="16"/>
        <v>4.375E+17</v>
      </c>
      <c r="AD112" s="110">
        <f t="shared" si="17"/>
        <v>44568</v>
      </c>
      <c r="AE112" s="13" t="e">
        <f>IF(AND(AD112&lt;=$AI$4,#REF!&lt;1),1,"")</f>
        <v>#REF!</v>
      </c>
      <c r="AF112" s="110">
        <f t="shared" ca="1" si="18"/>
        <v>44553</v>
      </c>
      <c r="AH112" s="13">
        <f t="shared" ca="1" si="19"/>
        <v>-11</v>
      </c>
    </row>
    <row r="113" spans="1:34" x14ac:dyDescent="0.25">
      <c r="A113" s="13" t="s">
        <v>9</v>
      </c>
      <c r="B113" s="13" t="s">
        <v>9</v>
      </c>
      <c r="C113" s="13" t="s">
        <v>1204</v>
      </c>
      <c r="D113" s="13" t="s">
        <v>1205</v>
      </c>
      <c r="E113" s="13" t="s">
        <v>723</v>
      </c>
      <c r="F113" s="13">
        <v>50</v>
      </c>
      <c r="G113" s="2" t="s">
        <v>1195</v>
      </c>
      <c r="H113" s="13" t="s">
        <v>0</v>
      </c>
      <c r="I113" s="13" t="s">
        <v>140</v>
      </c>
      <c r="J113" s="13" t="s">
        <v>139</v>
      </c>
      <c r="K113" s="109">
        <v>44564</v>
      </c>
      <c r="Q113" s="13" t="str">
        <f t="shared" si="10"/>
        <v>MEDECRD025037AUTOSERVICIONUTRESA</v>
      </c>
      <c r="T113" s="123">
        <f t="shared" si="11"/>
        <v>0</v>
      </c>
      <c r="U113" s="13">
        <f t="shared" si="12"/>
        <v>0</v>
      </c>
      <c r="V113" s="123">
        <f t="shared" si="13"/>
        <v>0</v>
      </c>
      <c r="X113" s="13">
        <v>5000000</v>
      </c>
      <c r="Y113" s="13">
        <v>30000000</v>
      </c>
      <c r="Z113" s="13">
        <v>30000000</v>
      </c>
      <c r="AA113" s="13">
        <f t="shared" si="14"/>
        <v>4.5E+21</v>
      </c>
      <c r="AB113" s="13">
        <f t="shared" si="15"/>
        <v>2.2499999999999999E+23</v>
      </c>
      <c r="AC113" s="13">
        <f t="shared" si="16"/>
        <v>1.5625E+17</v>
      </c>
      <c r="AD113" s="110">
        <f t="shared" si="17"/>
        <v>44568</v>
      </c>
      <c r="AE113" s="13" t="e">
        <f>IF(AND(AD113&lt;=$AI$4,#REF!&lt;1),1,"")</f>
        <v>#REF!</v>
      </c>
      <c r="AF113" s="110">
        <f t="shared" ca="1" si="18"/>
        <v>44553</v>
      </c>
      <c r="AH113" s="13">
        <f t="shared" ca="1" si="19"/>
        <v>-11</v>
      </c>
    </row>
    <row r="114" spans="1:34" x14ac:dyDescent="0.25">
      <c r="A114" s="13" t="s">
        <v>10</v>
      </c>
      <c r="B114" s="13" t="s">
        <v>10</v>
      </c>
      <c r="C114" s="13" t="s">
        <v>1204</v>
      </c>
      <c r="D114" s="13" t="s">
        <v>1205</v>
      </c>
      <c r="E114" s="13" t="s">
        <v>723</v>
      </c>
      <c r="F114" s="13">
        <v>50</v>
      </c>
      <c r="G114" s="2" t="s">
        <v>1195</v>
      </c>
      <c r="H114" s="13" t="s">
        <v>0</v>
      </c>
      <c r="I114" s="13" t="s">
        <v>140</v>
      </c>
      <c r="J114" s="13" t="s">
        <v>139</v>
      </c>
      <c r="K114" s="109">
        <v>44564</v>
      </c>
      <c r="Q114" s="13" t="str">
        <f t="shared" si="10"/>
        <v>PERECRD025037AUTOSERVICIONUTRESA</v>
      </c>
      <c r="T114" s="123">
        <f t="shared" si="11"/>
        <v>0</v>
      </c>
      <c r="U114" s="13">
        <f t="shared" si="12"/>
        <v>0</v>
      </c>
      <c r="V114" s="123">
        <f t="shared" si="13"/>
        <v>0</v>
      </c>
      <c r="X114" s="13">
        <v>5000000</v>
      </c>
      <c r="Y114" s="13">
        <v>30000000</v>
      </c>
      <c r="Z114" s="13">
        <v>30000000</v>
      </c>
      <c r="AA114" s="13">
        <f t="shared" si="14"/>
        <v>4.5E+21</v>
      </c>
      <c r="AB114" s="13">
        <f t="shared" si="15"/>
        <v>2.2499999999999999E+23</v>
      </c>
      <c r="AC114" s="13">
        <f t="shared" si="16"/>
        <v>1.5625E+17</v>
      </c>
      <c r="AD114" s="110">
        <f t="shared" si="17"/>
        <v>44568</v>
      </c>
      <c r="AE114" s="13" t="e">
        <f>IF(AND(AD114&lt;=$AI$4,#REF!&lt;1),1,"")</f>
        <v>#REF!</v>
      </c>
      <c r="AF114" s="110">
        <f t="shared" ca="1" si="18"/>
        <v>44553</v>
      </c>
      <c r="AH114" s="13">
        <f t="shared" ca="1" si="19"/>
        <v>-11</v>
      </c>
    </row>
    <row r="115" spans="1:34" x14ac:dyDescent="0.25">
      <c r="A115" s="13" t="s">
        <v>724</v>
      </c>
      <c r="B115" s="13" t="s">
        <v>724</v>
      </c>
      <c r="C115" s="13" t="s">
        <v>1206</v>
      </c>
      <c r="D115" s="13" t="s">
        <v>1207</v>
      </c>
      <c r="E115" s="13" t="s">
        <v>725</v>
      </c>
      <c r="F115" s="13">
        <v>3</v>
      </c>
      <c r="G115" s="2" t="s">
        <v>1207</v>
      </c>
      <c r="H115" s="13" t="s">
        <v>2</v>
      </c>
      <c r="I115" s="13" t="s">
        <v>145</v>
      </c>
      <c r="J115" s="13" t="s">
        <v>46</v>
      </c>
      <c r="K115" s="109">
        <v>44576</v>
      </c>
      <c r="Q115" s="13" t="str">
        <f t="shared" si="10"/>
        <v>BGTA ALTACT000554TRADICIONALALTILLANO</v>
      </c>
      <c r="T115" s="123">
        <f t="shared" si="11"/>
        <v>0</v>
      </c>
      <c r="U115" s="13">
        <f t="shared" si="12"/>
        <v>0</v>
      </c>
      <c r="V115" s="123">
        <f t="shared" si="13"/>
        <v>0</v>
      </c>
      <c r="X115" s="13">
        <v>50000000</v>
      </c>
      <c r="Y115" s="13">
        <v>50000000</v>
      </c>
      <c r="Z115" s="13">
        <v>50000000</v>
      </c>
      <c r="AA115" s="13">
        <f t="shared" si="14"/>
        <v>1.25E+23</v>
      </c>
      <c r="AB115" s="13">
        <f t="shared" si="15"/>
        <v>3.7499999999999999E+23</v>
      </c>
      <c r="AC115" s="13">
        <f t="shared" si="16"/>
        <v>2.6041666666666666E+17</v>
      </c>
      <c r="AD115" s="110">
        <f t="shared" si="17"/>
        <v>44580</v>
      </c>
      <c r="AE115" s="13" t="e">
        <f>IF(AND(AD115&lt;=$AI$4,#REF!&lt;1),1,"")</f>
        <v>#REF!</v>
      </c>
      <c r="AF115" s="110">
        <f t="shared" ca="1" si="18"/>
        <v>44553</v>
      </c>
      <c r="AH115" s="13">
        <f t="shared" ca="1" si="19"/>
        <v>-23</v>
      </c>
    </row>
    <row r="116" spans="1:34" x14ac:dyDescent="0.25">
      <c r="A116" s="13" t="s">
        <v>6</v>
      </c>
      <c r="B116" s="13" t="s">
        <v>6</v>
      </c>
      <c r="C116" s="13" t="s">
        <v>1206</v>
      </c>
      <c r="D116" s="13" t="s">
        <v>1207</v>
      </c>
      <c r="E116" s="13" t="s">
        <v>725</v>
      </c>
      <c r="F116" s="13">
        <v>8</v>
      </c>
      <c r="G116" s="2" t="s">
        <v>1207</v>
      </c>
      <c r="H116" s="13" t="s">
        <v>2</v>
      </c>
      <c r="I116" s="13" t="s">
        <v>140</v>
      </c>
      <c r="J116" s="13" t="s">
        <v>46</v>
      </c>
      <c r="K116" s="109">
        <v>44576</v>
      </c>
      <c r="Q116" s="13" t="str">
        <f t="shared" si="10"/>
        <v>CALIACT000554TRADICIONALNUTRESA</v>
      </c>
      <c r="T116" s="123">
        <f t="shared" si="11"/>
        <v>0</v>
      </c>
      <c r="U116" s="13">
        <f t="shared" si="12"/>
        <v>0</v>
      </c>
      <c r="V116" s="123">
        <f t="shared" si="13"/>
        <v>0</v>
      </c>
      <c r="X116" s="13">
        <v>50000000</v>
      </c>
      <c r="Y116" s="13">
        <v>50000000</v>
      </c>
      <c r="Z116" s="13">
        <v>50000000</v>
      </c>
      <c r="AA116" s="13">
        <f t="shared" si="14"/>
        <v>1.25E+23</v>
      </c>
      <c r="AB116" s="13">
        <f t="shared" si="15"/>
        <v>9.9999999999999998E+23</v>
      </c>
      <c r="AC116" s="13">
        <f t="shared" si="16"/>
        <v>6.9444444444444442E+17</v>
      </c>
      <c r="AD116" s="110">
        <f t="shared" si="17"/>
        <v>44580</v>
      </c>
      <c r="AE116" s="13" t="e">
        <f>IF(AND(AD116&lt;=$AI$4,#REF!&lt;1),1,"")</f>
        <v>#REF!</v>
      </c>
      <c r="AF116" s="110">
        <f t="shared" ca="1" si="18"/>
        <v>44553</v>
      </c>
      <c r="AH116" s="13">
        <f t="shared" ca="1" si="19"/>
        <v>-23</v>
      </c>
    </row>
    <row r="117" spans="1:34" x14ac:dyDescent="0.25">
      <c r="A117" s="13" t="s">
        <v>10</v>
      </c>
      <c r="B117" s="13" t="s">
        <v>10</v>
      </c>
      <c r="C117" s="13" t="s">
        <v>1206</v>
      </c>
      <c r="D117" s="13" t="s">
        <v>1207</v>
      </c>
      <c r="E117" s="13" t="s">
        <v>725</v>
      </c>
      <c r="F117" s="13">
        <v>2</v>
      </c>
      <c r="G117" s="2" t="s">
        <v>1207</v>
      </c>
      <c r="H117" s="13" t="s">
        <v>2</v>
      </c>
      <c r="I117" s="13" t="s">
        <v>140</v>
      </c>
      <c r="J117" s="13" t="s">
        <v>46</v>
      </c>
      <c r="K117" s="109">
        <v>44576</v>
      </c>
      <c r="Q117" s="13" t="str">
        <f t="shared" si="10"/>
        <v>PEREACT000554TRADICIONALNUTRESA</v>
      </c>
      <c r="T117" s="123">
        <f t="shared" si="11"/>
        <v>0</v>
      </c>
      <c r="U117" s="13">
        <f t="shared" si="12"/>
        <v>0</v>
      </c>
      <c r="V117" s="123">
        <f t="shared" si="13"/>
        <v>0</v>
      </c>
      <c r="X117" s="13">
        <v>50000000</v>
      </c>
      <c r="Y117" s="13">
        <v>50000000</v>
      </c>
      <c r="Z117" s="13">
        <v>50000000</v>
      </c>
      <c r="AA117" s="13">
        <f t="shared" si="14"/>
        <v>1.25E+23</v>
      </c>
      <c r="AB117" s="13">
        <f t="shared" si="15"/>
        <v>2.5E+23</v>
      </c>
      <c r="AC117" s="13">
        <f t="shared" si="16"/>
        <v>1.736111111111111E+17</v>
      </c>
      <c r="AD117" s="110">
        <f t="shared" si="17"/>
        <v>44580</v>
      </c>
      <c r="AE117" s="13" t="e">
        <f>IF(AND(AD117&lt;=$AI$4,#REF!&lt;1),1,"")</f>
        <v>#REF!</v>
      </c>
      <c r="AF117" s="110">
        <f t="shared" ca="1" si="18"/>
        <v>44553</v>
      </c>
      <c r="AH117" s="13">
        <f t="shared" ca="1" si="19"/>
        <v>-23</v>
      </c>
    </row>
    <row r="118" spans="1:34" x14ac:dyDescent="0.25">
      <c r="A118" s="13" t="s">
        <v>3</v>
      </c>
      <c r="B118" s="13" t="s">
        <v>3</v>
      </c>
      <c r="C118" s="13" t="s">
        <v>1206</v>
      </c>
      <c r="D118" s="13" t="s">
        <v>1207</v>
      </c>
      <c r="E118" s="13" t="s">
        <v>725</v>
      </c>
      <c r="F118" s="13">
        <v>3</v>
      </c>
      <c r="G118" s="2" t="s">
        <v>1207</v>
      </c>
      <c r="H118" s="13" t="s">
        <v>2</v>
      </c>
      <c r="I118" s="13" t="s">
        <v>140</v>
      </c>
      <c r="J118" s="13" t="s">
        <v>46</v>
      </c>
      <c r="K118" s="109">
        <v>44576</v>
      </c>
      <c r="Q118" s="13" t="str">
        <f t="shared" si="10"/>
        <v>BARRACT000554TRADICIONALNUTRESA</v>
      </c>
      <c r="T118" s="123">
        <f t="shared" si="11"/>
        <v>0</v>
      </c>
      <c r="U118" s="13">
        <f t="shared" si="12"/>
        <v>0</v>
      </c>
      <c r="V118" s="123">
        <f t="shared" si="13"/>
        <v>0</v>
      </c>
      <c r="X118" s="13">
        <v>50000000</v>
      </c>
      <c r="Y118" s="13">
        <v>50000000</v>
      </c>
      <c r="Z118" s="13">
        <v>50000000</v>
      </c>
      <c r="AA118" s="13">
        <f t="shared" si="14"/>
        <v>1.25E+23</v>
      </c>
      <c r="AB118" s="13">
        <f t="shared" si="15"/>
        <v>3.7499999999999999E+23</v>
      </c>
      <c r="AC118" s="13">
        <f t="shared" si="16"/>
        <v>2.6041666666666666E+17</v>
      </c>
      <c r="AD118" s="110">
        <f t="shared" si="17"/>
        <v>44580</v>
      </c>
      <c r="AE118" s="13" t="e">
        <f>IF(AND(AD118&lt;=$AI$4,#REF!&lt;1),1,"")</f>
        <v>#REF!</v>
      </c>
      <c r="AF118" s="110">
        <f t="shared" ca="1" si="18"/>
        <v>44553</v>
      </c>
      <c r="AH118" s="13">
        <f t="shared" ca="1" si="19"/>
        <v>-23</v>
      </c>
    </row>
    <row r="119" spans="1:34" x14ac:dyDescent="0.25">
      <c r="A119" s="13" t="s">
        <v>724</v>
      </c>
      <c r="B119" s="13" t="s">
        <v>724</v>
      </c>
      <c r="C119" s="13" t="s">
        <v>1206</v>
      </c>
      <c r="D119" s="13" t="s">
        <v>1207</v>
      </c>
      <c r="E119" s="13" t="s">
        <v>725</v>
      </c>
      <c r="F119" s="13">
        <v>3</v>
      </c>
      <c r="G119" s="2" t="s">
        <v>1207</v>
      </c>
      <c r="H119" s="13" t="s">
        <v>2</v>
      </c>
      <c r="I119" s="13" t="s">
        <v>145</v>
      </c>
      <c r="J119" s="13" t="s">
        <v>46</v>
      </c>
      <c r="K119" s="109">
        <v>44576</v>
      </c>
      <c r="Q119" s="13" t="str">
        <f t="shared" si="10"/>
        <v>BGTA ALTACT000554TRADICIONALALTILLANO</v>
      </c>
      <c r="T119" s="123">
        <f t="shared" si="11"/>
        <v>0</v>
      </c>
      <c r="U119" s="13">
        <f t="shared" si="12"/>
        <v>0</v>
      </c>
      <c r="V119" s="123">
        <f t="shared" si="13"/>
        <v>0</v>
      </c>
      <c r="X119" s="13">
        <v>50000000</v>
      </c>
      <c r="Y119" s="13">
        <v>50000000</v>
      </c>
      <c r="Z119" s="13">
        <v>50000000</v>
      </c>
      <c r="AA119" s="13">
        <f t="shared" si="14"/>
        <v>1.25E+23</v>
      </c>
      <c r="AB119" s="13">
        <f t="shared" si="15"/>
        <v>3.7499999999999999E+23</v>
      </c>
      <c r="AC119" s="13">
        <f t="shared" si="16"/>
        <v>2.6041666666666666E+17</v>
      </c>
      <c r="AD119" s="110">
        <f t="shared" si="17"/>
        <v>44580</v>
      </c>
      <c r="AE119" s="13" t="e">
        <f>IF(AND(AD119&lt;=$AI$4,#REF!&lt;1),1,"")</f>
        <v>#REF!</v>
      </c>
      <c r="AF119" s="110">
        <f t="shared" ca="1" si="18"/>
        <v>44553</v>
      </c>
      <c r="AH119" s="13">
        <f t="shared" ca="1" si="19"/>
        <v>-23</v>
      </c>
    </row>
    <row r="120" spans="1:34" x14ac:dyDescent="0.25">
      <c r="A120" s="13" t="s">
        <v>150</v>
      </c>
      <c r="B120" s="13" t="s">
        <v>150</v>
      </c>
      <c r="C120" s="13" t="s">
        <v>1206</v>
      </c>
      <c r="D120" s="13" t="s">
        <v>1207</v>
      </c>
      <c r="E120" s="13" t="s">
        <v>725</v>
      </c>
      <c r="F120" s="13">
        <v>5</v>
      </c>
      <c r="G120" s="2" t="s">
        <v>1207</v>
      </c>
      <c r="H120" s="13" t="s">
        <v>2</v>
      </c>
      <c r="I120" s="13" t="s">
        <v>140</v>
      </c>
      <c r="J120" s="13" t="s">
        <v>46</v>
      </c>
      <c r="K120" s="109">
        <v>44576</v>
      </c>
      <c r="Q120" s="13" t="str">
        <f t="shared" si="10"/>
        <v>VILAACT000554TRADICIONALNUTRESA</v>
      </c>
      <c r="T120" s="123">
        <f t="shared" si="11"/>
        <v>0</v>
      </c>
      <c r="U120" s="13">
        <f t="shared" si="12"/>
        <v>0</v>
      </c>
      <c r="V120" s="123">
        <f t="shared" si="13"/>
        <v>0</v>
      </c>
      <c r="X120" s="13">
        <v>50000000</v>
      </c>
      <c r="Y120" s="13">
        <v>50000000</v>
      </c>
      <c r="Z120" s="13">
        <v>50000000</v>
      </c>
      <c r="AA120" s="13">
        <f t="shared" si="14"/>
        <v>1.25E+23</v>
      </c>
      <c r="AB120" s="13">
        <f t="shared" si="15"/>
        <v>6.2499999999999992E+23</v>
      </c>
      <c r="AC120" s="13">
        <f t="shared" si="16"/>
        <v>4.3402777777777773E+17</v>
      </c>
      <c r="AD120" s="110">
        <f t="shared" si="17"/>
        <v>44580</v>
      </c>
      <c r="AE120" s="13" t="e">
        <f>IF(AND(AD120&lt;=$AI$4,#REF!&lt;1),1,"")</f>
        <v>#REF!</v>
      </c>
      <c r="AF120" s="110">
        <f t="shared" ca="1" si="18"/>
        <v>44553</v>
      </c>
      <c r="AH120" s="13">
        <f t="shared" ca="1" si="19"/>
        <v>-23</v>
      </c>
    </row>
    <row r="121" spans="1:34" x14ac:dyDescent="0.25">
      <c r="A121" s="13" t="s">
        <v>6</v>
      </c>
      <c r="B121" s="13" t="s">
        <v>6</v>
      </c>
      <c r="C121" s="13" t="s">
        <v>1206</v>
      </c>
      <c r="D121" s="13" t="s">
        <v>1207</v>
      </c>
      <c r="E121" s="13" t="s">
        <v>725</v>
      </c>
      <c r="F121" s="13">
        <v>8</v>
      </c>
      <c r="G121" s="2" t="s">
        <v>1207</v>
      </c>
      <c r="H121" s="13" t="s">
        <v>2</v>
      </c>
      <c r="I121" s="13" t="s">
        <v>140</v>
      </c>
      <c r="J121" s="13" t="s">
        <v>46</v>
      </c>
      <c r="K121" s="109">
        <v>44576</v>
      </c>
      <c r="Q121" s="13" t="str">
        <f t="shared" si="10"/>
        <v>CALIACT000554TRADICIONALNUTRESA</v>
      </c>
      <c r="T121" s="123">
        <f t="shared" si="11"/>
        <v>0</v>
      </c>
      <c r="U121" s="13">
        <f t="shared" si="12"/>
        <v>0</v>
      </c>
      <c r="V121" s="123">
        <f t="shared" si="13"/>
        <v>0</v>
      </c>
      <c r="X121" s="13">
        <v>50000000</v>
      </c>
      <c r="Y121" s="13">
        <v>50000000</v>
      </c>
      <c r="Z121" s="13">
        <v>50000000</v>
      </c>
      <c r="AA121" s="13">
        <f t="shared" si="14"/>
        <v>1.25E+23</v>
      </c>
      <c r="AB121" s="13">
        <f t="shared" si="15"/>
        <v>9.9999999999999998E+23</v>
      </c>
      <c r="AC121" s="13">
        <f t="shared" si="16"/>
        <v>6.9444444444444442E+17</v>
      </c>
      <c r="AD121" s="110">
        <f t="shared" si="17"/>
        <v>44580</v>
      </c>
      <c r="AE121" s="13" t="e">
        <f>IF(AND(AD121&lt;=$AI$4,#REF!&lt;1),1,"")</f>
        <v>#REF!</v>
      </c>
      <c r="AF121" s="110">
        <f t="shared" ca="1" si="18"/>
        <v>44553</v>
      </c>
      <c r="AH121" s="13">
        <f t="shared" ca="1" si="19"/>
        <v>-23</v>
      </c>
    </row>
    <row r="122" spans="1:34" x14ac:dyDescent="0.25">
      <c r="A122" s="13" t="s">
        <v>8</v>
      </c>
      <c r="B122" s="13" t="s">
        <v>8</v>
      </c>
      <c r="C122" s="13" t="s">
        <v>1206</v>
      </c>
      <c r="D122" s="13" t="s">
        <v>1207</v>
      </c>
      <c r="E122" s="13" t="s">
        <v>725</v>
      </c>
      <c r="F122" s="13">
        <v>8</v>
      </c>
      <c r="G122" s="2" t="s">
        <v>1207</v>
      </c>
      <c r="H122" s="13" t="s">
        <v>2</v>
      </c>
      <c r="I122" s="13" t="s">
        <v>140</v>
      </c>
      <c r="J122" s="13" t="s">
        <v>46</v>
      </c>
      <c r="K122" s="109">
        <v>44576</v>
      </c>
      <c r="Q122" s="13" t="str">
        <f t="shared" si="10"/>
        <v>IBA1ACT000554TRADICIONALNUTRESA</v>
      </c>
      <c r="T122" s="123">
        <f t="shared" si="11"/>
        <v>0</v>
      </c>
      <c r="U122" s="13">
        <f t="shared" si="12"/>
        <v>0</v>
      </c>
      <c r="V122" s="123">
        <f t="shared" si="13"/>
        <v>0</v>
      </c>
      <c r="X122" s="13">
        <v>50000000</v>
      </c>
      <c r="Y122" s="13">
        <v>50000000</v>
      </c>
      <c r="Z122" s="13">
        <v>50000000</v>
      </c>
      <c r="AA122" s="13">
        <f t="shared" si="14"/>
        <v>1.25E+23</v>
      </c>
      <c r="AB122" s="13">
        <f t="shared" si="15"/>
        <v>9.9999999999999998E+23</v>
      </c>
      <c r="AC122" s="13">
        <f t="shared" si="16"/>
        <v>6.9444444444444442E+17</v>
      </c>
      <c r="AD122" s="110">
        <f t="shared" si="17"/>
        <v>44580</v>
      </c>
      <c r="AE122" s="13" t="e">
        <f>IF(AND(AD122&lt;=$AI$4,#REF!&lt;1),1,"")</f>
        <v>#REF!</v>
      </c>
      <c r="AF122" s="110">
        <f t="shared" ca="1" si="18"/>
        <v>44553</v>
      </c>
      <c r="AH122" s="13">
        <f t="shared" ca="1" si="19"/>
        <v>-23</v>
      </c>
    </row>
    <row r="123" spans="1:34" x14ac:dyDescent="0.25">
      <c r="A123" s="13" t="s">
        <v>10</v>
      </c>
      <c r="B123" s="13" t="s">
        <v>10</v>
      </c>
      <c r="C123" s="13" t="s">
        <v>1206</v>
      </c>
      <c r="D123" s="13" t="s">
        <v>1207</v>
      </c>
      <c r="E123" s="13" t="s">
        <v>725</v>
      </c>
      <c r="F123" s="13">
        <v>2</v>
      </c>
      <c r="G123" s="2" t="s">
        <v>1207</v>
      </c>
      <c r="H123" s="13" t="s">
        <v>2</v>
      </c>
      <c r="I123" s="13" t="s">
        <v>140</v>
      </c>
      <c r="J123" s="13" t="s">
        <v>46</v>
      </c>
      <c r="K123" s="109">
        <v>44576</v>
      </c>
      <c r="Q123" s="13" t="str">
        <f t="shared" si="10"/>
        <v>PEREACT000554TRADICIONALNUTRESA</v>
      </c>
      <c r="T123" s="123">
        <f t="shared" si="11"/>
        <v>0</v>
      </c>
      <c r="U123" s="13">
        <f t="shared" si="12"/>
        <v>0</v>
      </c>
      <c r="V123" s="123">
        <f t="shared" si="13"/>
        <v>0</v>
      </c>
      <c r="X123" s="13">
        <v>50000000</v>
      </c>
      <c r="Y123" s="13">
        <v>50000000</v>
      </c>
      <c r="Z123" s="13">
        <v>50000000</v>
      </c>
      <c r="AA123" s="13">
        <f t="shared" si="14"/>
        <v>1.25E+23</v>
      </c>
      <c r="AB123" s="13">
        <f t="shared" si="15"/>
        <v>2.5E+23</v>
      </c>
      <c r="AC123" s="13">
        <f t="shared" si="16"/>
        <v>1.736111111111111E+17</v>
      </c>
      <c r="AD123" s="110">
        <f t="shared" si="17"/>
        <v>44580</v>
      </c>
      <c r="AE123" s="13" t="e">
        <f>IF(AND(AD123&lt;=$AI$4,#REF!&lt;1),1,"")</f>
        <v>#REF!</v>
      </c>
      <c r="AF123" s="110">
        <f t="shared" ca="1" si="18"/>
        <v>44553</v>
      </c>
      <c r="AH123" s="13">
        <f t="shared" ca="1" si="19"/>
        <v>-23</v>
      </c>
    </row>
    <row r="124" spans="1:34" x14ac:dyDescent="0.25">
      <c r="A124" s="13" t="s">
        <v>3</v>
      </c>
      <c r="B124" s="13" t="s">
        <v>3</v>
      </c>
      <c r="C124" s="13" t="s">
        <v>1206</v>
      </c>
      <c r="D124" s="13" t="s">
        <v>1207</v>
      </c>
      <c r="E124" s="13" t="s">
        <v>725</v>
      </c>
      <c r="F124" s="13">
        <v>3</v>
      </c>
      <c r="G124" s="2" t="s">
        <v>1207</v>
      </c>
      <c r="H124" s="13" t="s">
        <v>2</v>
      </c>
      <c r="I124" s="13" t="s">
        <v>140</v>
      </c>
      <c r="J124" s="13" t="s">
        <v>46</v>
      </c>
      <c r="K124" s="109">
        <v>44576</v>
      </c>
      <c r="Q124" s="13" t="str">
        <f t="shared" si="10"/>
        <v>BARRACT000554TRADICIONALNUTRESA</v>
      </c>
      <c r="T124" s="123">
        <f t="shared" si="11"/>
        <v>0</v>
      </c>
      <c r="U124" s="13">
        <f t="shared" si="12"/>
        <v>0</v>
      </c>
      <c r="V124" s="123">
        <f t="shared" si="13"/>
        <v>0</v>
      </c>
      <c r="X124" s="13">
        <v>50000000</v>
      </c>
      <c r="Y124" s="13">
        <v>50000000</v>
      </c>
      <c r="Z124" s="13">
        <v>50000000</v>
      </c>
      <c r="AA124" s="13">
        <f t="shared" si="14"/>
        <v>1.25E+23</v>
      </c>
      <c r="AB124" s="13">
        <f t="shared" si="15"/>
        <v>3.7499999999999999E+23</v>
      </c>
      <c r="AC124" s="13">
        <f t="shared" si="16"/>
        <v>2.6041666666666666E+17</v>
      </c>
      <c r="AD124" s="110">
        <f t="shared" si="17"/>
        <v>44580</v>
      </c>
      <c r="AE124" s="13" t="e">
        <f>IF(AND(AD124&lt;=$AI$4,#REF!&lt;1),1,"")</f>
        <v>#REF!</v>
      </c>
      <c r="AF124" s="110">
        <f t="shared" ca="1" si="18"/>
        <v>44553</v>
      </c>
      <c r="AH124" s="13">
        <f t="shared" ca="1" si="19"/>
        <v>-23</v>
      </c>
    </row>
    <row r="125" spans="1:34" x14ac:dyDescent="0.25">
      <c r="A125" s="13" t="s">
        <v>4</v>
      </c>
      <c r="B125" s="13" t="s">
        <v>4</v>
      </c>
      <c r="C125" s="13" t="s">
        <v>1206</v>
      </c>
      <c r="D125" s="13" t="s">
        <v>1207</v>
      </c>
      <c r="E125" s="13" t="s">
        <v>725</v>
      </c>
      <c r="F125" s="13">
        <v>5</v>
      </c>
      <c r="G125" s="2" t="s">
        <v>1207</v>
      </c>
      <c r="H125" s="13" t="s">
        <v>2</v>
      </c>
      <c r="I125" s="13" t="s">
        <v>140</v>
      </c>
      <c r="J125" s="13" t="s">
        <v>46</v>
      </c>
      <c r="K125" s="109">
        <v>44576</v>
      </c>
      <c r="Q125" s="13" t="str">
        <f t="shared" si="10"/>
        <v>BGTAACT000554TRADICIONALNUTRESA</v>
      </c>
      <c r="T125" s="123">
        <f t="shared" si="11"/>
        <v>0</v>
      </c>
      <c r="U125" s="13">
        <f t="shared" si="12"/>
        <v>0</v>
      </c>
      <c r="V125" s="123">
        <f t="shared" si="13"/>
        <v>0</v>
      </c>
      <c r="X125" s="13">
        <v>50000000</v>
      </c>
      <c r="Y125" s="13">
        <v>50000000</v>
      </c>
      <c r="Z125" s="13">
        <v>50000000</v>
      </c>
      <c r="AA125" s="13">
        <f t="shared" si="14"/>
        <v>1.25E+23</v>
      </c>
      <c r="AB125" s="13">
        <f t="shared" si="15"/>
        <v>6.2499999999999992E+23</v>
      </c>
      <c r="AC125" s="13">
        <f t="shared" si="16"/>
        <v>4.3402777777777773E+17</v>
      </c>
      <c r="AD125" s="110">
        <f t="shared" si="17"/>
        <v>44580</v>
      </c>
      <c r="AE125" s="13" t="e">
        <f>IF(AND(AD125&lt;=$AI$4,#REF!&lt;1),1,"")</f>
        <v>#REF!</v>
      </c>
      <c r="AF125" s="110">
        <f t="shared" ca="1" si="18"/>
        <v>44553</v>
      </c>
      <c r="AH125" s="13">
        <f t="shared" ca="1" si="19"/>
        <v>-23</v>
      </c>
    </row>
    <row r="126" spans="1:34" x14ac:dyDescent="0.25">
      <c r="A126" s="13" t="s">
        <v>724</v>
      </c>
      <c r="B126" s="13" t="s">
        <v>724</v>
      </c>
      <c r="C126" s="13" t="s">
        <v>1206</v>
      </c>
      <c r="D126" s="13" t="s">
        <v>1207</v>
      </c>
      <c r="E126" s="13" t="s">
        <v>725</v>
      </c>
      <c r="F126" s="13">
        <v>3</v>
      </c>
      <c r="G126" s="2" t="s">
        <v>1207</v>
      </c>
      <c r="H126" s="13" t="s">
        <v>2</v>
      </c>
      <c r="I126" s="13" t="s">
        <v>145</v>
      </c>
      <c r="J126" s="13" t="s">
        <v>46</v>
      </c>
      <c r="K126" s="109">
        <v>44576</v>
      </c>
      <c r="Q126" s="13" t="str">
        <f t="shared" si="10"/>
        <v>BGTA ALTACT000554TRADICIONALALTILLANO</v>
      </c>
      <c r="T126" s="123">
        <f t="shared" si="11"/>
        <v>0</v>
      </c>
      <c r="U126" s="13">
        <f t="shared" si="12"/>
        <v>0</v>
      </c>
      <c r="V126" s="123">
        <f t="shared" si="13"/>
        <v>0</v>
      </c>
      <c r="X126" s="13">
        <v>50000000</v>
      </c>
      <c r="Y126" s="13">
        <v>50000000</v>
      </c>
      <c r="Z126" s="13">
        <v>50000000</v>
      </c>
      <c r="AA126" s="13">
        <f t="shared" si="14"/>
        <v>1.25E+23</v>
      </c>
      <c r="AB126" s="13">
        <f t="shared" si="15"/>
        <v>3.7499999999999999E+23</v>
      </c>
      <c r="AC126" s="13">
        <f t="shared" si="16"/>
        <v>2.6041666666666666E+17</v>
      </c>
      <c r="AD126" s="110">
        <f t="shared" si="17"/>
        <v>44580</v>
      </c>
      <c r="AE126" s="13" t="e">
        <f>IF(AND(AD126&lt;=$AI$4,#REF!&lt;1),1,"")</f>
        <v>#REF!</v>
      </c>
      <c r="AF126" s="110">
        <f t="shared" ca="1" si="18"/>
        <v>44553</v>
      </c>
      <c r="AH126" s="13">
        <f t="shared" ca="1" si="19"/>
        <v>-23</v>
      </c>
    </row>
    <row r="127" spans="1:34" x14ac:dyDescent="0.25">
      <c r="A127" s="13" t="s">
        <v>149</v>
      </c>
      <c r="B127" s="13" t="s">
        <v>149</v>
      </c>
      <c r="C127" s="13" t="s">
        <v>1206</v>
      </c>
      <c r="D127" s="13" t="s">
        <v>1207</v>
      </c>
      <c r="E127" s="13" t="s">
        <v>725</v>
      </c>
      <c r="F127" s="13">
        <v>2</v>
      </c>
      <c r="G127" s="2" t="s">
        <v>1207</v>
      </c>
      <c r="H127" s="13" t="s">
        <v>2</v>
      </c>
      <c r="I127" s="13" t="s">
        <v>140</v>
      </c>
      <c r="J127" s="13" t="s">
        <v>46</v>
      </c>
      <c r="K127" s="109">
        <v>44576</v>
      </c>
      <c r="Q127" s="13" t="str">
        <f t="shared" si="10"/>
        <v>DUITACT000554TRADICIONALNUTRESA</v>
      </c>
      <c r="T127" s="123">
        <f t="shared" si="11"/>
        <v>0</v>
      </c>
      <c r="U127" s="13">
        <f t="shared" si="12"/>
        <v>0</v>
      </c>
      <c r="V127" s="123">
        <f t="shared" si="13"/>
        <v>0</v>
      </c>
      <c r="X127" s="13">
        <v>50000000</v>
      </c>
      <c r="Y127" s="13">
        <v>50000000</v>
      </c>
      <c r="Z127" s="13">
        <v>50000000</v>
      </c>
      <c r="AA127" s="13">
        <f t="shared" si="14"/>
        <v>1.25E+23</v>
      </c>
      <c r="AB127" s="13">
        <f t="shared" si="15"/>
        <v>2.5E+23</v>
      </c>
      <c r="AC127" s="13">
        <f t="shared" si="16"/>
        <v>1.736111111111111E+17</v>
      </c>
      <c r="AD127" s="110">
        <f t="shared" si="17"/>
        <v>44580</v>
      </c>
      <c r="AE127" s="13" t="e">
        <f>IF(AND(AD127&lt;=$AI$4,#REF!&lt;1),1,"")</f>
        <v>#REF!</v>
      </c>
      <c r="AF127" s="110">
        <f t="shared" ca="1" si="18"/>
        <v>44553</v>
      </c>
      <c r="AH127" s="13">
        <f t="shared" ca="1" si="19"/>
        <v>-23</v>
      </c>
    </row>
    <row r="128" spans="1:34" x14ac:dyDescent="0.25">
      <c r="A128" s="13" t="s">
        <v>150</v>
      </c>
      <c r="B128" s="13" t="s">
        <v>150</v>
      </c>
      <c r="C128" s="13" t="s">
        <v>1206</v>
      </c>
      <c r="D128" s="13" t="s">
        <v>1207</v>
      </c>
      <c r="E128" s="13" t="s">
        <v>725</v>
      </c>
      <c r="F128" s="13">
        <v>5</v>
      </c>
      <c r="G128" s="2" t="s">
        <v>1207</v>
      </c>
      <c r="H128" s="13" t="s">
        <v>2</v>
      </c>
      <c r="I128" s="13" t="s">
        <v>140</v>
      </c>
      <c r="J128" s="13" t="s">
        <v>46</v>
      </c>
      <c r="K128" s="109">
        <v>44576</v>
      </c>
      <c r="Q128" s="13" t="str">
        <f t="shared" si="10"/>
        <v>VILAACT000554TRADICIONALNUTRESA</v>
      </c>
      <c r="T128" s="123">
        <f t="shared" si="11"/>
        <v>0</v>
      </c>
      <c r="U128" s="13">
        <f t="shared" si="12"/>
        <v>0</v>
      </c>
      <c r="V128" s="123">
        <f t="shared" si="13"/>
        <v>0</v>
      </c>
      <c r="X128" s="13">
        <v>50000000</v>
      </c>
      <c r="Y128" s="13">
        <v>50000000</v>
      </c>
      <c r="Z128" s="13">
        <v>50000000</v>
      </c>
      <c r="AA128" s="13">
        <f t="shared" si="14"/>
        <v>1.25E+23</v>
      </c>
      <c r="AB128" s="13">
        <f t="shared" si="15"/>
        <v>6.2499999999999992E+23</v>
      </c>
      <c r="AC128" s="13">
        <f t="shared" si="16"/>
        <v>4.3402777777777773E+17</v>
      </c>
      <c r="AD128" s="110">
        <f t="shared" si="17"/>
        <v>44580</v>
      </c>
      <c r="AE128" s="13" t="e">
        <f>IF(AND(AD128&lt;=$AI$4,#REF!&lt;1),1,"")</f>
        <v>#REF!</v>
      </c>
      <c r="AF128" s="110">
        <f t="shared" ca="1" si="18"/>
        <v>44553</v>
      </c>
      <c r="AH128" s="13">
        <f t="shared" ca="1" si="19"/>
        <v>-23</v>
      </c>
    </row>
    <row r="129" spans="1:34" x14ac:dyDescent="0.25">
      <c r="A129" s="13" t="s">
        <v>5</v>
      </c>
      <c r="B129" s="13" t="s">
        <v>5</v>
      </c>
      <c r="C129" s="13" t="s">
        <v>1206</v>
      </c>
      <c r="D129" s="13" t="s">
        <v>1207</v>
      </c>
      <c r="E129" s="13" t="s">
        <v>725</v>
      </c>
      <c r="F129" s="13">
        <v>8</v>
      </c>
      <c r="G129" s="2" t="s">
        <v>1207</v>
      </c>
      <c r="H129" s="13" t="s">
        <v>2</v>
      </c>
      <c r="I129" s="13" t="s">
        <v>140</v>
      </c>
      <c r="J129" s="13" t="s">
        <v>46</v>
      </c>
      <c r="K129" s="109">
        <v>44576</v>
      </c>
      <c r="Q129" s="13" t="str">
        <f t="shared" si="10"/>
        <v>BUCAACT000554TRADICIONALNUTRESA</v>
      </c>
      <c r="T129" s="123">
        <f t="shared" si="11"/>
        <v>0</v>
      </c>
      <c r="U129" s="13">
        <f t="shared" si="12"/>
        <v>0</v>
      </c>
      <c r="V129" s="123">
        <f t="shared" si="13"/>
        <v>0</v>
      </c>
      <c r="X129" s="13">
        <v>50000000</v>
      </c>
      <c r="Y129" s="13">
        <v>50000000</v>
      </c>
      <c r="Z129" s="13">
        <v>50000000</v>
      </c>
      <c r="AA129" s="13">
        <f t="shared" si="14"/>
        <v>1.25E+23</v>
      </c>
      <c r="AB129" s="13">
        <f t="shared" si="15"/>
        <v>9.9999999999999998E+23</v>
      </c>
      <c r="AC129" s="13">
        <f t="shared" si="16"/>
        <v>6.9444444444444442E+17</v>
      </c>
      <c r="AD129" s="110">
        <f t="shared" si="17"/>
        <v>44580</v>
      </c>
      <c r="AE129" s="13" t="e">
        <f>IF(AND(AD129&lt;=$AI$4,#REF!&lt;1),1,"")</f>
        <v>#REF!</v>
      </c>
      <c r="AF129" s="110">
        <f t="shared" ca="1" si="18"/>
        <v>44553</v>
      </c>
      <c r="AH129" s="13">
        <f t="shared" ca="1" si="19"/>
        <v>-23</v>
      </c>
    </row>
    <row r="130" spans="1:34" x14ac:dyDescent="0.25">
      <c r="A130" s="13" t="s">
        <v>6</v>
      </c>
      <c r="B130" s="13" t="s">
        <v>6</v>
      </c>
      <c r="C130" s="13" t="s">
        <v>1206</v>
      </c>
      <c r="D130" s="13" t="s">
        <v>1207</v>
      </c>
      <c r="E130" s="13" t="s">
        <v>725</v>
      </c>
      <c r="F130" s="13">
        <v>8</v>
      </c>
      <c r="G130" s="2" t="s">
        <v>1207</v>
      </c>
      <c r="H130" s="13" t="s">
        <v>2</v>
      </c>
      <c r="I130" s="13" t="s">
        <v>140</v>
      </c>
      <c r="J130" s="13" t="s">
        <v>46</v>
      </c>
      <c r="K130" s="109">
        <v>44576</v>
      </c>
      <c r="Q130" s="13" t="str">
        <f t="shared" si="10"/>
        <v>CALIACT000554TRADICIONALNUTRESA</v>
      </c>
      <c r="T130" s="123">
        <f t="shared" si="11"/>
        <v>0</v>
      </c>
      <c r="U130" s="13">
        <f t="shared" si="12"/>
        <v>0</v>
      </c>
      <c r="V130" s="123">
        <f t="shared" si="13"/>
        <v>0</v>
      </c>
      <c r="X130" s="13">
        <v>50000000</v>
      </c>
      <c r="Y130" s="13">
        <v>50000000</v>
      </c>
      <c r="Z130" s="13">
        <v>50000000</v>
      </c>
      <c r="AA130" s="13">
        <f t="shared" si="14"/>
        <v>1.25E+23</v>
      </c>
      <c r="AB130" s="13">
        <f t="shared" si="15"/>
        <v>9.9999999999999998E+23</v>
      </c>
      <c r="AC130" s="13">
        <f t="shared" si="16"/>
        <v>6.9444444444444442E+17</v>
      </c>
      <c r="AD130" s="110">
        <f t="shared" si="17"/>
        <v>44580</v>
      </c>
      <c r="AE130" s="13" t="e">
        <f>IF(AND(AD130&lt;=$AI$4,#REF!&lt;1),1,"")</f>
        <v>#REF!</v>
      </c>
      <c r="AF130" s="110">
        <f t="shared" ca="1" si="18"/>
        <v>44553</v>
      </c>
      <c r="AH130" s="13">
        <f t="shared" ca="1" si="19"/>
        <v>-23</v>
      </c>
    </row>
    <row r="131" spans="1:34" x14ac:dyDescent="0.25">
      <c r="A131" s="13" t="s">
        <v>7</v>
      </c>
      <c r="B131" s="13" t="s">
        <v>7</v>
      </c>
      <c r="C131" s="13" t="s">
        <v>1206</v>
      </c>
      <c r="D131" s="13" t="s">
        <v>1207</v>
      </c>
      <c r="E131" s="13" t="s">
        <v>725</v>
      </c>
      <c r="F131" s="13">
        <v>11</v>
      </c>
      <c r="G131" s="2" t="s">
        <v>1207</v>
      </c>
      <c r="H131" s="13" t="s">
        <v>2</v>
      </c>
      <c r="I131" s="13" t="s">
        <v>140</v>
      </c>
      <c r="J131" s="13" t="s">
        <v>46</v>
      </c>
      <c r="K131" s="109">
        <v>44576</v>
      </c>
      <c r="Q131" s="13" t="str">
        <f t="shared" ref="Q131:Q194" si="20">+CONCATENATE(B131,C131,H131,I131)</f>
        <v>CARTACT000554TRADICIONALNUTRESA</v>
      </c>
      <c r="T131" s="123">
        <f t="shared" ref="T131:T194" si="21">IFERROR(R131/F131,0)</f>
        <v>0</v>
      </c>
      <c r="U131" s="13">
        <f t="shared" ref="U131:U194" si="22">R131-S131</f>
        <v>0</v>
      </c>
      <c r="V131" s="123">
        <f t="shared" ref="V131:V194" si="23">IFERROR(U131/R131,0)</f>
        <v>0</v>
      </c>
      <c r="X131" s="13">
        <v>50000000</v>
      </c>
      <c r="Y131" s="13">
        <v>50000000</v>
      </c>
      <c r="Z131" s="13">
        <v>50000000</v>
      </c>
      <c r="AA131" s="13">
        <f t="shared" ref="AA131:AA194" si="24">X131*Y131*Z131</f>
        <v>1.25E+23</v>
      </c>
      <c r="AB131" s="13">
        <f t="shared" ref="AB131:AB194" si="25">AA131*F131</f>
        <v>1.375E+24</v>
      </c>
      <c r="AC131" s="13">
        <f t="shared" ref="AC131:AC194" si="26">AB131/1440000</f>
        <v>9.5486111111111117E+17</v>
      </c>
      <c r="AD131" s="110">
        <f t="shared" ref="AD131:AD194" si="27">K131+4</f>
        <v>44580</v>
      </c>
      <c r="AE131" s="13" t="e">
        <f>IF(AND(AD131&lt;=$AI$4,#REF!&lt;1),1,"")</f>
        <v>#REF!</v>
      </c>
      <c r="AF131" s="110">
        <f t="shared" ref="AF131:AF194" ca="1" si="28">TODAY()</f>
        <v>44553</v>
      </c>
      <c r="AH131" s="13">
        <f t="shared" ref="AH131:AH194" ca="1" si="29">AF131-K131</f>
        <v>-23</v>
      </c>
    </row>
    <row r="132" spans="1:34" x14ac:dyDescent="0.25">
      <c r="A132" s="13" t="s">
        <v>8</v>
      </c>
      <c r="B132" s="13" t="s">
        <v>8</v>
      </c>
      <c r="C132" s="13" t="s">
        <v>1206</v>
      </c>
      <c r="D132" s="13" t="s">
        <v>1207</v>
      </c>
      <c r="E132" s="13" t="s">
        <v>725</v>
      </c>
      <c r="F132" s="13">
        <v>8</v>
      </c>
      <c r="G132" s="2" t="s">
        <v>1207</v>
      </c>
      <c r="H132" s="13" t="s">
        <v>2</v>
      </c>
      <c r="I132" s="13" t="s">
        <v>140</v>
      </c>
      <c r="J132" s="13" t="s">
        <v>46</v>
      </c>
      <c r="K132" s="109">
        <v>44576</v>
      </c>
      <c r="Q132" s="13" t="str">
        <f t="shared" si="20"/>
        <v>IBA1ACT000554TRADICIONALNUTRESA</v>
      </c>
      <c r="T132" s="123">
        <f t="shared" si="21"/>
        <v>0</v>
      </c>
      <c r="U132" s="13">
        <f t="shared" si="22"/>
        <v>0</v>
      </c>
      <c r="V132" s="123">
        <f t="shared" si="23"/>
        <v>0</v>
      </c>
      <c r="X132" s="13">
        <v>50000000</v>
      </c>
      <c r="Y132" s="13">
        <v>50000000</v>
      </c>
      <c r="Z132" s="13">
        <v>50000000</v>
      </c>
      <c r="AA132" s="13">
        <f t="shared" si="24"/>
        <v>1.25E+23</v>
      </c>
      <c r="AB132" s="13">
        <f t="shared" si="25"/>
        <v>9.9999999999999998E+23</v>
      </c>
      <c r="AC132" s="13">
        <f t="shared" si="26"/>
        <v>6.9444444444444442E+17</v>
      </c>
      <c r="AD132" s="110">
        <f t="shared" si="27"/>
        <v>44580</v>
      </c>
      <c r="AE132" s="13" t="e">
        <f>IF(AND(AD132&lt;=$AI$4,#REF!&lt;1),1,"")</f>
        <v>#REF!</v>
      </c>
      <c r="AF132" s="110">
        <f t="shared" ca="1" si="28"/>
        <v>44553</v>
      </c>
      <c r="AH132" s="13">
        <f t="shared" ca="1" si="29"/>
        <v>-23</v>
      </c>
    </row>
    <row r="133" spans="1:34" x14ac:dyDescent="0.25">
      <c r="A133" s="13" t="s">
        <v>9</v>
      </c>
      <c r="B133" s="13" t="s">
        <v>9</v>
      </c>
      <c r="C133" s="13" t="s">
        <v>1206</v>
      </c>
      <c r="D133" s="13" t="s">
        <v>1207</v>
      </c>
      <c r="E133" s="13" t="s">
        <v>725</v>
      </c>
      <c r="F133" s="13">
        <v>15</v>
      </c>
      <c r="G133" s="2" t="s">
        <v>1207</v>
      </c>
      <c r="H133" s="13" t="s">
        <v>2</v>
      </c>
      <c r="I133" s="13" t="s">
        <v>140</v>
      </c>
      <c r="J133" s="13" t="s">
        <v>46</v>
      </c>
      <c r="K133" s="109">
        <v>44576</v>
      </c>
      <c r="Q133" s="13" t="str">
        <f t="shared" si="20"/>
        <v>MEDEACT000554TRADICIONALNUTRESA</v>
      </c>
      <c r="T133" s="123">
        <f t="shared" si="21"/>
        <v>0</v>
      </c>
      <c r="U133" s="13">
        <f t="shared" si="22"/>
        <v>0</v>
      </c>
      <c r="V133" s="123">
        <f t="shared" si="23"/>
        <v>0</v>
      </c>
      <c r="X133" s="13">
        <v>50000000</v>
      </c>
      <c r="Y133" s="13">
        <v>50000000</v>
      </c>
      <c r="Z133" s="13">
        <v>50000000</v>
      </c>
      <c r="AA133" s="13">
        <f t="shared" si="24"/>
        <v>1.25E+23</v>
      </c>
      <c r="AB133" s="13">
        <f t="shared" si="25"/>
        <v>1.875E+24</v>
      </c>
      <c r="AC133" s="13">
        <f t="shared" si="26"/>
        <v>1.3020833333333332E+18</v>
      </c>
      <c r="AD133" s="110">
        <f t="shared" si="27"/>
        <v>44580</v>
      </c>
      <c r="AE133" s="13" t="e">
        <f>IF(AND(AD133&lt;=$AI$4,#REF!&lt;1),1,"")</f>
        <v>#REF!</v>
      </c>
      <c r="AF133" s="110">
        <f t="shared" ca="1" si="28"/>
        <v>44553</v>
      </c>
      <c r="AH133" s="13">
        <f t="shared" ca="1" si="29"/>
        <v>-23</v>
      </c>
    </row>
    <row r="134" spans="1:34" x14ac:dyDescent="0.25">
      <c r="A134" s="13" t="s">
        <v>10</v>
      </c>
      <c r="B134" s="13" t="s">
        <v>10</v>
      </c>
      <c r="C134" s="13" t="s">
        <v>1206</v>
      </c>
      <c r="D134" s="13" t="s">
        <v>1207</v>
      </c>
      <c r="E134" s="13" t="s">
        <v>725</v>
      </c>
      <c r="F134" s="13">
        <v>2</v>
      </c>
      <c r="G134" s="2" t="s">
        <v>1207</v>
      </c>
      <c r="H134" s="13" t="s">
        <v>2</v>
      </c>
      <c r="I134" s="13" t="s">
        <v>140</v>
      </c>
      <c r="J134" s="13" t="s">
        <v>46</v>
      </c>
      <c r="K134" s="109">
        <v>44576</v>
      </c>
      <c r="Q134" s="13" t="str">
        <f t="shared" si="20"/>
        <v>PEREACT000554TRADICIONALNUTRESA</v>
      </c>
      <c r="T134" s="123">
        <f t="shared" si="21"/>
        <v>0</v>
      </c>
      <c r="U134" s="13">
        <f t="shared" si="22"/>
        <v>0</v>
      </c>
      <c r="V134" s="123">
        <f t="shared" si="23"/>
        <v>0</v>
      </c>
      <c r="X134" s="13">
        <v>50000000</v>
      </c>
      <c r="Y134" s="13">
        <v>50000000</v>
      </c>
      <c r="Z134" s="13">
        <v>50000000</v>
      </c>
      <c r="AA134" s="13">
        <f t="shared" si="24"/>
        <v>1.25E+23</v>
      </c>
      <c r="AB134" s="13">
        <f t="shared" si="25"/>
        <v>2.5E+23</v>
      </c>
      <c r="AC134" s="13">
        <f t="shared" si="26"/>
        <v>1.736111111111111E+17</v>
      </c>
      <c r="AD134" s="110">
        <f t="shared" si="27"/>
        <v>44580</v>
      </c>
      <c r="AE134" s="13" t="e">
        <f>IF(AND(AD134&lt;=$AI$4,#REF!&lt;1),1,"")</f>
        <v>#REF!</v>
      </c>
      <c r="AF134" s="110">
        <f t="shared" ca="1" si="28"/>
        <v>44553</v>
      </c>
      <c r="AH134" s="13">
        <f t="shared" ca="1" si="29"/>
        <v>-23</v>
      </c>
    </row>
    <row r="135" spans="1:34" x14ac:dyDescent="0.25">
      <c r="A135" s="13" t="s">
        <v>9</v>
      </c>
      <c r="B135" s="13" t="s">
        <v>9</v>
      </c>
      <c r="C135" s="13" t="s">
        <v>726</v>
      </c>
      <c r="D135" s="13" t="s">
        <v>376</v>
      </c>
      <c r="E135" s="13" t="s">
        <v>725</v>
      </c>
      <c r="F135" s="13">
        <v>1</v>
      </c>
      <c r="G135" s="2" t="s">
        <v>376</v>
      </c>
      <c r="H135" s="13" t="s">
        <v>1</v>
      </c>
      <c r="I135" s="13" t="s">
        <v>140</v>
      </c>
      <c r="J135" s="13" t="s">
        <v>46</v>
      </c>
      <c r="K135" s="109">
        <v>44510</v>
      </c>
      <c r="Q135" s="13" t="str">
        <f t="shared" si="20"/>
        <v>MEDEACT000548CADENASNUTRESA</v>
      </c>
      <c r="T135" s="123">
        <f t="shared" si="21"/>
        <v>0</v>
      </c>
      <c r="U135" s="13">
        <f t="shared" si="22"/>
        <v>0</v>
      </c>
      <c r="V135" s="123">
        <f t="shared" si="23"/>
        <v>0</v>
      </c>
      <c r="X135" s="13">
        <v>50000000</v>
      </c>
      <c r="Y135" s="13">
        <v>45000000</v>
      </c>
      <c r="Z135" s="13">
        <v>45000000</v>
      </c>
      <c r="AA135" s="13">
        <f t="shared" si="24"/>
        <v>1.0125E+23</v>
      </c>
      <c r="AB135" s="13">
        <f t="shared" si="25"/>
        <v>1.0125E+23</v>
      </c>
      <c r="AC135" s="13">
        <f t="shared" si="26"/>
        <v>7.03125E+16</v>
      </c>
      <c r="AD135" s="110">
        <f t="shared" si="27"/>
        <v>44514</v>
      </c>
      <c r="AE135" s="13" t="e">
        <f>IF(AND(AD135&lt;=$AI$4,#REF!&lt;1),1,"")</f>
        <v>#REF!</v>
      </c>
      <c r="AF135" s="110">
        <f t="shared" ca="1" si="28"/>
        <v>44553</v>
      </c>
      <c r="AH135" s="13">
        <f t="shared" ca="1" si="29"/>
        <v>43</v>
      </c>
    </row>
    <row r="136" spans="1:34" x14ac:dyDescent="0.25">
      <c r="A136" s="13" t="s">
        <v>4</v>
      </c>
      <c r="B136" s="13" t="s">
        <v>4</v>
      </c>
      <c r="C136" s="13" t="s">
        <v>440</v>
      </c>
      <c r="D136" s="13" t="s">
        <v>1176</v>
      </c>
      <c r="E136" s="13" t="s">
        <v>725</v>
      </c>
      <c r="F136" s="13">
        <v>3</v>
      </c>
      <c r="G136" s="2" t="s">
        <v>383</v>
      </c>
      <c r="H136" s="13" t="s">
        <v>1</v>
      </c>
      <c r="I136" s="13" t="s">
        <v>140</v>
      </c>
      <c r="J136" s="13" t="s">
        <v>139</v>
      </c>
      <c r="K136" s="109">
        <v>44512</v>
      </c>
      <c r="Q136" s="13" t="str">
        <f t="shared" si="20"/>
        <v>BGTACRD024889CADENASNUTRESA</v>
      </c>
      <c r="T136" s="123">
        <f t="shared" si="21"/>
        <v>0</v>
      </c>
      <c r="U136" s="13">
        <f t="shared" si="22"/>
        <v>0</v>
      </c>
      <c r="V136" s="123">
        <f t="shared" si="23"/>
        <v>0</v>
      </c>
      <c r="X136" s="13">
        <v>5500000</v>
      </c>
      <c r="Y136" s="13">
        <v>43000000</v>
      </c>
      <c r="Z136" s="13">
        <v>43000000</v>
      </c>
      <c r="AA136" s="13">
        <f t="shared" si="24"/>
        <v>1.0169500000000001E+22</v>
      </c>
      <c r="AB136" s="13">
        <f t="shared" si="25"/>
        <v>3.0508500000000002E+22</v>
      </c>
      <c r="AC136" s="13">
        <f t="shared" si="26"/>
        <v>2.1186458333333336E+16</v>
      </c>
      <c r="AD136" s="110">
        <f t="shared" si="27"/>
        <v>44516</v>
      </c>
      <c r="AE136" s="13" t="e">
        <f>IF(AND(AD136&lt;=$AI$4,#REF!&lt;1),1,"")</f>
        <v>#REF!</v>
      </c>
      <c r="AF136" s="110">
        <f t="shared" ca="1" si="28"/>
        <v>44553</v>
      </c>
      <c r="AH136" s="13">
        <f t="shared" ca="1" si="29"/>
        <v>41</v>
      </c>
    </row>
    <row r="137" spans="1:34" x14ac:dyDescent="0.25">
      <c r="A137" s="13" t="s">
        <v>149</v>
      </c>
      <c r="B137" s="13" t="s">
        <v>149</v>
      </c>
      <c r="C137" s="13" t="s">
        <v>440</v>
      </c>
      <c r="D137" s="13" t="s">
        <v>1176</v>
      </c>
      <c r="E137" s="13" t="s">
        <v>725</v>
      </c>
      <c r="F137" s="13">
        <v>1</v>
      </c>
      <c r="G137" s="2" t="s">
        <v>383</v>
      </c>
      <c r="H137" s="13" t="s">
        <v>1</v>
      </c>
      <c r="I137" s="13" t="s">
        <v>140</v>
      </c>
      <c r="J137" s="13" t="s">
        <v>139</v>
      </c>
      <c r="K137" s="109">
        <v>44512</v>
      </c>
      <c r="Q137" s="13" t="str">
        <f t="shared" si="20"/>
        <v>DUITCRD024889CADENASNUTRESA</v>
      </c>
      <c r="T137" s="123">
        <f t="shared" si="21"/>
        <v>0</v>
      </c>
      <c r="U137" s="13">
        <f t="shared" si="22"/>
        <v>0</v>
      </c>
      <c r="V137" s="123">
        <f t="shared" si="23"/>
        <v>0</v>
      </c>
      <c r="X137" s="13">
        <v>5500000</v>
      </c>
      <c r="Y137" s="13">
        <v>43000000</v>
      </c>
      <c r="Z137" s="13">
        <v>43000000</v>
      </c>
      <c r="AA137" s="13">
        <f t="shared" si="24"/>
        <v>1.0169500000000001E+22</v>
      </c>
      <c r="AB137" s="13">
        <f t="shared" si="25"/>
        <v>1.0169500000000001E+22</v>
      </c>
      <c r="AC137" s="13">
        <f t="shared" si="26"/>
        <v>7062152777777778</v>
      </c>
      <c r="AD137" s="110">
        <f t="shared" si="27"/>
        <v>44516</v>
      </c>
      <c r="AE137" s="13" t="e">
        <f>IF(AND(AD137&lt;=$AI$4,#REF!&lt;1),1,"")</f>
        <v>#REF!</v>
      </c>
      <c r="AF137" s="110">
        <f t="shared" ca="1" si="28"/>
        <v>44553</v>
      </c>
      <c r="AH137" s="13">
        <f t="shared" ca="1" si="29"/>
        <v>41</v>
      </c>
    </row>
    <row r="138" spans="1:34" x14ac:dyDescent="0.25">
      <c r="A138" s="13" t="s">
        <v>150</v>
      </c>
      <c r="B138" s="13" t="s">
        <v>150</v>
      </c>
      <c r="C138" s="13" t="s">
        <v>440</v>
      </c>
      <c r="D138" s="13" t="s">
        <v>1176</v>
      </c>
      <c r="E138" s="13" t="s">
        <v>725</v>
      </c>
      <c r="F138" s="13">
        <v>1</v>
      </c>
      <c r="G138" s="2" t="s">
        <v>383</v>
      </c>
      <c r="H138" s="13" t="s">
        <v>1</v>
      </c>
      <c r="I138" s="13" t="s">
        <v>140</v>
      </c>
      <c r="J138" s="13" t="s">
        <v>139</v>
      </c>
      <c r="K138" s="109">
        <v>44512</v>
      </c>
      <c r="Q138" s="13" t="str">
        <f t="shared" si="20"/>
        <v>VILACRD024889CADENASNUTRESA</v>
      </c>
      <c r="T138" s="123">
        <f t="shared" si="21"/>
        <v>0</v>
      </c>
      <c r="U138" s="13">
        <f t="shared" si="22"/>
        <v>0</v>
      </c>
      <c r="V138" s="123">
        <f t="shared" si="23"/>
        <v>0</v>
      </c>
      <c r="X138" s="13">
        <v>5500000</v>
      </c>
      <c r="Y138" s="13">
        <v>43000000</v>
      </c>
      <c r="Z138" s="13">
        <v>43000000</v>
      </c>
      <c r="AA138" s="13">
        <f t="shared" si="24"/>
        <v>1.0169500000000001E+22</v>
      </c>
      <c r="AB138" s="13">
        <f t="shared" si="25"/>
        <v>1.0169500000000001E+22</v>
      </c>
      <c r="AC138" s="13">
        <f t="shared" si="26"/>
        <v>7062152777777778</v>
      </c>
      <c r="AD138" s="110">
        <f t="shared" si="27"/>
        <v>44516</v>
      </c>
      <c r="AE138" s="13" t="e">
        <f>IF(AND(AD138&lt;=$AI$4,#REF!&lt;1),1,"")</f>
        <v>#REF!</v>
      </c>
      <c r="AF138" s="110">
        <f t="shared" ca="1" si="28"/>
        <v>44553</v>
      </c>
      <c r="AH138" s="13">
        <f t="shared" ca="1" si="29"/>
        <v>41</v>
      </c>
    </row>
    <row r="139" spans="1:34" x14ac:dyDescent="0.25">
      <c r="A139" s="13" t="s">
        <v>5</v>
      </c>
      <c r="B139" s="13" t="s">
        <v>5</v>
      </c>
      <c r="C139" s="13" t="s">
        <v>440</v>
      </c>
      <c r="D139" s="13" t="s">
        <v>1176</v>
      </c>
      <c r="E139" s="13" t="s">
        <v>725</v>
      </c>
      <c r="F139" s="13">
        <v>2</v>
      </c>
      <c r="G139" s="2" t="s">
        <v>383</v>
      </c>
      <c r="H139" s="13" t="s">
        <v>1</v>
      </c>
      <c r="I139" s="13" t="s">
        <v>140</v>
      </c>
      <c r="J139" s="13" t="s">
        <v>139</v>
      </c>
      <c r="K139" s="109">
        <v>44512</v>
      </c>
      <c r="Q139" s="13" t="str">
        <f t="shared" si="20"/>
        <v>BUCACRD024889CADENASNUTRESA</v>
      </c>
      <c r="T139" s="123">
        <f t="shared" si="21"/>
        <v>0</v>
      </c>
      <c r="U139" s="13">
        <f t="shared" si="22"/>
        <v>0</v>
      </c>
      <c r="V139" s="123">
        <f t="shared" si="23"/>
        <v>0</v>
      </c>
      <c r="X139" s="13">
        <v>5500000</v>
      </c>
      <c r="Y139" s="13">
        <v>43000000</v>
      </c>
      <c r="Z139" s="13">
        <v>43000000</v>
      </c>
      <c r="AA139" s="13">
        <f t="shared" si="24"/>
        <v>1.0169500000000001E+22</v>
      </c>
      <c r="AB139" s="13">
        <f t="shared" si="25"/>
        <v>2.0339000000000001E+22</v>
      </c>
      <c r="AC139" s="13">
        <f t="shared" si="26"/>
        <v>1.4124305555555556E+16</v>
      </c>
      <c r="AD139" s="110">
        <f t="shared" si="27"/>
        <v>44516</v>
      </c>
      <c r="AE139" s="13" t="e">
        <f>IF(AND(AD139&lt;=$AI$4,#REF!&lt;1),1,"")</f>
        <v>#REF!</v>
      </c>
      <c r="AF139" s="110">
        <f t="shared" ca="1" si="28"/>
        <v>44553</v>
      </c>
      <c r="AH139" s="13">
        <f t="shared" ca="1" si="29"/>
        <v>41</v>
      </c>
    </row>
    <row r="140" spans="1:34" x14ac:dyDescent="0.25">
      <c r="A140" s="13" t="s">
        <v>6</v>
      </c>
      <c r="B140" s="13" t="s">
        <v>6</v>
      </c>
      <c r="C140" s="13" t="s">
        <v>440</v>
      </c>
      <c r="D140" s="13" t="s">
        <v>1176</v>
      </c>
      <c r="E140" s="13" t="s">
        <v>725</v>
      </c>
      <c r="F140" s="13">
        <v>1</v>
      </c>
      <c r="G140" s="2" t="s">
        <v>383</v>
      </c>
      <c r="H140" s="13" t="s">
        <v>1</v>
      </c>
      <c r="I140" s="13" t="s">
        <v>140</v>
      </c>
      <c r="J140" s="13" t="s">
        <v>139</v>
      </c>
      <c r="K140" s="109">
        <v>44512</v>
      </c>
      <c r="Q140" s="13" t="str">
        <f t="shared" si="20"/>
        <v>CALICRD024889CADENASNUTRESA</v>
      </c>
      <c r="T140" s="123">
        <f t="shared" si="21"/>
        <v>0</v>
      </c>
      <c r="U140" s="13">
        <f t="shared" si="22"/>
        <v>0</v>
      </c>
      <c r="V140" s="123">
        <f t="shared" si="23"/>
        <v>0</v>
      </c>
      <c r="X140" s="13">
        <v>5500000</v>
      </c>
      <c r="Y140" s="13">
        <v>43000000</v>
      </c>
      <c r="Z140" s="13">
        <v>43000000</v>
      </c>
      <c r="AA140" s="13">
        <f t="shared" si="24"/>
        <v>1.0169500000000001E+22</v>
      </c>
      <c r="AB140" s="13">
        <f t="shared" si="25"/>
        <v>1.0169500000000001E+22</v>
      </c>
      <c r="AC140" s="13">
        <f t="shared" si="26"/>
        <v>7062152777777778</v>
      </c>
      <c r="AD140" s="110">
        <f t="shared" si="27"/>
        <v>44516</v>
      </c>
      <c r="AE140" s="13" t="e">
        <f>IF(AND(AD140&lt;=$AI$4,#REF!&lt;1),1,"")</f>
        <v>#REF!</v>
      </c>
      <c r="AF140" s="110">
        <f t="shared" ca="1" si="28"/>
        <v>44553</v>
      </c>
      <c r="AH140" s="13">
        <f t="shared" ca="1" si="29"/>
        <v>41</v>
      </c>
    </row>
    <row r="141" spans="1:34" x14ac:dyDescent="0.25">
      <c r="A141" s="13" t="s">
        <v>3</v>
      </c>
      <c r="B141" s="13" t="s">
        <v>3</v>
      </c>
      <c r="C141" s="13" t="s">
        <v>440</v>
      </c>
      <c r="D141" s="13" t="s">
        <v>1176</v>
      </c>
      <c r="E141" s="13" t="s">
        <v>725</v>
      </c>
      <c r="F141" s="13">
        <v>2</v>
      </c>
      <c r="G141" s="2" t="s">
        <v>383</v>
      </c>
      <c r="H141" s="13" t="s">
        <v>1</v>
      </c>
      <c r="I141" s="13" t="s">
        <v>140</v>
      </c>
      <c r="J141" s="13" t="s">
        <v>139</v>
      </c>
      <c r="K141" s="109">
        <v>44512</v>
      </c>
      <c r="Q141" s="13" t="str">
        <f t="shared" si="20"/>
        <v>BARRCRD024889CADENASNUTRESA</v>
      </c>
      <c r="T141" s="123">
        <f t="shared" si="21"/>
        <v>0</v>
      </c>
      <c r="U141" s="13">
        <f t="shared" si="22"/>
        <v>0</v>
      </c>
      <c r="V141" s="123">
        <f t="shared" si="23"/>
        <v>0</v>
      </c>
      <c r="X141" s="13">
        <v>5500000</v>
      </c>
      <c r="Y141" s="13">
        <v>43000000</v>
      </c>
      <c r="Z141" s="13">
        <v>43000000</v>
      </c>
      <c r="AA141" s="13">
        <f t="shared" si="24"/>
        <v>1.0169500000000001E+22</v>
      </c>
      <c r="AB141" s="13">
        <f t="shared" si="25"/>
        <v>2.0339000000000001E+22</v>
      </c>
      <c r="AC141" s="13">
        <f t="shared" si="26"/>
        <v>1.4124305555555556E+16</v>
      </c>
      <c r="AD141" s="110">
        <f t="shared" si="27"/>
        <v>44516</v>
      </c>
      <c r="AE141" s="13" t="e">
        <f>IF(AND(AD141&lt;=$AI$4,#REF!&lt;1),1,"")</f>
        <v>#REF!</v>
      </c>
      <c r="AF141" s="110">
        <f t="shared" ca="1" si="28"/>
        <v>44553</v>
      </c>
      <c r="AH141" s="13">
        <f t="shared" ca="1" si="29"/>
        <v>41</v>
      </c>
    </row>
    <row r="142" spans="1:34" x14ac:dyDescent="0.25">
      <c r="A142" s="13" t="s">
        <v>7</v>
      </c>
      <c r="B142" s="13" t="s">
        <v>7</v>
      </c>
      <c r="C142" s="13" t="s">
        <v>440</v>
      </c>
      <c r="D142" s="13" t="s">
        <v>1176</v>
      </c>
      <c r="E142" s="13" t="s">
        <v>725</v>
      </c>
      <c r="F142" s="13">
        <v>1</v>
      </c>
      <c r="G142" s="2" t="s">
        <v>383</v>
      </c>
      <c r="H142" s="13" t="s">
        <v>1</v>
      </c>
      <c r="I142" s="13" t="s">
        <v>140</v>
      </c>
      <c r="J142" s="13" t="s">
        <v>139</v>
      </c>
      <c r="K142" s="109">
        <v>44512</v>
      </c>
      <c r="Q142" s="13" t="str">
        <f t="shared" si="20"/>
        <v>CARTCRD024889CADENASNUTRESA</v>
      </c>
      <c r="T142" s="123">
        <f t="shared" si="21"/>
        <v>0</v>
      </c>
      <c r="U142" s="13">
        <f t="shared" si="22"/>
        <v>0</v>
      </c>
      <c r="V142" s="123">
        <f t="shared" si="23"/>
        <v>0</v>
      </c>
      <c r="X142" s="13">
        <v>5500000</v>
      </c>
      <c r="Y142" s="13">
        <v>43000000</v>
      </c>
      <c r="Z142" s="13">
        <v>43000000</v>
      </c>
      <c r="AA142" s="13">
        <f t="shared" si="24"/>
        <v>1.0169500000000001E+22</v>
      </c>
      <c r="AB142" s="13">
        <f t="shared" si="25"/>
        <v>1.0169500000000001E+22</v>
      </c>
      <c r="AC142" s="13">
        <f t="shared" si="26"/>
        <v>7062152777777778</v>
      </c>
      <c r="AD142" s="110">
        <f t="shared" si="27"/>
        <v>44516</v>
      </c>
      <c r="AE142" s="13" t="e">
        <f>IF(AND(AD142&lt;=$AI$4,#REF!&lt;1),1,"")</f>
        <v>#REF!</v>
      </c>
      <c r="AF142" s="110">
        <f t="shared" ca="1" si="28"/>
        <v>44553</v>
      </c>
      <c r="AH142" s="13">
        <f t="shared" ca="1" si="29"/>
        <v>41</v>
      </c>
    </row>
    <row r="143" spans="1:34" x14ac:dyDescent="0.25">
      <c r="A143" s="13" t="s">
        <v>8</v>
      </c>
      <c r="B143" s="13" t="s">
        <v>8</v>
      </c>
      <c r="C143" s="13" t="s">
        <v>440</v>
      </c>
      <c r="D143" s="13" t="s">
        <v>1176</v>
      </c>
      <c r="E143" s="13" t="s">
        <v>725</v>
      </c>
      <c r="F143" s="13">
        <v>2</v>
      </c>
      <c r="G143" s="2" t="s">
        <v>383</v>
      </c>
      <c r="H143" s="13" t="s">
        <v>1</v>
      </c>
      <c r="I143" s="13" t="s">
        <v>140</v>
      </c>
      <c r="J143" s="13" t="s">
        <v>139</v>
      </c>
      <c r="K143" s="109">
        <v>44512</v>
      </c>
      <c r="Q143" s="13" t="str">
        <f t="shared" si="20"/>
        <v>IBA1CRD024889CADENASNUTRESA</v>
      </c>
      <c r="T143" s="123">
        <f t="shared" si="21"/>
        <v>0</v>
      </c>
      <c r="U143" s="13">
        <f t="shared" si="22"/>
        <v>0</v>
      </c>
      <c r="V143" s="123">
        <f t="shared" si="23"/>
        <v>0</v>
      </c>
      <c r="X143" s="13">
        <v>5500000</v>
      </c>
      <c r="Y143" s="13">
        <v>43000000</v>
      </c>
      <c r="Z143" s="13">
        <v>43000000</v>
      </c>
      <c r="AA143" s="13">
        <f t="shared" si="24"/>
        <v>1.0169500000000001E+22</v>
      </c>
      <c r="AB143" s="13">
        <f t="shared" si="25"/>
        <v>2.0339000000000001E+22</v>
      </c>
      <c r="AC143" s="13">
        <f t="shared" si="26"/>
        <v>1.4124305555555556E+16</v>
      </c>
      <c r="AD143" s="110">
        <f t="shared" si="27"/>
        <v>44516</v>
      </c>
      <c r="AE143" s="13" t="e">
        <f>IF(AND(AD143&lt;=$AI$4,#REF!&lt;1),1,"")</f>
        <v>#REF!</v>
      </c>
      <c r="AF143" s="110">
        <f t="shared" ca="1" si="28"/>
        <v>44553</v>
      </c>
      <c r="AH143" s="13">
        <f t="shared" ca="1" si="29"/>
        <v>41</v>
      </c>
    </row>
    <row r="144" spans="1:34" x14ac:dyDescent="0.25">
      <c r="A144" s="13" t="s">
        <v>9</v>
      </c>
      <c r="B144" s="13" t="s">
        <v>9</v>
      </c>
      <c r="C144" s="13" t="s">
        <v>440</v>
      </c>
      <c r="D144" s="13" t="s">
        <v>1176</v>
      </c>
      <c r="E144" s="13" t="s">
        <v>725</v>
      </c>
      <c r="F144" s="13">
        <v>3</v>
      </c>
      <c r="G144" s="2" t="s">
        <v>383</v>
      </c>
      <c r="H144" s="13" t="s">
        <v>1</v>
      </c>
      <c r="I144" s="13" t="s">
        <v>140</v>
      </c>
      <c r="J144" s="13" t="s">
        <v>139</v>
      </c>
      <c r="K144" s="109">
        <v>44512</v>
      </c>
      <c r="Q144" s="13" t="str">
        <f t="shared" si="20"/>
        <v>MEDECRD024889CADENASNUTRESA</v>
      </c>
      <c r="T144" s="123">
        <f t="shared" si="21"/>
        <v>0</v>
      </c>
      <c r="U144" s="13">
        <f t="shared" si="22"/>
        <v>0</v>
      </c>
      <c r="V144" s="123">
        <f t="shared" si="23"/>
        <v>0</v>
      </c>
      <c r="X144" s="13">
        <v>5500000</v>
      </c>
      <c r="Y144" s="13">
        <v>43000000</v>
      </c>
      <c r="Z144" s="13">
        <v>43000000</v>
      </c>
      <c r="AA144" s="13">
        <f t="shared" si="24"/>
        <v>1.0169500000000001E+22</v>
      </c>
      <c r="AB144" s="13">
        <f t="shared" si="25"/>
        <v>3.0508500000000002E+22</v>
      </c>
      <c r="AC144" s="13">
        <f t="shared" si="26"/>
        <v>2.1186458333333336E+16</v>
      </c>
      <c r="AD144" s="110">
        <f t="shared" si="27"/>
        <v>44516</v>
      </c>
      <c r="AE144" s="13" t="e">
        <f>IF(AND(AD144&lt;=$AI$4,#REF!&lt;1),1,"")</f>
        <v>#REF!</v>
      </c>
      <c r="AF144" s="110">
        <f t="shared" ca="1" si="28"/>
        <v>44553</v>
      </c>
      <c r="AH144" s="13">
        <f t="shared" ca="1" si="29"/>
        <v>41</v>
      </c>
    </row>
    <row r="145" spans="1:34" x14ac:dyDescent="0.25">
      <c r="A145" s="13" t="s">
        <v>10</v>
      </c>
      <c r="B145" s="13" t="s">
        <v>10</v>
      </c>
      <c r="C145" s="13" t="s">
        <v>440</v>
      </c>
      <c r="D145" s="13" t="s">
        <v>1176</v>
      </c>
      <c r="E145" s="13" t="s">
        <v>725</v>
      </c>
      <c r="F145" s="13">
        <v>1</v>
      </c>
      <c r="G145" s="2" t="s">
        <v>383</v>
      </c>
      <c r="H145" s="13" t="s">
        <v>1</v>
      </c>
      <c r="I145" s="13" t="s">
        <v>140</v>
      </c>
      <c r="J145" s="13" t="s">
        <v>139</v>
      </c>
      <c r="K145" s="109">
        <v>44512</v>
      </c>
      <c r="Q145" s="13" t="str">
        <f t="shared" si="20"/>
        <v>PERECRD024889CADENASNUTRESA</v>
      </c>
      <c r="T145" s="123">
        <f t="shared" si="21"/>
        <v>0</v>
      </c>
      <c r="U145" s="13">
        <f t="shared" si="22"/>
        <v>0</v>
      </c>
      <c r="V145" s="123">
        <f t="shared" si="23"/>
        <v>0</v>
      </c>
      <c r="X145" s="13">
        <v>5500000</v>
      </c>
      <c r="Y145" s="13">
        <v>43000000</v>
      </c>
      <c r="Z145" s="13">
        <v>43000000</v>
      </c>
      <c r="AA145" s="13">
        <f t="shared" si="24"/>
        <v>1.0169500000000001E+22</v>
      </c>
      <c r="AB145" s="13">
        <f t="shared" si="25"/>
        <v>1.0169500000000001E+22</v>
      </c>
      <c r="AC145" s="13">
        <f t="shared" si="26"/>
        <v>7062152777777778</v>
      </c>
      <c r="AD145" s="110">
        <f t="shared" si="27"/>
        <v>44516</v>
      </c>
      <c r="AE145" s="13" t="e">
        <f>IF(AND(AD145&lt;=$AI$4,#REF!&lt;1),1,"")</f>
        <v>#REF!</v>
      </c>
      <c r="AF145" s="110">
        <f t="shared" ca="1" si="28"/>
        <v>44553</v>
      </c>
      <c r="AH145" s="13">
        <f t="shared" ca="1" si="29"/>
        <v>41</v>
      </c>
    </row>
    <row r="146" spans="1:34" x14ac:dyDescent="0.25">
      <c r="A146" s="13" t="s">
        <v>4</v>
      </c>
      <c r="B146" s="13" t="s">
        <v>4</v>
      </c>
      <c r="C146" s="13" t="s">
        <v>444</v>
      </c>
      <c r="D146" s="13" t="s">
        <v>445</v>
      </c>
      <c r="E146" s="13" t="s">
        <v>1181</v>
      </c>
      <c r="F146" s="13">
        <v>8</v>
      </c>
      <c r="G146" s="2" t="s">
        <v>201</v>
      </c>
      <c r="H146" s="13" t="s">
        <v>1</v>
      </c>
      <c r="I146" s="13" t="s">
        <v>140</v>
      </c>
      <c r="J146" s="13" t="s">
        <v>139</v>
      </c>
      <c r="K146" s="109">
        <v>44516</v>
      </c>
      <c r="L146" s="109">
        <v>44531</v>
      </c>
      <c r="Q146" s="13" t="str">
        <f t="shared" si="20"/>
        <v>BGTACRD024929CADENASNUTRESA</v>
      </c>
      <c r="T146" s="123">
        <f t="shared" si="21"/>
        <v>0</v>
      </c>
      <c r="U146" s="13">
        <f t="shared" si="22"/>
        <v>0</v>
      </c>
      <c r="V146" s="123">
        <f t="shared" si="23"/>
        <v>0</v>
      </c>
      <c r="X146" s="13">
        <v>0.01</v>
      </c>
      <c r="Y146" s="13">
        <v>40000000</v>
      </c>
      <c r="Z146" s="13">
        <v>40000000</v>
      </c>
      <c r="AA146" s="13">
        <f t="shared" si="24"/>
        <v>16000000000000</v>
      </c>
      <c r="AB146" s="13">
        <f t="shared" si="25"/>
        <v>128000000000000</v>
      </c>
      <c r="AC146" s="13">
        <f t="shared" si="26"/>
        <v>88888888.888888896</v>
      </c>
      <c r="AD146" s="110">
        <f t="shared" si="27"/>
        <v>44520</v>
      </c>
      <c r="AE146" s="13" t="e">
        <f>IF(AND(AD146&lt;=$AI$4,#REF!&lt;1),1,"")</f>
        <v>#REF!</v>
      </c>
      <c r="AF146" s="110">
        <f t="shared" ca="1" si="28"/>
        <v>44553</v>
      </c>
      <c r="AH146" s="13">
        <f t="shared" ca="1" si="29"/>
        <v>37</v>
      </c>
    </row>
    <row r="147" spans="1:34" x14ac:dyDescent="0.25">
      <c r="A147" s="13" t="s">
        <v>6</v>
      </c>
      <c r="B147" s="13" t="s">
        <v>6</v>
      </c>
      <c r="C147" s="13" t="s">
        <v>444</v>
      </c>
      <c r="D147" s="13" t="s">
        <v>445</v>
      </c>
      <c r="E147" s="13" t="s">
        <v>1181</v>
      </c>
      <c r="F147" s="13">
        <v>2</v>
      </c>
      <c r="G147" s="2" t="s">
        <v>201</v>
      </c>
      <c r="H147" s="13" t="s">
        <v>1</v>
      </c>
      <c r="I147" s="13" t="s">
        <v>140</v>
      </c>
      <c r="J147" s="13" t="s">
        <v>139</v>
      </c>
      <c r="K147" s="109">
        <v>44516</v>
      </c>
      <c r="L147" s="109">
        <v>44531</v>
      </c>
      <c r="Q147" s="13" t="str">
        <f t="shared" si="20"/>
        <v>CALICRD024929CADENASNUTRESA</v>
      </c>
      <c r="T147" s="123">
        <f t="shared" si="21"/>
        <v>0</v>
      </c>
      <c r="U147" s="13">
        <f t="shared" si="22"/>
        <v>0</v>
      </c>
      <c r="V147" s="123">
        <f t="shared" si="23"/>
        <v>0</v>
      </c>
      <c r="X147" s="13">
        <v>0.01</v>
      </c>
      <c r="Y147" s="13">
        <v>40000000</v>
      </c>
      <c r="Z147" s="13">
        <v>40000000</v>
      </c>
      <c r="AA147" s="13">
        <f t="shared" si="24"/>
        <v>16000000000000</v>
      </c>
      <c r="AB147" s="13">
        <f t="shared" si="25"/>
        <v>32000000000000</v>
      </c>
      <c r="AC147" s="13">
        <f t="shared" si="26"/>
        <v>22222222.222222224</v>
      </c>
      <c r="AD147" s="110">
        <f t="shared" si="27"/>
        <v>44520</v>
      </c>
      <c r="AE147" s="13" t="e">
        <f>IF(AND(AD147&lt;=$AI$4,#REF!&lt;1),1,"")</f>
        <v>#REF!</v>
      </c>
      <c r="AF147" s="110">
        <f t="shared" ca="1" si="28"/>
        <v>44553</v>
      </c>
      <c r="AH147" s="13">
        <f t="shared" ca="1" si="29"/>
        <v>37</v>
      </c>
    </row>
    <row r="148" spans="1:34" x14ac:dyDescent="0.25">
      <c r="A148" s="13" t="s">
        <v>7</v>
      </c>
      <c r="B148" s="13" t="s">
        <v>7</v>
      </c>
      <c r="C148" s="13" t="s">
        <v>444</v>
      </c>
      <c r="D148" s="13" t="s">
        <v>445</v>
      </c>
      <c r="E148" s="13" t="s">
        <v>1181</v>
      </c>
      <c r="F148" s="13">
        <v>2</v>
      </c>
      <c r="G148" s="2" t="s">
        <v>201</v>
      </c>
      <c r="H148" s="13" t="s">
        <v>1</v>
      </c>
      <c r="I148" s="13" t="s">
        <v>140</v>
      </c>
      <c r="J148" s="13" t="s">
        <v>139</v>
      </c>
      <c r="K148" s="109">
        <v>44516</v>
      </c>
      <c r="L148" s="109">
        <v>44531</v>
      </c>
      <c r="Q148" s="13" t="str">
        <f t="shared" si="20"/>
        <v>CARTCRD024929CADENASNUTRESA</v>
      </c>
      <c r="T148" s="123">
        <f t="shared" si="21"/>
        <v>0</v>
      </c>
      <c r="U148" s="13">
        <f t="shared" si="22"/>
        <v>0</v>
      </c>
      <c r="V148" s="123">
        <f t="shared" si="23"/>
        <v>0</v>
      </c>
      <c r="X148" s="13">
        <v>0.01</v>
      </c>
      <c r="Y148" s="13">
        <v>40000000</v>
      </c>
      <c r="Z148" s="13">
        <v>40000000</v>
      </c>
      <c r="AA148" s="13">
        <f t="shared" si="24"/>
        <v>16000000000000</v>
      </c>
      <c r="AB148" s="13">
        <f t="shared" si="25"/>
        <v>32000000000000</v>
      </c>
      <c r="AC148" s="13">
        <f t="shared" si="26"/>
        <v>22222222.222222224</v>
      </c>
      <c r="AD148" s="110">
        <f t="shared" si="27"/>
        <v>44520</v>
      </c>
      <c r="AE148" s="13" t="e">
        <f>IF(AND(AD148&lt;=$AI$4,#REF!&lt;1),1,"")</f>
        <v>#REF!</v>
      </c>
      <c r="AF148" s="110">
        <f t="shared" ca="1" si="28"/>
        <v>44553</v>
      </c>
      <c r="AH148" s="13">
        <f t="shared" ca="1" si="29"/>
        <v>37</v>
      </c>
    </row>
    <row r="149" spans="1:34" x14ac:dyDescent="0.25">
      <c r="A149" s="13" t="s">
        <v>9</v>
      </c>
      <c r="B149" s="13" t="s">
        <v>9</v>
      </c>
      <c r="C149" s="13" t="s">
        <v>444</v>
      </c>
      <c r="D149" s="13" t="s">
        <v>445</v>
      </c>
      <c r="E149" s="13" t="s">
        <v>1181</v>
      </c>
      <c r="F149" s="13">
        <v>2</v>
      </c>
      <c r="G149" s="2" t="s">
        <v>201</v>
      </c>
      <c r="H149" s="13" t="s">
        <v>1</v>
      </c>
      <c r="I149" s="13" t="s">
        <v>140</v>
      </c>
      <c r="J149" s="13" t="s">
        <v>139</v>
      </c>
      <c r="K149" s="109">
        <v>44516</v>
      </c>
      <c r="L149" s="109">
        <v>44531</v>
      </c>
      <c r="Q149" s="13" t="str">
        <f t="shared" si="20"/>
        <v>MEDECRD024929CADENASNUTRESA</v>
      </c>
      <c r="T149" s="123">
        <f t="shared" si="21"/>
        <v>0</v>
      </c>
      <c r="U149" s="13">
        <f t="shared" si="22"/>
        <v>0</v>
      </c>
      <c r="V149" s="123">
        <f t="shared" si="23"/>
        <v>0</v>
      </c>
      <c r="X149" s="13">
        <v>0.01</v>
      </c>
      <c r="Y149" s="13">
        <v>40000000</v>
      </c>
      <c r="Z149" s="13">
        <v>40000000</v>
      </c>
      <c r="AA149" s="13">
        <f t="shared" si="24"/>
        <v>16000000000000</v>
      </c>
      <c r="AB149" s="13">
        <f t="shared" si="25"/>
        <v>32000000000000</v>
      </c>
      <c r="AC149" s="13">
        <f t="shared" si="26"/>
        <v>22222222.222222224</v>
      </c>
      <c r="AD149" s="110">
        <f t="shared" si="27"/>
        <v>44520</v>
      </c>
      <c r="AE149" s="13" t="e">
        <f>IF(AND(AD149&lt;=$AI$4,#REF!&lt;1),1,"")</f>
        <v>#REF!</v>
      </c>
      <c r="AF149" s="110">
        <f t="shared" ca="1" si="28"/>
        <v>44553</v>
      </c>
      <c r="AH149" s="13">
        <f t="shared" ca="1" si="29"/>
        <v>37</v>
      </c>
    </row>
    <row r="150" spans="1:34" x14ac:dyDescent="0.25">
      <c r="A150" s="13" t="s">
        <v>10</v>
      </c>
      <c r="B150" s="13" t="s">
        <v>10</v>
      </c>
      <c r="C150" s="13" t="s">
        <v>444</v>
      </c>
      <c r="D150" s="13" t="s">
        <v>445</v>
      </c>
      <c r="E150" s="13" t="s">
        <v>1181</v>
      </c>
      <c r="F150" s="13">
        <v>1</v>
      </c>
      <c r="G150" s="2" t="s">
        <v>201</v>
      </c>
      <c r="H150" s="13" t="s">
        <v>1</v>
      </c>
      <c r="I150" s="13" t="s">
        <v>140</v>
      </c>
      <c r="J150" s="13" t="s">
        <v>139</v>
      </c>
      <c r="K150" s="109">
        <v>44516</v>
      </c>
      <c r="L150" s="109">
        <v>44531</v>
      </c>
      <c r="Q150" s="13" t="str">
        <f t="shared" si="20"/>
        <v>PERECRD024929CADENASNUTRESA</v>
      </c>
      <c r="T150" s="123">
        <f t="shared" si="21"/>
        <v>0</v>
      </c>
      <c r="U150" s="13">
        <f t="shared" si="22"/>
        <v>0</v>
      </c>
      <c r="V150" s="123">
        <f t="shared" si="23"/>
        <v>0</v>
      </c>
      <c r="X150" s="13">
        <v>0.01</v>
      </c>
      <c r="Y150" s="13">
        <v>40000000</v>
      </c>
      <c r="Z150" s="13">
        <v>40000000</v>
      </c>
      <c r="AA150" s="13">
        <f t="shared" si="24"/>
        <v>16000000000000</v>
      </c>
      <c r="AB150" s="13">
        <f t="shared" si="25"/>
        <v>16000000000000</v>
      </c>
      <c r="AC150" s="13">
        <f t="shared" si="26"/>
        <v>11111111.111111112</v>
      </c>
      <c r="AD150" s="110">
        <f t="shared" si="27"/>
        <v>44520</v>
      </c>
      <c r="AE150" s="13" t="e">
        <f>IF(AND(AD150&lt;=$AI$4,#REF!&lt;1),1,"")</f>
        <v>#REF!</v>
      </c>
      <c r="AF150" s="110">
        <f t="shared" ca="1" si="28"/>
        <v>44553</v>
      </c>
      <c r="AH150" s="13">
        <f t="shared" ca="1" si="29"/>
        <v>37</v>
      </c>
    </row>
    <row r="151" spans="1:34" x14ac:dyDescent="0.25">
      <c r="A151" s="13" t="s">
        <v>3</v>
      </c>
      <c r="B151" s="13" t="s">
        <v>3</v>
      </c>
      <c r="C151" s="13" t="s">
        <v>384</v>
      </c>
      <c r="D151" s="13" t="s">
        <v>385</v>
      </c>
      <c r="E151" s="13" t="s">
        <v>725</v>
      </c>
      <c r="F151" s="13">
        <v>1</v>
      </c>
      <c r="G151" s="2" t="s">
        <v>386</v>
      </c>
      <c r="H151" s="13" t="s">
        <v>1</v>
      </c>
      <c r="I151" s="13" t="s">
        <v>140</v>
      </c>
      <c r="J151" s="13" t="s">
        <v>46</v>
      </c>
      <c r="K151" s="109">
        <v>44516</v>
      </c>
      <c r="L151" s="109">
        <v>44501</v>
      </c>
      <c r="Q151" s="13" t="str">
        <f t="shared" si="20"/>
        <v>BARRCRD024905CADENASNUTRESA</v>
      </c>
      <c r="T151" s="123">
        <f t="shared" si="21"/>
        <v>0</v>
      </c>
      <c r="U151" s="13">
        <f t="shared" si="22"/>
        <v>0</v>
      </c>
      <c r="V151" s="123">
        <f t="shared" si="23"/>
        <v>0</v>
      </c>
      <c r="X151" s="13">
        <v>50000000</v>
      </c>
      <c r="Y151" s="13">
        <v>50000000</v>
      </c>
      <c r="Z151" s="13">
        <v>50000000</v>
      </c>
      <c r="AA151" s="13">
        <f t="shared" si="24"/>
        <v>1.25E+23</v>
      </c>
      <c r="AB151" s="13">
        <f t="shared" si="25"/>
        <v>1.25E+23</v>
      </c>
      <c r="AC151" s="13">
        <f t="shared" si="26"/>
        <v>8.6805555555555552E+16</v>
      </c>
      <c r="AD151" s="110">
        <f t="shared" si="27"/>
        <v>44520</v>
      </c>
      <c r="AE151" s="13" t="e">
        <f>IF(AND(AD151&lt;=$AI$4,#REF!&lt;1),1,"")</f>
        <v>#REF!</v>
      </c>
      <c r="AF151" s="110">
        <f t="shared" ca="1" si="28"/>
        <v>44553</v>
      </c>
      <c r="AH151" s="13">
        <f t="shared" ca="1" si="29"/>
        <v>37</v>
      </c>
    </row>
    <row r="152" spans="1:34" x14ac:dyDescent="0.25">
      <c r="A152" s="13" t="s">
        <v>4</v>
      </c>
      <c r="B152" s="13" t="s">
        <v>4</v>
      </c>
      <c r="C152" s="13" t="s">
        <v>384</v>
      </c>
      <c r="D152" s="13" t="s">
        <v>385</v>
      </c>
      <c r="E152" s="13" t="s">
        <v>725</v>
      </c>
      <c r="F152" s="13">
        <v>7</v>
      </c>
      <c r="G152" s="2" t="s">
        <v>386</v>
      </c>
      <c r="H152" s="13" t="s">
        <v>1</v>
      </c>
      <c r="I152" s="13" t="s">
        <v>140</v>
      </c>
      <c r="J152" s="13" t="s">
        <v>46</v>
      </c>
      <c r="K152" s="109">
        <v>44516</v>
      </c>
      <c r="L152" s="109">
        <v>44501</v>
      </c>
      <c r="Q152" s="13" t="str">
        <f t="shared" si="20"/>
        <v>BGTACRD024905CADENASNUTRESA</v>
      </c>
      <c r="T152" s="123">
        <f t="shared" si="21"/>
        <v>0</v>
      </c>
      <c r="U152" s="13">
        <f t="shared" si="22"/>
        <v>0</v>
      </c>
      <c r="V152" s="123">
        <f t="shared" si="23"/>
        <v>0</v>
      </c>
      <c r="X152" s="13">
        <v>50000000</v>
      </c>
      <c r="Y152" s="13">
        <v>50000000</v>
      </c>
      <c r="Z152" s="13">
        <v>50000000</v>
      </c>
      <c r="AA152" s="13">
        <f t="shared" si="24"/>
        <v>1.25E+23</v>
      </c>
      <c r="AB152" s="13">
        <f t="shared" si="25"/>
        <v>8.7500000000000005E+23</v>
      </c>
      <c r="AC152" s="13">
        <f t="shared" si="26"/>
        <v>6.0763888888888896E+17</v>
      </c>
      <c r="AD152" s="110">
        <f t="shared" si="27"/>
        <v>44520</v>
      </c>
      <c r="AE152" s="13" t="e">
        <f>IF(AND(AD152&lt;=$AI$4,#REF!&lt;1),1,"")</f>
        <v>#REF!</v>
      </c>
      <c r="AF152" s="110">
        <f t="shared" ca="1" si="28"/>
        <v>44553</v>
      </c>
      <c r="AH152" s="13">
        <f t="shared" ca="1" si="29"/>
        <v>37</v>
      </c>
    </row>
    <row r="153" spans="1:34" x14ac:dyDescent="0.25">
      <c r="A153" s="13" t="s">
        <v>9</v>
      </c>
      <c r="B153" s="13" t="s">
        <v>9</v>
      </c>
      <c r="C153" s="13" t="s">
        <v>384</v>
      </c>
      <c r="D153" s="13" t="s">
        <v>385</v>
      </c>
      <c r="E153" s="13" t="s">
        <v>725</v>
      </c>
      <c r="F153" s="13">
        <v>2</v>
      </c>
      <c r="G153" s="2" t="s">
        <v>386</v>
      </c>
      <c r="H153" s="13" t="s">
        <v>1</v>
      </c>
      <c r="I153" s="13" t="s">
        <v>140</v>
      </c>
      <c r="J153" s="13" t="s">
        <v>46</v>
      </c>
      <c r="K153" s="109">
        <v>44516</v>
      </c>
      <c r="L153" s="109">
        <v>44501</v>
      </c>
      <c r="Q153" s="13" t="str">
        <f t="shared" si="20"/>
        <v>MEDECRD024905CADENASNUTRESA</v>
      </c>
      <c r="T153" s="123">
        <f t="shared" si="21"/>
        <v>0</v>
      </c>
      <c r="U153" s="13">
        <f t="shared" si="22"/>
        <v>0</v>
      </c>
      <c r="V153" s="123">
        <f t="shared" si="23"/>
        <v>0</v>
      </c>
      <c r="X153" s="13">
        <v>50000000</v>
      </c>
      <c r="Y153" s="13">
        <v>50000000</v>
      </c>
      <c r="Z153" s="13">
        <v>50000000</v>
      </c>
      <c r="AA153" s="13">
        <f t="shared" si="24"/>
        <v>1.25E+23</v>
      </c>
      <c r="AB153" s="13">
        <f t="shared" si="25"/>
        <v>2.5E+23</v>
      </c>
      <c r="AC153" s="13">
        <f t="shared" si="26"/>
        <v>1.736111111111111E+17</v>
      </c>
      <c r="AD153" s="110">
        <f t="shared" si="27"/>
        <v>44520</v>
      </c>
      <c r="AE153" s="13" t="e">
        <f>IF(AND(AD153&lt;=$AI$4,#REF!&lt;1),1,"")</f>
        <v>#REF!</v>
      </c>
      <c r="AF153" s="110">
        <f t="shared" ca="1" si="28"/>
        <v>44553</v>
      </c>
      <c r="AH153" s="13">
        <f t="shared" ca="1" si="29"/>
        <v>37</v>
      </c>
    </row>
    <row r="154" spans="1:34" x14ac:dyDescent="0.25">
      <c r="A154" s="13" t="s">
        <v>3</v>
      </c>
      <c r="B154" s="13" t="s">
        <v>3</v>
      </c>
      <c r="C154" s="13" t="s">
        <v>1180</v>
      </c>
      <c r="D154" s="13" t="s">
        <v>321</v>
      </c>
      <c r="E154" s="13" t="s">
        <v>1181</v>
      </c>
      <c r="F154" s="13">
        <v>2</v>
      </c>
      <c r="G154" s="2" t="s">
        <v>348</v>
      </c>
      <c r="H154" s="13" t="s">
        <v>1</v>
      </c>
      <c r="I154" s="13" t="s">
        <v>140</v>
      </c>
      <c r="J154" s="13" t="s">
        <v>46</v>
      </c>
      <c r="K154" s="109">
        <v>44510</v>
      </c>
      <c r="Q154" s="13" t="str">
        <f t="shared" si="20"/>
        <v>BARRCRD024936CADENASNUTRESA</v>
      </c>
      <c r="T154" s="123">
        <f t="shared" si="21"/>
        <v>0</v>
      </c>
      <c r="U154" s="13">
        <f t="shared" si="22"/>
        <v>0</v>
      </c>
      <c r="V154" s="123">
        <f t="shared" si="23"/>
        <v>0</v>
      </c>
      <c r="X154" s="13">
        <v>50000000</v>
      </c>
      <c r="Y154" s="13">
        <v>50000000</v>
      </c>
      <c r="Z154" s="13">
        <v>50000000</v>
      </c>
      <c r="AA154" s="13">
        <f t="shared" si="24"/>
        <v>1.25E+23</v>
      </c>
      <c r="AB154" s="13">
        <f t="shared" si="25"/>
        <v>2.5E+23</v>
      </c>
      <c r="AC154" s="13">
        <f t="shared" si="26"/>
        <v>1.736111111111111E+17</v>
      </c>
      <c r="AD154" s="110">
        <f t="shared" si="27"/>
        <v>44514</v>
      </c>
      <c r="AE154" s="13" t="e">
        <f>IF(AND(AD154&lt;=$AI$4,#REF!&lt;1),1,"")</f>
        <v>#REF!</v>
      </c>
      <c r="AF154" s="110">
        <f t="shared" ca="1" si="28"/>
        <v>44553</v>
      </c>
      <c r="AH154" s="13">
        <f t="shared" ca="1" si="29"/>
        <v>43</v>
      </c>
    </row>
    <row r="155" spans="1:34" x14ac:dyDescent="0.25">
      <c r="A155" s="13" t="s">
        <v>4</v>
      </c>
      <c r="B155" s="13" t="s">
        <v>4</v>
      </c>
      <c r="C155" s="13" t="s">
        <v>1180</v>
      </c>
      <c r="D155" s="13" t="s">
        <v>321</v>
      </c>
      <c r="E155" s="13" t="s">
        <v>1181</v>
      </c>
      <c r="F155" s="13">
        <v>14</v>
      </c>
      <c r="G155" s="2" t="s">
        <v>348</v>
      </c>
      <c r="H155" s="13" t="s">
        <v>1</v>
      </c>
      <c r="I155" s="13" t="s">
        <v>140</v>
      </c>
      <c r="J155" s="13" t="s">
        <v>46</v>
      </c>
      <c r="K155" s="109">
        <v>44510</v>
      </c>
      <c r="Q155" s="13" t="str">
        <f t="shared" si="20"/>
        <v>BGTACRD024936CADENASNUTRESA</v>
      </c>
      <c r="T155" s="123">
        <f t="shared" si="21"/>
        <v>0</v>
      </c>
      <c r="U155" s="13">
        <f t="shared" si="22"/>
        <v>0</v>
      </c>
      <c r="V155" s="123">
        <f t="shared" si="23"/>
        <v>0</v>
      </c>
      <c r="X155" s="13">
        <v>50000000</v>
      </c>
      <c r="Y155" s="13">
        <v>50000000</v>
      </c>
      <c r="Z155" s="13">
        <v>50000000</v>
      </c>
      <c r="AA155" s="13">
        <f t="shared" si="24"/>
        <v>1.25E+23</v>
      </c>
      <c r="AB155" s="13">
        <f t="shared" si="25"/>
        <v>1.7500000000000001E+24</v>
      </c>
      <c r="AC155" s="13">
        <f t="shared" si="26"/>
        <v>1.2152777777777779E+18</v>
      </c>
      <c r="AD155" s="110">
        <f t="shared" si="27"/>
        <v>44514</v>
      </c>
      <c r="AE155" s="13" t="e">
        <f>IF(AND(AD155&lt;=$AI$4,#REF!&lt;1),1,"")</f>
        <v>#REF!</v>
      </c>
      <c r="AF155" s="110">
        <f t="shared" ca="1" si="28"/>
        <v>44553</v>
      </c>
      <c r="AH155" s="13">
        <f t="shared" ca="1" si="29"/>
        <v>43</v>
      </c>
    </row>
    <row r="156" spans="1:34" x14ac:dyDescent="0.25">
      <c r="A156" s="13" t="s">
        <v>5</v>
      </c>
      <c r="B156" s="13" t="s">
        <v>5</v>
      </c>
      <c r="C156" s="13" t="s">
        <v>1180</v>
      </c>
      <c r="D156" s="13" t="s">
        <v>321</v>
      </c>
      <c r="E156" s="13" t="s">
        <v>1181</v>
      </c>
      <c r="F156" s="13">
        <v>1</v>
      </c>
      <c r="G156" s="2" t="s">
        <v>348</v>
      </c>
      <c r="H156" s="13" t="s">
        <v>1</v>
      </c>
      <c r="I156" s="13" t="s">
        <v>140</v>
      </c>
      <c r="J156" s="13" t="s">
        <v>46</v>
      </c>
      <c r="K156" s="109">
        <v>44510</v>
      </c>
      <c r="Q156" s="13" t="str">
        <f t="shared" si="20"/>
        <v>BUCACRD024936CADENASNUTRESA</v>
      </c>
      <c r="T156" s="123">
        <f t="shared" si="21"/>
        <v>0</v>
      </c>
      <c r="U156" s="13">
        <f t="shared" si="22"/>
        <v>0</v>
      </c>
      <c r="V156" s="123">
        <f t="shared" si="23"/>
        <v>0</v>
      </c>
      <c r="X156" s="13">
        <v>50000000</v>
      </c>
      <c r="Y156" s="13">
        <v>50000000</v>
      </c>
      <c r="Z156" s="13">
        <v>50000000</v>
      </c>
      <c r="AA156" s="13">
        <f t="shared" si="24"/>
        <v>1.25E+23</v>
      </c>
      <c r="AB156" s="13">
        <f t="shared" si="25"/>
        <v>1.25E+23</v>
      </c>
      <c r="AC156" s="13">
        <f t="shared" si="26"/>
        <v>8.6805555555555552E+16</v>
      </c>
      <c r="AD156" s="110">
        <f t="shared" si="27"/>
        <v>44514</v>
      </c>
      <c r="AE156" s="13" t="e">
        <f>IF(AND(AD156&lt;=$AI$4,#REF!&lt;1),1,"")</f>
        <v>#REF!</v>
      </c>
      <c r="AF156" s="110">
        <f t="shared" ca="1" si="28"/>
        <v>44553</v>
      </c>
      <c r="AH156" s="13">
        <f t="shared" ca="1" si="29"/>
        <v>43</v>
      </c>
    </row>
    <row r="157" spans="1:34" x14ac:dyDescent="0.25">
      <c r="A157" s="13" t="s">
        <v>6</v>
      </c>
      <c r="B157" s="13" t="s">
        <v>6</v>
      </c>
      <c r="C157" s="13" t="s">
        <v>1180</v>
      </c>
      <c r="D157" s="13" t="s">
        <v>321</v>
      </c>
      <c r="E157" s="13" t="s">
        <v>1181</v>
      </c>
      <c r="F157" s="13">
        <v>2</v>
      </c>
      <c r="G157" s="2" t="s">
        <v>348</v>
      </c>
      <c r="H157" s="13" t="s">
        <v>1</v>
      </c>
      <c r="I157" s="13" t="s">
        <v>140</v>
      </c>
      <c r="J157" s="13" t="s">
        <v>46</v>
      </c>
      <c r="K157" s="109">
        <v>44510</v>
      </c>
      <c r="Q157" s="13" t="str">
        <f t="shared" si="20"/>
        <v>CALICRD024936CADENASNUTRESA</v>
      </c>
      <c r="T157" s="123">
        <f t="shared" si="21"/>
        <v>0</v>
      </c>
      <c r="U157" s="13">
        <f t="shared" si="22"/>
        <v>0</v>
      </c>
      <c r="V157" s="123">
        <f t="shared" si="23"/>
        <v>0</v>
      </c>
      <c r="X157" s="13">
        <v>50000000</v>
      </c>
      <c r="Y157" s="13">
        <v>50000000</v>
      </c>
      <c r="Z157" s="13">
        <v>50000000</v>
      </c>
      <c r="AA157" s="13">
        <f t="shared" si="24"/>
        <v>1.25E+23</v>
      </c>
      <c r="AB157" s="13">
        <f t="shared" si="25"/>
        <v>2.5E+23</v>
      </c>
      <c r="AC157" s="13">
        <f t="shared" si="26"/>
        <v>1.736111111111111E+17</v>
      </c>
      <c r="AD157" s="110">
        <f t="shared" si="27"/>
        <v>44514</v>
      </c>
      <c r="AE157" s="13" t="e">
        <f>IF(AND(AD157&lt;=$AI$4,#REF!&lt;1),1,"")</f>
        <v>#REF!</v>
      </c>
      <c r="AF157" s="110">
        <f t="shared" ca="1" si="28"/>
        <v>44553</v>
      </c>
      <c r="AH157" s="13">
        <f t="shared" ca="1" si="29"/>
        <v>43</v>
      </c>
    </row>
    <row r="158" spans="1:34" x14ac:dyDescent="0.25">
      <c r="A158" s="13" t="s">
        <v>7</v>
      </c>
      <c r="B158" s="13" t="s">
        <v>7</v>
      </c>
      <c r="C158" s="13" t="s">
        <v>1180</v>
      </c>
      <c r="D158" s="13" t="s">
        <v>321</v>
      </c>
      <c r="E158" s="13" t="s">
        <v>1181</v>
      </c>
      <c r="F158" s="13">
        <v>2</v>
      </c>
      <c r="G158" s="2" t="s">
        <v>348</v>
      </c>
      <c r="H158" s="13" t="s">
        <v>1</v>
      </c>
      <c r="I158" s="13" t="s">
        <v>140</v>
      </c>
      <c r="J158" s="13" t="s">
        <v>46</v>
      </c>
      <c r="K158" s="109">
        <v>44510</v>
      </c>
      <c r="Q158" s="13" t="str">
        <f t="shared" si="20"/>
        <v>CARTCRD024936CADENASNUTRESA</v>
      </c>
      <c r="T158" s="123">
        <f t="shared" si="21"/>
        <v>0</v>
      </c>
      <c r="U158" s="13">
        <f t="shared" si="22"/>
        <v>0</v>
      </c>
      <c r="V158" s="123">
        <f t="shared" si="23"/>
        <v>0</v>
      </c>
      <c r="X158" s="13">
        <v>50000000</v>
      </c>
      <c r="Y158" s="13">
        <v>50000000</v>
      </c>
      <c r="Z158" s="13">
        <v>50000000</v>
      </c>
      <c r="AA158" s="13">
        <f t="shared" si="24"/>
        <v>1.25E+23</v>
      </c>
      <c r="AB158" s="13">
        <f t="shared" si="25"/>
        <v>2.5E+23</v>
      </c>
      <c r="AC158" s="13">
        <f t="shared" si="26"/>
        <v>1.736111111111111E+17</v>
      </c>
      <c r="AD158" s="110">
        <f t="shared" si="27"/>
        <v>44514</v>
      </c>
      <c r="AE158" s="13" t="e">
        <f>IF(AND(AD158&lt;=$AI$4,#REF!&lt;1),1,"")</f>
        <v>#REF!</v>
      </c>
      <c r="AF158" s="110">
        <f t="shared" ca="1" si="28"/>
        <v>44553</v>
      </c>
      <c r="AH158" s="13">
        <f t="shared" ca="1" si="29"/>
        <v>43</v>
      </c>
    </row>
    <row r="159" spans="1:34" x14ac:dyDescent="0.25">
      <c r="A159" s="13" t="s">
        <v>8</v>
      </c>
      <c r="B159" s="13" t="s">
        <v>8</v>
      </c>
      <c r="C159" s="13" t="s">
        <v>1180</v>
      </c>
      <c r="D159" s="13" t="s">
        <v>321</v>
      </c>
      <c r="E159" s="13" t="s">
        <v>1181</v>
      </c>
      <c r="F159" s="13">
        <v>1</v>
      </c>
      <c r="G159" s="2" t="s">
        <v>348</v>
      </c>
      <c r="H159" s="13" t="s">
        <v>1</v>
      </c>
      <c r="I159" s="13" t="s">
        <v>140</v>
      </c>
      <c r="J159" s="13" t="s">
        <v>46</v>
      </c>
      <c r="K159" s="109">
        <v>44510</v>
      </c>
      <c r="Q159" s="13" t="str">
        <f t="shared" si="20"/>
        <v>IBA1CRD024936CADENASNUTRESA</v>
      </c>
      <c r="T159" s="123">
        <f t="shared" si="21"/>
        <v>0</v>
      </c>
      <c r="U159" s="13">
        <f t="shared" si="22"/>
        <v>0</v>
      </c>
      <c r="V159" s="123">
        <f t="shared" si="23"/>
        <v>0</v>
      </c>
      <c r="X159" s="13">
        <v>50000000</v>
      </c>
      <c r="Y159" s="13">
        <v>50000000</v>
      </c>
      <c r="Z159" s="13">
        <v>50000000</v>
      </c>
      <c r="AA159" s="13">
        <f t="shared" si="24"/>
        <v>1.25E+23</v>
      </c>
      <c r="AB159" s="13">
        <f t="shared" si="25"/>
        <v>1.25E+23</v>
      </c>
      <c r="AC159" s="13">
        <f t="shared" si="26"/>
        <v>8.6805555555555552E+16</v>
      </c>
      <c r="AD159" s="110">
        <f t="shared" si="27"/>
        <v>44514</v>
      </c>
      <c r="AE159" s="13" t="e">
        <f>IF(AND(AD159&lt;=$AI$4,#REF!&lt;1),1,"")</f>
        <v>#REF!</v>
      </c>
      <c r="AF159" s="110">
        <f t="shared" ca="1" si="28"/>
        <v>44553</v>
      </c>
      <c r="AH159" s="13">
        <f t="shared" ca="1" si="29"/>
        <v>43</v>
      </c>
    </row>
    <row r="160" spans="1:34" x14ac:dyDescent="0.25">
      <c r="A160" s="13" t="s">
        <v>9</v>
      </c>
      <c r="B160" s="13" t="s">
        <v>9</v>
      </c>
      <c r="C160" s="13" t="s">
        <v>1180</v>
      </c>
      <c r="D160" s="13" t="s">
        <v>321</v>
      </c>
      <c r="E160" s="13" t="s">
        <v>1181</v>
      </c>
      <c r="F160" s="13">
        <v>7</v>
      </c>
      <c r="G160" s="2" t="s">
        <v>348</v>
      </c>
      <c r="H160" s="13" t="s">
        <v>1</v>
      </c>
      <c r="I160" s="13" t="s">
        <v>140</v>
      </c>
      <c r="J160" s="13" t="s">
        <v>46</v>
      </c>
      <c r="K160" s="109">
        <v>44510</v>
      </c>
      <c r="Q160" s="13" t="str">
        <f t="shared" si="20"/>
        <v>MEDECRD024936CADENASNUTRESA</v>
      </c>
      <c r="T160" s="123">
        <f t="shared" si="21"/>
        <v>0</v>
      </c>
      <c r="U160" s="13">
        <f t="shared" si="22"/>
        <v>0</v>
      </c>
      <c r="V160" s="123">
        <f t="shared" si="23"/>
        <v>0</v>
      </c>
      <c r="X160" s="13">
        <v>50000000</v>
      </c>
      <c r="Y160" s="13">
        <v>50000000</v>
      </c>
      <c r="Z160" s="13">
        <v>50000000</v>
      </c>
      <c r="AA160" s="13">
        <f t="shared" si="24"/>
        <v>1.25E+23</v>
      </c>
      <c r="AB160" s="13">
        <f t="shared" si="25"/>
        <v>8.7500000000000005E+23</v>
      </c>
      <c r="AC160" s="13">
        <f t="shared" si="26"/>
        <v>6.0763888888888896E+17</v>
      </c>
      <c r="AD160" s="110">
        <f t="shared" si="27"/>
        <v>44514</v>
      </c>
      <c r="AE160" s="13" t="e">
        <f>IF(AND(AD160&lt;=$AI$4,#REF!&lt;1),1,"")</f>
        <v>#REF!</v>
      </c>
      <c r="AF160" s="110">
        <f t="shared" ca="1" si="28"/>
        <v>44553</v>
      </c>
      <c r="AH160" s="13">
        <f t="shared" ca="1" si="29"/>
        <v>43</v>
      </c>
    </row>
    <row r="161" spans="1:34" x14ac:dyDescent="0.25">
      <c r="A161" s="13" t="s">
        <v>7</v>
      </c>
      <c r="B161" s="13" t="s">
        <v>7</v>
      </c>
      <c r="C161" s="13" t="s">
        <v>268</v>
      </c>
      <c r="D161" s="13" t="s">
        <v>730</v>
      </c>
      <c r="E161" s="13" t="s">
        <v>731</v>
      </c>
      <c r="F161" s="13">
        <v>4</v>
      </c>
      <c r="G161" s="2" t="s">
        <v>269</v>
      </c>
      <c r="H161" s="13" t="s">
        <v>1</v>
      </c>
      <c r="I161" s="13" t="s">
        <v>140</v>
      </c>
      <c r="J161" s="13" t="s">
        <v>139</v>
      </c>
      <c r="K161" s="109">
        <v>44468</v>
      </c>
      <c r="P161" s="110">
        <v>44476</v>
      </c>
      <c r="Q161" s="13" t="str">
        <f t="shared" si="20"/>
        <v>CARTCRD024123CADENASNUTRESA</v>
      </c>
      <c r="R161" s="2">
        <v>4</v>
      </c>
      <c r="S161" s="13">
        <v>4</v>
      </c>
      <c r="T161" s="123">
        <f t="shared" si="21"/>
        <v>1</v>
      </c>
      <c r="U161" s="13">
        <f t="shared" si="22"/>
        <v>0</v>
      </c>
      <c r="V161" s="123">
        <f t="shared" si="23"/>
        <v>0</v>
      </c>
      <c r="X161" s="13">
        <v>5000000</v>
      </c>
      <c r="Y161" s="13">
        <v>60000000</v>
      </c>
      <c r="Z161" s="13">
        <v>60000000</v>
      </c>
      <c r="AA161" s="13">
        <f t="shared" si="24"/>
        <v>1.8E+22</v>
      </c>
      <c r="AB161" s="13">
        <f t="shared" si="25"/>
        <v>7.2E+22</v>
      </c>
      <c r="AC161" s="13">
        <f t="shared" si="26"/>
        <v>5E+16</v>
      </c>
      <c r="AD161" s="110">
        <f t="shared" si="27"/>
        <v>44472</v>
      </c>
      <c r="AE161" s="13" t="e">
        <f>IF(AND(AD161&lt;=$AI$4,#REF!&lt;1),1,"")</f>
        <v>#REF!</v>
      </c>
      <c r="AF161" s="110">
        <f t="shared" ca="1" si="28"/>
        <v>44553</v>
      </c>
      <c r="AH161" s="13">
        <f t="shared" ca="1" si="29"/>
        <v>85</v>
      </c>
    </row>
    <row r="162" spans="1:34" x14ac:dyDescent="0.25">
      <c r="A162" s="13" t="s">
        <v>3</v>
      </c>
      <c r="B162" s="13" t="s">
        <v>3</v>
      </c>
      <c r="C162" s="13" t="s">
        <v>270</v>
      </c>
      <c r="D162" s="13" t="s">
        <v>732</v>
      </c>
      <c r="E162" s="13" t="s">
        <v>731</v>
      </c>
      <c r="F162" s="13">
        <v>28</v>
      </c>
      <c r="G162" s="2" t="s">
        <v>269</v>
      </c>
      <c r="H162" s="13" t="s">
        <v>1</v>
      </c>
      <c r="I162" s="13" t="s">
        <v>140</v>
      </c>
      <c r="J162" s="13" t="s">
        <v>139</v>
      </c>
      <c r="K162" s="109">
        <v>44468</v>
      </c>
      <c r="P162" s="110">
        <v>44476</v>
      </c>
      <c r="Q162" s="13" t="str">
        <f t="shared" si="20"/>
        <v>BARRCRD024124CADENASNUTRESA</v>
      </c>
      <c r="R162" s="2">
        <v>28</v>
      </c>
      <c r="S162" s="13">
        <v>28</v>
      </c>
      <c r="T162" s="123">
        <f t="shared" si="21"/>
        <v>1</v>
      </c>
      <c r="U162" s="13">
        <f t="shared" si="22"/>
        <v>0</v>
      </c>
      <c r="V162" s="123">
        <f t="shared" si="23"/>
        <v>0</v>
      </c>
      <c r="X162" s="13">
        <v>5000000</v>
      </c>
      <c r="Y162" s="13">
        <v>60000000</v>
      </c>
      <c r="Z162" s="13">
        <v>60000000</v>
      </c>
      <c r="AA162" s="13">
        <f t="shared" si="24"/>
        <v>1.8E+22</v>
      </c>
      <c r="AB162" s="13">
        <f t="shared" si="25"/>
        <v>5.0400000000000002E+23</v>
      </c>
      <c r="AC162" s="13">
        <f t="shared" si="26"/>
        <v>3.5E+17</v>
      </c>
      <c r="AD162" s="110">
        <f t="shared" si="27"/>
        <v>44472</v>
      </c>
      <c r="AE162" s="13" t="e">
        <f>IF(AND(AD162&lt;=$AI$4,#REF!&lt;1),1,"")</f>
        <v>#REF!</v>
      </c>
      <c r="AF162" s="110">
        <f t="shared" ca="1" si="28"/>
        <v>44553</v>
      </c>
      <c r="AH162" s="13">
        <f t="shared" ca="1" si="29"/>
        <v>85</v>
      </c>
    </row>
    <row r="163" spans="1:34" x14ac:dyDescent="0.25">
      <c r="A163" s="13" t="s">
        <v>4</v>
      </c>
      <c r="B163" s="13" t="s">
        <v>4</v>
      </c>
      <c r="C163" s="13" t="s">
        <v>270</v>
      </c>
      <c r="D163" s="13" t="s">
        <v>732</v>
      </c>
      <c r="E163" s="13" t="s">
        <v>731</v>
      </c>
      <c r="F163" s="13">
        <v>111</v>
      </c>
      <c r="G163" s="2" t="s">
        <v>269</v>
      </c>
      <c r="H163" s="13" t="s">
        <v>1</v>
      </c>
      <c r="I163" s="13" t="s">
        <v>140</v>
      </c>
      <c r="J163" s="13" t="s">
        <v>139</v>
      </c>
      <c r="K163" s="109">
        <v>44468</v>
      </c>
      <c r="P163" s="110">
        <v>44476</v>
      </c>
      <c r="Q163" s="13" t="str">
        <f t="shared" si="20"/>
        <v>BGTACRD024124CADENASNUTRESA</v>
      </c>
      <c r="R163" s="2">
        <v>111</v>
      </c>
      <c r="S163" s="13">
        <v>111</v>
      </c>
      <c r="T163" s="123">
        <f t="shared" si="21"/>
        <v>1</v>
      </c>
      <c r="U163" s="13">
        <f t="shared" si="22"/>
        <v>0</v>
      </c>
      <c r="V163" s="123">
        <f t="shared" si="23"/>
        <v>0</v>
      </c>
      <c r="X163" s="13">
        <v>5000000</v>
      </c>
      <c r="Y163" s="13">
        <v>60000000</v>
      </c>
      <c r="Z163" s="13">
        <v>60000000</v>
      </c>
      <c r="AA163" s="13">
        <f t="shared" si="24"/>
        <v>1.8E+22</v>
      </c>
      <c r="AB163" s="13">
        <f t="shared" si="25"/>
        <v>1.9979999999999999E+24</v>
      </c>
      <c r="AC163" s="13">
        <f t="shared" si="26"/>
        <v>1.3875E+18</v>
      </c>
      <c r="AD163" s="110">
        <f t="shared" si="27"/>
        <v>44472</v>
      </c>
      <c r="AE163" s="13" t="e">
        <f>IF(AND(AD163&lt;=$AI$4,#REF!&lt;1),1,"")</f>
        <v>#REF!</v>
      </c>
      <c r="AF163" s="110">
        <f t="shared" ca="1" si="28"/>
        <v>44553</v>
      </c>
      <c r="AH163" s="13">
        <f t="shared" ca="1" si="29"/>
        <v>85</v>
      </c>
    </row>
    <row r="164" spans="1:34" x14ac:dyDescent="0.25">
      <c r="A164" s="13" t="s">
        <v>5</v>
      </c>
      <c r="B164" s="13" t="s">
        <v>5</v>
      </c>
      <c r="C164" s="13" t="s">
        <v>270</v>
      </c>
      <c r="D164" s="13" t="s">
        <v>732</v>
      </c>
      <c r="E164" s="13" t="s">
        <v>731</v>
      </c>
      <c r="F164" s="13">
        <v>8</v>
      </c>
      <c r="G164" s="2" t="s">
        <v>269</v>
      </c>
      <c r="H164" s="13" t="s">
        <v>1</v>
      </c>
      <c r="I164" s="13" t="s">
        <v>140</v>
      </c>
      <c r="J164" s="13" t="s">
        <v>139</v>
      </c>
      <c r="K164" s="109">
        <v>44468</v>
      </c>
      <c r="P164" s="110">
        <v>44476</v>
      </c>
      <c r="Q164" s="13" t="str">
        <f t="shared" si="20"/>
        <v>BUCACRD024124CADENASNUTRESA</v>
      </c>
      <c r="R164" s="2">
        <v>8</v>
      </c>
      <c r="S164" s="13">
        <v>8</v>
      </c>
      <c r="T164" s="123">
        <f t="shared" si="21"/>
        <v>1</v>
      </c>
      <c r="U164" s="13">
        <f t="shared" si="22"/>
        <v>0</v>
      </c>
      <c r="V164" s="123">
        <f t="shared" si="23"/>
        <v>0</v>
      </c>
      <c r="X164" s="13">
        <v>5000000</v>
      </c>
      <c r="Y164" s="13">
        <v>60000000</v>
      </c>
      <c r="Z164" s="13">
        <v>60000000</v>
      </c>
      <c r="AA164" s="13">
        <f t="shared" si="24"/>
        <v>1.8E+22</v>
      </c>
      <c r="AB164" s="13">
        <f t="shared" si="25"/>
        <v>1.44E+23</v>
      </c>
      <c r="AC164" s="13">
        <f t="shared" si="26"/>
        <v>1E+17</v>
      </c>
      <c r="AD164" s="110">
        <f t="shared" si="27"/>
        <v>44472</v>
      </c>
      <c r="AE164" s="13" t="e">
        <f>IF(AND(AD164&lt;=$AI$4,#REF!&lt;1),1,"")</f>
        <v>#REF!</v>
      </c>
      <c r="AF164" s="110">
        <f t="shared" ca="1" si="28"/>
        <v>44553</v>
      </c>
      <c r="AH164" s="13">
        <f t="shared" ca="1" si="29"/>
        <v>85</v>
      </c>
    </row>
    <row r="165" spans="1:34" x14ac:dyDescent="0.25">
      <c r="A165" s="13" t="s">
        <v>6</v>
      </c>
      <c r="B165" s="13" t="s">
        <v>6</v>
      </c>
      <c r="C165" s="13" t="s">
        <v>270</v>
      </c>
      <c r="D165" s="13" t="s">
        <v>732</v>
      </c>
      <c r="E165" s="13" t="s">
        <v>731</v>
      </c>
      <c r="F165" s="13">
        <v>34</v>
      </c>
      <c r="G165" s="2" t="s">
        <v>269</v>
      </c>
      <c r="H165" s="13" t="s">
        <v>1</v>
      </c>
      <c r="I165" s="13" t="s">
        <v>140</v>
      </c>
      <c r="J165" s="13" t="s">
        <v>139</v>
      </c>
      <c r="K165" s="109">
        <v>44468</v>
      </c>
      <c r="P165" s="110">
        <v>44476</v>
      </c>
      <c r="Q165" s="13" t="str">
        <f t="shared" si="20"/>
        <v>CALICRD024124CADENASNUTRESA</v>
      </c>
      <c r="R165" s="2">
        <v>34</v>
      </c>
      <c r="S165" s="13">
        <v>34</v>
      </c>
      <c r="T165" s="123">
        <f t="shared" si="21"/>
        <v>1</v>
      </c>
      <c r="U165" s="13">
        <f t="shared" si="22"/>
        <v>0</v>
      </c>
      <c r="V165" s="123">
        <f t="shared" si="23"/>
        <v>0</v>
      </c>
      <c r="X165" s="13">
        <v>5000000</v>
      </c>
      <c r="Y165" s="13">
        <v>60000000</v>
      </c>
      <c r="Z165" s="13">
        <v>60000000</v>
      </c>
      <c r="AA165" s="13">
        <f t="shared" si="24"/>
        <v>1.8E+22</v>
      </c>
      <c r="AB165" s="13">
        <f t="shared" si="25"/>
        <v>6.1200000000000003E+23</v>
      </c>
      <c r="AC165" s="13">
        <f t="shared" si="26"/>
        <v>4.25E+17</v>
      </c>
      <c r="AD165" s="110">
        <f t="shared" si="27"/>
        <v>44472</v>
      </c>
      <c r="AE165" s="13" t="e">
        <f>IF(AND(AD165&lt;=$AI$4,#REF!&lt;1),1,"")</f>
        <v>#REF!</v>
      </c>
      <c r="AF165" s="110">
        <f t="shared" ca="1" si="28"/>
        <v>44553</v>
      </c>
      <c r="AH165" s="13">
        <f t="shared" ca="1" si="29"/>
        <v>85</v>
      </c>
    </row>
    <row r="166" spans="1:34" x14ac:dyDescent="0.25">
      <c r="A166" s="13" t="s">
        <v>7</v>
      </c>
      <c r="B166" s="13" t="s">
        <v>7</v>
      </c>
      <c r="C166" s="13" t="s">
        <v>270</v>
      </c>
      <c r="D166" s="13" t="s">
        <v>732</v>
      </c>
      <c r="E166" s="13" t="s">
        <v>731</v>
      </c>
      <c r="F166" s="13">
        <v>14</v>
      </c>
      <c r="G166" s="2" t="s">
        <v>269</v>
      </c>
      <c r="H166" s="13" t="s">
        <v>1</v>
      </c>
      <c r="I166" s="13" t="s">
        <v>140</v>
      </c>
      <c r="J166" s="13" t="s">
        <v>139</v>
      </c>
      <c r="K166" s="109">
        <v>44468</v>
      </c>
      <c r="P166" s="110">
        <v>44476</v>
      </c>
      <c r="Q166" s="13" t="str">
        <f t="shared" si="20"/>
        <v>CARTCRD024124CADENASNUTRESA</v>
      </c>
      <c r="R166" s="2">
        <v>14</v>
      </c>
      <c r="S166" s="13">
        <v>14</v>
      </c>
      <c r="T166" s="123">
        <f t="shared" si="21"/>
        <v>1</v>
      </c>
      <c r="U166" s="13">
        <f t="shared" si="22"/>
        <v>0</v>
      </c>
      <c r="V166" s="123">
        <f t="shared" si="23"/>
        <v>0</v>
      </c>
      <c r="X166" s="13">
        <v>5000000</v>
      </c>
      <c r="Y166" s="13">
        <v>60000000</v>
      </c>
      <c r="Z166" s="13">
        <v>60000000</v>
      </c>
      <c r="AA166" s="13">
        <f t="shared" si="24"/>
        <v>1.8E+22</v>
      </c>
      <c r="AB166" s="13">
        <f t="shared" si="25"/>
        <v>2.5200000000000001E+23</v>
      </c>
      <c r="AC166" s="13">
        <f t="shared" si="26"/>
        <v>1.75E+17</v>
      </c>
      <c r="AD166" s="110">
        <f t="shared" si="27"/>
        <v>44472</v>
      </c>
      <c r="AE166" s="13" t="e">
        <f>IF(AND(AD166&lt;=$AI$4,#REF!&lt;1),1,"")</f>
        <v>#REF!</v>
      </c>
      <c r="AF166" s="110">
        <f t="shared" ca="1" si="28"/>
        <v>44553</v>
      </c>
      <c r="AH166" s="13">
        <f t="shared" ca="1" si="29"/>
        <v>85</v>
      </c>
    </row>
    <row r="167" spans="1:34" x14ac:dyDescent="0.25">
      <c r="A167" s="13" t="s">
        <v>8</v>
      </c>
      <c r="B167" s="13" t="s">
        <v>8</v>
      </c>
      <c r="C167" s="13" t="s">
        <v>270</v>
      </c>
      <c r="D167" s="13" t="s">
        <v>732</v>
      </c>
      <c r="E167" s="13" t="s">
        <v>731</v>
      </c>
      <c r="F167" s="13">
        <v>2</v>
      </c>
      <c r="G167" s="2" t="s">
        <v>269</v>
      </c>
      <c r="H167" s="13" t="s">
        <v>1</v>
      </c>
      <c r="I167" s="13" t="s">
        <v>140</v>
      </c>
      <c r="J167" s="13" t="s">
        <v>139</v>
      </c>
      <c r="K167" s="109">
        <v>44468</v>
      </c>
      <c r="P167" s="110">
        <v>44476</v>
      </c>
      <c r="Q167" s="13" t="str">
        <f t="shared" si="20"/>
        <v>IBA1CRD024124CADENASNUTRESA</v>
      </c>
      <c r="R167" s="2">
        <v>2</v>
      </c>
      <c r="S167" s="13">
        <v>2</v>
      </c>
      <c r="T167" s="123">
        <f t="shared" si="21"/>
        <v>1</v>
      </c>
      <c r="U167" s="13">
        <f t="shared" si="22"/>
        <v>0</v>
      </c>
      <c r="V167" s="123">
        <f t="shared" si="23"/>
        <v>0</v>
      </c>
      <c r="X167" s="13">
        <v>5000000</v>
      </c>
      <c r="Y167" s="13">
        <v>60000000</v>
      </c>
      <c r="Z167" s="13">
        <v>60000000</v>
      </c>
      <c r="AA167" s="13">
        <f t="shared" si="24"/>
        <v>1.8E+22</v>
      </c>
      <c r="AB167" s="13">
        <f t="shared" si="25"/>
        <v>3.6E+22</v>
      </c>
      <c r="AC167" s="13">
        <f t="shared" si="26"/>
        <v>2.5E+16</v>
      </c>
      <c r="AD167" s="110">
        <f t="shared" si="27"/>
        <v>44472</v>
      </c>
      <c r="AE167" s="13" t="e">
        <f>IF(AND(AD167&lt;=$AI$4,#REF!&lt;1),1,"")</f>
        <v>#REF!</v>
      </c>
      <c r="AF167" s="110">
        <f t="shared" ca="1" si="28"/>
        <v>44553</v>
      </c>
      <c r="AH167" s="13">
        <f t="shared" ca="1" si="29"/>
        <v>85</v>
      </c>
    </row>
    <row r="168" spans="1:34" x14ac:dyDescent="0.25">
      <c r="A168" s="13" t="s">
        <v>9</v>
      </c>
      <c r="B168" s="13" t="s">
        <v>9</v>
      </c>
      <c r="C168" s="13" t="s">
        <v>270</v>
      </c>
      <c r="D168" s="13" t="s">
        <v>732</v>
      </c>
      <c r="E168" s="13" t="s">
        <v>731</v>
      </c>
      <c r="F168" s="13">
        <v>17</v>
      </c>
      <c r="G168" s="2" t="s">
        <v>269</v>
      </c>
      <c r="H168" s="13" t="s">
        <v>1</v>
      </c>
      <c r="I168" s="13" t="s">
        <v>140</v>
      </c>
      <c r="J168" s="13" t="s">
        <v>139</v>
      </c>
      <c r="K168" s="109">
        <v>44468</v>
      </c>
      <c r="P168" s="110">
        <v>44476</v>
      </c>
      <c r="Q168" s="13" t="str">
        <f t="shared" si="20"/>
        <v>MEDECRD024124CADENASNUTRESA</v>
      </c>
      <c r="R168" s="2">
        <v>17</v>
      </c>
      <c r="S168" s="13">
        <v>17</v>
      </c>
      <c r="T168" s="123">
        <f t="shared" si="21"/>
        <v>1</v>
      </c>
      <c r="U168" s="13">
        <f t="shared" si="22"/>
        <v>0</v>
      </c>
      <c r="V168" s="123">
        <f t="shared" si="23"/>
        <v>0</v>
      </c>
      <c r="X168" s="13">
        <v>5000000</v>
      </c>
      <c r="Y168" s="13">
        <v>60000000</v>
      </c>
      <c r="Z168" s="13">
        <v>60000000</v>
      </c>
      <c r="AA168" s="13">
        <f t="shared" si="24"/>
        <v>1.8E+22</v>
      </c>
      <c r="AB168" s="13">
        <f t="shared" si="25"/>
        <v>3.0600000000000001E+23</v>
      </c>
      <c r="AC168" s="13">
        <f t="shared" si="26"/>
        <v>2.125E+17</v>
      </c>
      <c r="AD168" s="110">
        <f t="shared" si="27"/>
        <v>44472</v>
      </c>
      <c r="AE168" s="13" t="e">
        <f>IF(AND(AD168&lt;=$AI$4,#REF!&lt;1),1,"")</f>
        <v>#REF!</v>
      </c>
      <c r="AF168" s="110">
        <f t="shared" ca="1" si="28"/>
        <v>44553</v>
      </c>
      <c r="AH168" s="13">
        <f t="shared" ca="1" si="29"/>
        <v>85</v>
      </c>
    </row>
    <row r="169" spans="1:34" x14ac:dyDescent="0.25">
      <c r="A169" s="13" t="s">
        <v>10</v>
      </c>
      <c r="B169" s="13" t="s">
        <v>10</v>
      </c>
      <c r="C169" s="13" t="s">
        <v>270</v>
      </c>
      <c r="D169" s="13" t="s">
        <v>732</v>
      </c>
      <c r="E169" s="13" t="s">
        <v>731</v>
      </c>
      <c r="F169" s="13">
        <v>21</v>
      </c>
      <c r="G169" s="2" t="s">
        <v>269</v>
      </c>
      <c r="H169" s="13" t="s">
        <v>1</v>
      </c>
      <c r="I169" s="13" t="s">
        <v>140</v>
      </c>
      <c r="J169" s="13" t="s">
        <v>139</v>
      </c>
      <c r="K169" s="109">
        <v>44468</v>
      </c>
      <c r="P169" s="110">
        <v>44476</v>
      </c>
      <c r="Q169" s="13" t="str">
        <f t="shared" si="20"/>
        <v>PERECRD024124CADENASNUTRESA</v>
      </c>
      <c r="R169" s="2">
        <v>21</v>
      </c>
      <c r="S169" s="13">
        <v>21</v>
      </c>
      <c r="T169" s="123">
        <f t="shared" si="21"/>
        <v>1</v>
      </c>
      <c r="U169" s="13">
        <f t="shared" si="22"/>
        <v>0</v>
      </c>
      <c r="V169" s="123">
        <f t="shared" si="23"/>
        <v>0</v>
      </c>
      <c r="X169" s="13">
        <v>5000000</v>
      </c>
      <c r="Y169" s="13">
        <v>60000000</v>
      </c>
      <c r="Z169" s="13">
        <v>60000000</v>
      </c>
      <c r="AA169" s="13">
        <f t="shared" si="24"/>
        <v>1.8E+22</v>
      </c>
      <c r="AB169" s="13">
        <f t="shared" si="25"/>
        <v>3.78E+23</v>
      </c>
      <c r="AC169" s="13">
        <f t="shared" si="26"/>
        <v>2.625E+17</v>
      </c>
      <c r="AD169" s="110">
        <f t="shared" si="27"/>
        <v>44472</v>
      </c>
      <c r="AE169" s="13" t="e">
        <f>IF(AND(AD169&lt;=$AI$4,#REF!&lt;1),1,"")</f>
        <v>#REF!</v>
      </c>
      <c r="AF169" s="110">
        <f t="shared" ca="1" si="28"/>
        <v>44553</v>
      </c>
      <c r="AH169" s="13">
        <f t="shared" ca="1" si="29"/>
        <v>85</v>
      </c>
    </row>
    <row r="170" spans="1:34" x14ac:dyDescent="0.25">
      <c r="A170" s="13" t="s">
        <v>4</v>
      </c>
      <c r="B170" s="13" t="s">
        <v>4</v>
      </c>
      <c r="C170" s="13" t="s">
        <v>271</v>
      </c>
      <c r="D170" s="13" t="s">
        <v>733</v>
      </c>
      <c r="E170" s="13" t="s">
        <v>731</v>
      </c>
      <c r="F170" s="13">
        <v>18</v>
      </c>
      <c r="G170" s="2" t="s">
        <v>269</v>
      </c>
      <c r="H170" s="13" t="s">
        <v>1</v>
      </c>
      <c r="I170" s="13" t="s">
        <v>140</v>
      </c>
      <c r="J170" s="13" t="s">
        <v>139</v>
      </c>
      <c r="K170" s="109">
        <v>44468</v>
      </c>
      <c r="P170" s="110">
        <v>44476</v>
      </c>
      <c r="Q170" s="13" t="str">
        <f t="shared" si="20"/>
        <v>BGTACRD024125CADENASNUTRESA</v>
      </c>
      <c r="R170" s="2">
        <v>18</v>
      </c>
      <c r="S170" s="13">
        <v>18</v>
      </c>
      <c r="T170" s="123">
        <f t="shared" si="21"/>
        <v>1</v>
      </c>
      <c r="U170" s="13">
        <f t="shared" si="22"/>
        <v>0</v>
      </c>
      <c r="V170" s="123">
        <f t="shared" si="23"/>
        <v>0</v>
      </c>
      <c r="X170" s="13">
        <v>5000000</v>
      </c>
      <c r="Y170" s="13">
        <v>80000000</v>
      </c>
      <c r="Z170" s="13">
        <v>80000000</v>
      </c>
      <c r="AA170" s="13">
        <f t="shared" si="24"/>
        <v>3.2E+22</v>
      </c>
      <c r="AB170" s="13">
        <f t="shared" si="25"/>
        <v>5.76E+23</v>
      </c>
      <c r="AC170" s="13">
        <f t="shared" si="26"/>
        <v>4E+17</v>
      </c>
      <c r="AD170" s="110">
        <f t="shared" si="27"/>
        <v>44472</v>
      </c>
      <c r="AE170" s="13" t="e">
        <f>IF(AND(AD170&lt;=$AI$4,#REF!&lt;1),1,"")</f>
        <v>#REF!</v>
      </c>
      <c r="AF170" s="110">
        <f t="shared" ca="1" si="28"/>
        <v>44553</v>
      </c>
      <c r="AH170" s="13">
        <f t="shared" ca="1" si="29"/>
        <v>85</v>
      </c>
    </row>
    <row r="171" spans="1:34" x14ac:dyDescent="0.25">
      <c r="A171" s="13" t="s">
        <v>5</v>
      </c>
      <c r="B171" s="13" t="s">
        <v>5</v>
      </c>
      <c r="C171" s="13" t="s">
        <v>271</v>
      </c>
      <c r="D171" s="13" t="s">
        <v>733</v>
      </c>
      <c r="E171" s="13" t="s">
        <v>731</v>
      </c>
      <c r="F171" s="13">
        <v>2</v>
      </c>
      <c r="G171" s="2" t="s">
        <v>269</v>
      </c>
      <c r="H171" s="13" t="s">
        <v>1</v>
      </c>
      <c r="I171" s="13" t="s">
        <v>140</v>
      </c>
      <c r="J171" s="13" t="s">
        <v>139</v>
      </c>
      <c r="K171" s="109">
        <v>44468</v>
      </c>
      <c r="P171" s="110">
        <v>44476</v>
      </c>
      <c r="Q171" s="13" t="str">
        <f t="shared" si="20"/>
        <v>BUCACRD024125CADENASNUTRESA</v>
      </c>
      <c r="R171" s="2">
        <v>2</v>
      </c>
      <c r="S171" s="13">
        <v>2</v>
      </c>
      <c r="T171" s="123">
        <f t="shared" si="21"/>
        <v>1</v>
      </c>
      <c r="U171" s="13">
        <f t="shared" si="22"/>
        <v>0</v>
      </c>
      <c r="V171" s="123">
        <f t="shared" si="23"/>
        <v>0</v>
      </c>
      <c r="X171" s="13">
        <v>5000000</v>
      </c>
      <c r="Y171" s="13">
        <v>80000000</v>
      </c>
      <c r="Z171" s="13">
        <v>80000000</v>
      </c>
      <c r="AA171" s="13">
        <f t="shared" si="24"/>
        <v>3.2E+22</v>
      </c>
      <c r="AB171" s="13">
        <f t="shared" si="25"/>
        <v>6.4E+22</v>
      </c>
      <c r="AC171" s="13">
        <f t="shared" si="26"/>
        <v>4.4444444444444448E+16</v>
      </c>
      <c r="AD171" s="110">
        <f t="shared" si="27"/>
        <v>44472</v>
      </c>
      <c r="AE171" s="13" t="e">
        <f>IF(AND(AD171&lt;=$AI$4,#REF!&lt;1),1,"")</f>
        <v>#REF!</v>
      </c>
      <c r="AF171" s="110">
        <f t="shared" ca="1" si="28"/>
        <v>44553</v>
      </c>
      <c r="AH171" s="13">
        <f t="shared" ca="1" si="29"/>
        <v>85</v>
      </c>
    </row>
    <row r="172" spans="1:34" x14ac:dyDescent="0.25">
      <c r="A172" s="13" t="s">
        <v>6</v>
      </c>
      <c r="B172" s="13" t="s">
        <v>6</v>
      </c>
      <c r="C172" s="13" t="s">
        <v>271</v>
      </c>
      <c r="D172" s="13" t="s">
        <v>733</v>
      </c>
      <c r="E172" s="13" t="s">
        <v>731</v>
      </c>
      <c r="F172" s="13">
        <v>20</v>
      </c>
      <c r="G172" s="2" t="s">
        <v>269</v>
      </c>
      <c r="H172" s="13" t="s">
        <v>1</v>
      </c>
      <c r="I172" s="13" t="s">
        <v>140</v>
      </c>
      <c r="J172" s="13" t="s">
        <v>139</v>
      </c>
      <c r="K172" s="109">
        <v>44468</v>
      </c>
      <c r="P172" s="110">
        <v>44476</v>
      </c>
      <c r="Q172" s="13" t="str">
        <f t="shared" si="20"/>
        <v>CALICRD024125CADENASNUTRESA</v>
      </c>
      <c r="R172" s="2">
        <v>20</v>
      </c>
      <c r="S172" s="13">
        <v>20</v>
      </c>
      <c r="T172" s="123">
        <f t="shared" si="21"/>
        <v>1</v>
      </c>
      <c r="U172" s="13">
        <f t="shared" si="22"/>
        <v>0</v>
      </c>
      <c r="V172" s="123">
        <f t="shared" si="23"/>
        <v>0</v>
      </c>
      <c r="X172" s="13">
        <v>5000000</v>
      </c>
      <c r="Y172" s="13">
        <v>80000000</v>
      </c>
      <c r="Z172" s="13">
        <v>80000000</v>
      </c>
      <c r="AA172" s="13">
        <f t="shared" si="24"/>
        <v>3.2E+22</v>
      </c>
      <c r="AB172" s="13">
        <f t="shared" si="25"/>
        <v>6.4E+23</v>
      </c>
      <c r="AC172" s="13">
        <f t="shared" si="26"/>
        <v>4.4444444444444442E+17</v>
      </c>
      <c r="AD172" s="110">
        <f t="shared" si="27"/>
        <v>44472</v>
      </c>
      <c r="AE172" s="13" t="e">
        <f>IF(AND(AD172&lt;=$AI$4,#REF!&lt;1),1,"")</f>
        <v>#REF!</v>
      </c>
      <c r="AF172" s="110">
        <f t="shared" ca="1" si="28"/>
        <v>44553</v>
      </c>
      <c r="AH172" s="13">
        <f t="shared" ca="1" si="29"/>
        <v>85</v>
      </c>
    </row>
    <row r="173" spans="1:34" x14ac:dyDescent="0.25">
      <c r="A173" s="13" t="s">
        <v>7</v>
      </c>
      <c r="B173" s="13" t="s">
        <v>7</v>
      </c>
      <c r="C173" s="13" t="s">
        <v>271</v>
      </c>
      <c r="D173" s="13" t="s">
        <v>733</v>
      </c>
      <c r="E173" s="13" t="s">
        <v>731</v>
      </c>
      <c r="F173" s="13">
        <v>2</v>
      </c>
      <c r="G173" s="2" t="s">
        <v>269</v>
      </c>
      <c r="H173" s="13" t="s">
        <v>1</v>
      </c>
      <c r="I173" s="13" t="s">
        <v>140</v>
      </c>
      <c r="J173" s="13" t="s">
        <v>139</v>
      </c>
      <c r="K173" s="109">
        <v>44468</v>
      </c>
      <c r="P173" s="110">
        <v>44476</v>
      </c>
      <c r="Q173" s="13" t="str">
        <f t="shared" si="20"/>
        <v>CARTCRD024125CADENASNUTRESA</v>
      </c>
      <c r="R173" s="2">
        <v>2</v>
      </c>
      <c r="S173" s="13">
        <v>2</v>
      </c>
      <c r="T173" s="123">
        <f t="shared" si="21"/>
        <v>1</v>
      </c>
      <c r="U173" s="13">
        <f t="shared" si="22"/>
        <v>0</v>
      </c>
      <c r="V173" s="123">
        <f t="shared" si="23"/>
        <v>0</v>
      </c>
      <c r="X173" s="13">
        <v>5000000</v>
      </c>
      <c r="Y173" s="13">
        <v>80000000</v>
      </c>
      <c r="Z173" s="13">
        <v>80000000</v>
      </c>
      <c r="AA173" s="13">
        <f t="shared" si="24"/>
        <v>3.2E+22</v>
      </c>
      <c r="AB173" s="13">
        <f t="shared" si="25"/>
        <v>6.4E+22</v>
      </c>
      <c r="AC173" s="13">
        <f t="shared" si="26"/>
        <v>4.4444444444444448E+16</v>
      </c>
      <c r="AD173" s="110">
        <f t="shared" si="27"/>
        <v>44472</v>
      </c>
      <c r="AE173" s="13" t="e">
        <f>IF(AND(AD173&lt;=$AI$4,#REF!&lt;1),1,"")</f>
        <v>#REF!</v>
      </c>
      <c r="AF173" s="110">
        <f t="shared" ca="1" si="28"/>
        <v>44553</v>
      </c>
      <c r="AH173" s="13">
        <f t="shared" ca="1" si="29"/>
        <v>85</v>
      </c>
    </row>
    <row r="174" spans="1:34" x14ac:dyDescent="0.25">
      <c r="A174" s="13" t="s">
        <v>8</v>
      </c>
      <c r="B174" s="13" t="s">
        <v>8</v>
      </c>
      <c r="C174" s="13" t="s">
        <v>271</v>
      </c>
      <c r="D174" s="13" t="s">
        <v>733</v>
      </c>
      <c r="E174" s="13" t="s">
        <v>731</v>
      </c>
      <c r="F174" s="13">
        <v>2</v>
      </c>
      <c r="G174" s="2" t="s">
        <v>269</v>
      </c>
      <c r="H174" s="13" t="s">
        <v>1</v>
      </c>
      <c r="I174" s="13" t="s">
        <v>140</v>
      </c>
      <c r="J174" s="13" t="s">
        <v>139</v>
      </c>
      <c r="K174" s="109">
        <v>44468</v>
      </c>
      <c r="P174" s="110">
        <v>44476</v>
      </c>
      <c r="Q174" s="13" t="str">
        <f t="shared" si="20"/>
        <v>IBA1CRD024125CADENASNUTRESA</v>
      </c>
      <c r="R174" s="2">
        <v>2</v>
      </c>
      <c r="S174" s="13">
        <v>2</v>
      </c>
      <c r="T174" s="123">
        <f t="shared" si="21"/>
        <v>1</v>
      </c>
      <c r="U174" s="13">
        <f t="shared" si="22"/>
        <v>0</v>
      </c>
      <c r="V174" s="123">
        <f t="shared" si="23"/>
        <v>0</v>
      </c>
      <c r="X174" s="13">
        <v>5000000</v>
      </c>
      <c r="Y174" s="13">
        <v>80000000</v>
      </c>
      <c r="Z174" s="13">
        <v>80000000</v>
      </c>
      <c r="AA174" s="13">
        <f t="shared" si="24"/>
        <v>3.2E+22</v>
      </c>
      <c r="AB174" s="13">
        <f t="shared" si="25"/>
        <v>6.4E+22</v>
      </c>
      <c r="AC174" s="13">
        <f t="shared" si="26"/>
        <v>4.4444444444444448E+16</v>
      </c>
      <c r="AD174" s="110">
        <f t="shared" si="27"/>
        <v>44472</v>
      </c>
      <c r="AE174" s="13" t="e">
        <f>IF(AND(AD174&lt;=$AI$4,#REF!&lt;1),1,"")</f>
        <v>#REF!</v>
      </c>
      <c r="AF174" s="110">
        <f t="shared" ca="1" si="28"/>
        <v>44553</v>
      </c>
      <c r="AH174" s="13">
        <f t="shared" ca="1" si="29"/>
        <v>85</v>
      </c>
    </row>
    <row r="175" spans="1:34" x14ac:dyDescent="0.25">
      <c r="A175" s="13" t="s">
        <v>9</v>
      </c>
      <c r="B175" s="13" t="s">
        <v>9</v>
      </c>
      <c r="C175" s="13" t="s">
        <v>271</v>
      </c>
      <c r="D175" s="13" t="s">
        <v>733</v>
      </c>
      <c r="E175" s="13" t="s">
        <v>731</v>
      </c>
      <c r="F175" s="13">
        <v>2</v>
      </c>
      <c r="G175" s="2" t="s">
        <v>269</v>
      </c>
      <c r="H175" s="13" t="s">
        <v>1</v>
      </c>
      <c r="I175" s="13" t="s">
        <v>140</v>
      </c>
      <c r="J175" s="13" t="s">
        <v>139</v>
      </c>
      <c r="K175" s="109">
        <v>44468</v>
      </c>
      <c r="P175" s="110">
        <v>44476</v>
      </c>
      <c r="Q175" s="13" t="str">
        <f t="shared" si="20"/>
        <v>MEDECRD024125CADENASNUTRESA</v>
      </c>
      <c r="R175" s="2">
        <v>2</v>
      </c>
      <c r="S175" s="13">
        <v>2</v>
      </c>
      <c r="T175" s="123">
        <f t="shared" si="21"/>
        <v>1</v>
      </c>
      <c r="U175" s="13">
        <f t="shared" si="22"/>
        <v>0</v>
      </c>
      <c r="V175" s="123">
        <f t="shared" si="23"/>
        <v>0</v>
      </c>
      <c r="X175" s="13">
        <v>5000000</v>
      </c>
      <c r="Y175" s="13">
        <v>80000000</v>
      </c>
      <c r="Z175" s="13">
        <v>80000000</v>
      </c>
      <c r="AA175" s="13">
        <f t="shared" si="24"/>
        <v>3.2E+22</v>
      </c>
      <c r="AB175" s="13">
        <f t="shared" si="25"/>
        <v>6.4E+22</v>
      </c>
      <c r="AC175" s="13">
        <f t="shared" si="26"/>
        <v>4.4444444444444448E+16</v>
      </c>
      <c r="AD175" s="110">
        <f t="shared" si="27"/>
        <v>44472</v>
      </c>
      <c r="AE175" s="13" t="e">
        <f>IF(AND(AD175&lt;=$AI$4,#REF!&lt;1),1,"")</f>
        <v>#REF!</v>
      </c>
      <c r="AF175" s="110">
        <f t="shared" ca="1" si="28"/>
        <v>44553</v>
      </c>
      <c r="AH175" s="13">
        <f t="shared" ca="1" si="29"/>
        <v>85</v>
      </c>
    </row>
    <row r="176" spans="1:34" x14ac:dyDescent="0.25">
      <c r="A176" s="13" t="s">
        <v>10</v>
      </c>
      <c r="B176" s="13" t="s">
        <v>10</v>
      </c>
      <c r="C176" s="13" t="s">
        <v>271</v>
      </c>
      <c r="D176" s="13" t="s">
        <v>733</v>
      </c>
      <c r="E176" s="13" t="s">
        <v>731</v>
      </c>
      <c r="F176" s="13">
        <v>16</v>
      </c>
      <c r="G176" s="2" t="s">
        <v>269</v>
      </c>
      <c r="H176" s="13" t="s">
        <v>1</v>
      </c>
      <c r="I176" s="13" t="s">
        <v>140</v>
      </c>
      <c r="J176" s="13" t="s">
        <v>139</v>
      </c>
      <c r="K176" s="109">
        <v>44468</v>
      </c>
      <c r="P176" s="110">
        <v>44476</v>
      </c>
      <c r="Q176" s="13" t="str">
        <f t="shared" si="20"/>
        <v>PERECRD024125CADENASNUTRESA</v>
      </c>
      <c r="R176" s="2">
        <v>16</v>
      </c>
      <c r="S176" s="13">
        <v>16</v>
      </c>
      <c r="T176" s="123">
        <f t="shared" si="21"/>
        <v>1</v>
      </c>
      <c r="U176" s="13">
        <f t="shared" si="22"/>
        <v>0</v>
      </c>
      <c r="V176" s="123">
        <f t="shared" si="23"/>
        <v>0</v>
      </c>
      <c r="X176" s="13">
        <v>5000000</v>
      </c>
      <c r="Y176" s="13">
        <v>80000000</v>
      </c>
      <c r="Z176" s="13">
        <v>80000000</v>
      </c>
      <c r="AA176" s="13">
        <f t="shared" si="24"/>
        <v>3.2E+22</v>
      </c>
      <c r="AB176" s="13">
        <f t="shared" si="25"/>
        <v>5.12E+23</v>
      </c>
      <c r="AC176" s="13">
        <f t="shared" si="26"/>
        <v>3.5555555555555558E+17</v>
      </c>
      <c r="AD176" s="110">
        <f t="shared" si="27"/>
        <v>44472</v>
      </c>
      <c r="AE176" s="13" t="e">
        <f>IF(AND(AD176&lt;=$AI$4,#REF!&lt;1),1,"")</f>
        <v>#REF!</v>
      </c>
      <c r="AF176" s="110">
        <f t="shared" ca="1" si="28"/>
        <v>44553</v>
      </c>
      <c r="AH176" s="13">
        <f t="shared" ca="1" si="29"/>
        <v>85</v>
      </c>
    </row>
    <row r="177" spans="1:34" x14ac:dyDescent="0.25">
      <c r="A177" s="13" t="s">
        <v>4</v>
      </c>
      <c r="B177" s="13" t="s">
        <v>4</v>
      </c>
      <c r="C177" s="13" t="s">
        <v>272</v>
      </c>
      <c r="D177" s="13" t="s">
        <v>734</v>
      </c>
      <c r="E177" s="13" t="s">
        <v>731</v>
      </c>
      <c r="F177" s="13">
        <v>1</v>
      </c>
      <c r="G177" s="2" t="s">
        <v>269</v>
      </c>
      <c r="H177" s="13" t="s">
        <v>1</v>
      </c>
      <c r="I177" s="13" t="s">
        <v>140</v>
      </c>
      <c r="J177" s="13" t="s">
        <v>139</v>
      </c>
      <c r="K177" s="109">
        <v>44468</v>
      </c>
      <c r="P177" s="110">
        <v>44476</v>
      </c>
      <c r="Q177" s="13" t="str">
        <f t="shared" si="20"/>
        <v>BGTACRD024126CADENASNUTRESA</v>
      </c>
      <c r="R177" s="2">
        <v>1</v>
      </c>
      <c r="S177" s="13">
        <v>1</v>
      </c>
      <c r="T177" s="123">
        <f t="shared" si="21"/>
        <v>1</v>
      </c>
      <c r="U177" s="13">
        <f t="shared" si="22"/>
        <v>0</v>
      </c>
      <c r="V177" s="123">
        <f t="shared" si="23"/>
        <v>0</v>
      </c>
      <c r="X177" s="13">
        <v>10000000</v>
      </c>
      <c r="Y177" s="13">
        <v>64000000</v>
      </c>
      <c r="Z177" s="13">
        <v>64000000</v>
      </c>
      <c r="AA177" s="13">
        <f t="shared" si="24"/>
        <v>4.096E+22</v>
      </c>
      <c r="AB177" s="13">
        <f t="shared" si="25"/>
        <v>4.096E+22</v>
      </c>
      <c r="AC177" s="13">
        <f t="shared" si="26"/>
        <v>2.8444444444444444E+16</v>
      </c>
      <c r="AD177" s="110">
        <f t="shared" si="27"/>
        <v>44472</v>
      </c>
      <c r="AE177" s="13" t="e">
        <f>IF(AND(AD177&lt;=$AI$4,#REF!&lt;1),1,"")</f>
        <v>#REF!</v>
      </c>
      <c r="AF177" s="110">
        <f t="shared" ca="1" si="28"/>
        <v>44553</v>
      </c>
      <c r="AH177" s="13">
        <f t="shared" ca="1" si="29"/>
        <v>85</v>
      </c>
    </row>
    <row r="178" spans="1:34" x14ac:dyDescent="0.25">
      <c r="A178" s="13" t="s">
        <v>8</v>
      </c>
      <c r="B178" s="13" t="s">
        <v>8</v>
      </c>
      <c r="C178" s="13" t="s">
        <v>272</v>
      </c>
      <c r="D178" s="13" t="s">
        <v>734</v>
      </c>
      <c r="E178" s="13" t="s">
        <v>731</v>
      </c>
      <c r="F178" s="13">
        <v>1</v>
      </c>
      <c r="G178" s="2" t="s">
        <v>269</v>
      </c>
      <c r="H178" s="13" t="s">
        <v>1</v>
      </c>
      <c r="I178" s="13" t="s">
        <v>140</v>
      </c>
      <c r="J178" s="13" t="s">
        <v>139</v>
      </c>
      <c r="K178" s="109">
        <v>44468</v>
      </c>
      <c r="P178" s="110">
        <v>44476</v>
      </c>
      <c r="Q178" s="13" t="str">
        <f t="shared" si="20"/>
        <v>IBA1CRD024126CADENASNUTRESA</v>
      </c>
      <c r="R178" s="2">
        <v>1</v>
      </c>
      <c r="S178" s="13">
        <v>1</v>
      </c>
      <c r="T178" s="123">
        <f t="shared" si="21"/>
        <v>1</v>
      </c>
      <c r="U178" s="13">
        <f t="shared" si="22"/>
        <v>0</v>
      </c>
      <c r="V178" s="123">
        <f t="shared" si="23"/>
        <v>0</v>
      </c>
      <c r="X178" s="13">
        <v>10000000</v>
      </c>
      <c r="Y178" s="13">
        <v>64000000</v>
      </c>
      <c r="Z178" s="13">
        <v>64000000</v>
      </c>
      <c r="AA178" s="13">
        <f t="shared" si="24"/>
        <v>4.096E+22</v>
      </c>
      <c r="AB178" s="13">
        <f t="shared" si="25"/>
        <v>4.096E+22</v>
      </c>
      <c r="AC178" s="13">
        <f t="shared" si="26"/>
        <v>2.8444444444444444E+16</v>
      </c>
      <c r="AD178" s="110">
        <f t="shared" si="27"/>
        <v>44472</v>
      </c>
      <c r="AE178" s="13" t="e">
        <f>IF(AND(AD178&lt;=$AI$4,#REF!&lt;1),1,"")</f>
        <v>#REF!</v>
      </c>
      <c r="AF178" s="110">
        <f t="shared" ca="1" si="28"/>
        <v>44553</v>
      </c>
      <c r="AH178" s="13">
        <f t="shared" ca="1" si="29"/>
        <v>85</v>
      </c>
    </row>
    <row r="179" spans="1:34" x14ac:dyDescent="0.25">
      <c r="A179" s="13" t="s">
        <v>10</v>
      </c>
      <c r="B179" s="13" t="s">
        <v>10</v>
      </c>
      <c r="C179" s="13" t="s">
        <v>272</v>
      </c>
      <c r="D179" s="13" t="s">
        <v>734</v>
      </c>
      <c r="E179" s="13" t="s">
        <v>731</v>
      </c>
      <c r="F179" s="13">
        <v>1</v>
      </c>
      <c r="G179" s="2" t="s">
        <v>269</v>
      </c>
      <c r="H179" s="13" t="s">
        <v>1</v>
      </c>
      <c r="I179" s="13" t="s">
        <v>140</v>
      </c>
      <c r="J179" s="13" t="s">
        <v>139</v>
      </c>
      <c r="K179" s="109">
        <v>44468</v>
      </c>
      <c r="P179" s="110">
        <v>44476</v>
      </c>
      <c r="Q179" s="13" t="str">
        <f t="shared" si="20"/>
        <v>PERECRD024126CADENASNUTRESA</v>
      </c>
      <c r="R179" s="2">
        <v>1</v>
      </c>
      <c r="S179" s="13">
        <v>1</v>
      </c>
      <c r="T179" s="123">
        <f t="shared" si="21"/>
        <v>1</v>
      </c>
      <c r="U179" s="13">
        <f t="shared" si="22"/>
        <v>0</v>
      </c>
      <c r="V179" s="123">
        <f t="shared" si="23"/>
        <v>0</v>
      </c>
      <c r="X179" s="13">
        <v>10000000</v>
      </c>
      <c r="Y179" s="13">
        <v>64000000</v>
      </c>
      <c r="Z179" s="13">
        <v>64000000</v>
      </c>
      <c r="AA179" s="13">
        <f t="shared" si="24"/>
        <v>4.096E+22</v>
      </c>
      <c r="AB179" s="13">
        <f t="shared" si="25"/>
        <v>4.096E+22</v>
      </c>
      <c r="AC179" s="13">
        <f t="shared" si="26"/>
        <v>2.8444444444444444E+16</v>
      </c>
      <c r="AD179" s="110">
        <f t="shared" si="27"/>
        <v>44472</v>
      </c>
      <c r="AE179" s="13" t="e">
        <f>IF(AND(AD179&lt;=$AI$4,#REF!&lt;1),1,"")</f>
        <v>#REF!</v>
      </c>
      <c r="AF179" s="110">
        <f t="shared" ca="1" si="28"/>
        <v>44553</v>
      </c>
      <c r="AH179" s="13">
        <f t="shared" ca="1" si="29"/>
        <v>85</v>
      </c>
    </row>
    <row r="180" spans="1:34" x14ac:dyDescent="0.25">
      <c r="A180" s="13" t="s">
        <v>4</v>
      </c>
      <c r="B180" s="13" t="s">
        <v>4</v>
      </c>
      <c r="C180" s="13" t="s">
        <v>273</v>
      </c>
      <c r="D180" s="13" t="s">
        <v>735</v>
      </c>
      <c r="E180" s="13" t="s">
        <v>725</v>
      </c>
      <c r="F180" s="13">
        <v>4</v>
      </c>
      <c r="G180" s="2" t="s">
        <v>269</v>
      </c>
      <c r="H180" s="13" t="s">
        <v>1</v>
      </c>
      <c r="I180" s="13" t="s">
        <v>140</v>
      </c>
      <c r="J180" s="13" t="s">
        <v>139</v>
      </c>
      <c r="K180" s="109">
        <v>44468</v>
      </c>
      <c r="P180" s="110">
        <v>44476</v>
      </c>
      <c r="Q180" s="13" t="str">
        <f t="shared" si="20"/>
        <v>BGTACRD024127CADENASNUTRESA</v>
      </c>
      <c r="R180" s="2">
        <v>4</v>
      </c>
      <c r="S180" s="13">
        <v>4</v>
      </c>
      <c r="T180" s="123">
        <f t="shared" si="21"/>
        <v>1</v>
      </c>
      <c r="U180" s="13">
        <f t="shared" si="22"/>
        <v>0</v>
      </c>
      <c r="V180" s="123">
        <f t="shared" si="23"/>
        <v>0</v>
      </c>
      <c r="X180" s="13">
        <v>26000000</v>
      </c>
      <c r="Y180" s="13">
        <v>204000000</v>
      </c>
      <c r="Z180" s="13">
        <v>204000000</v>
      </c>
      <c r="AA180" s="13">
        <f t="shared" si="24"/>
        <v>1.082016E+24</v>
      </c>
      <c r="AB180" s="13">
        <f t="shared" si="25"/>
        <v>4.3280640000000001E+24</v>
      </c>
      <c r="AC180" s="13">
        <f t="shared" si="26"/>
        <v>3.0056E+18</v>
      </c>
      <c r="AD180" s="110">
        <f t="shared" si="27"/>
        <v>44472</v>
      </c>
      <c r="AE180" s="13" t="e">
        <f>IF(AND(AD180&lt;=$AI$4,#REF!&lt;1),1,"")</f>
        <v>#REF!</v>
      </c>
      <c r="AF180" s="110">
        <f t="shared" ca="1" si="28"/>
        <v>44553</v>
      </c>
      <c r="AH180" s="13">
        <f t="shared" ca="1" si="29"/>
        <v>85</v>
      </c>
    </row>
    <row r="181" spans="1:34" x14ac:dyDescent="0.25">
      <c r="A181" s="13" t="s">
        <v>6</v>
      </c>
      <c r="B181" s="13" t="s">
        <v>6</v>
      </c>
      <c r="C181" s="13" t="s">
        <v>273</v>
      </c>
      <c r="D181" s="13" t="s">
        <v>735</v>
      </c>
      <c r="E181" s="13" t="s">
        <v>725</v>
      </c>
      <c r="F181" s="13">
        <v>1</v>
      </c>
      <c r="G181" s="2" t="s">
        <v>269</v>
      </c>
      <c r="H181" s="13" t="s">
        <v>1</v>
      </c>
      <c r="I181" s="13" t="s">
        <v>140</v>
      </c>
      <c r="J181" s="13" t="s">
        <v>139</v>
      </c>
      <c r="K181" s="109">
        <v>44468</v>
      </c>
      <c r="P181" s="110">
        <v>44476</v>
      </c>
      <c r="Q181" s="13" t="str">
        <f t="shared" si="20"/>
        <v>CALICRD024127CADENASNUTRESA</v>
      </c>
      <c r="R181" s="2">
        <v>1</v>
      </c>
      <c r="S181" s="13">
        <v>1</v>
      </c>
      <c r="T181" s="123">
        <f t="shared" si="21"/>
        <v>1</v>
      </c>
      <c r="U181" s="13">
        <f t="shared" si="22"/>
        <v>0</v>
      </c>
      <c r="V181" s="123">
        <f t="shared" si="23"/>
        <v>0</v>
      </c>
      <c r="X181" s="13">
        <v>26000000</v>
      </c>
      <c r="Y181" s="13">
        <v>204000000</v>
      </c>
      <c r="Z181" s="13">
        <v>204000000</v>
      </c>
      <c r="AA181" s="13">
        <f t="shared" si="24"/>
        <v>1.082016E+24</v>
      </c>
      <c r="AB181" s="13">
        <f t="shared" si="25"/>
        <v>1.082016E+24</v>
      </c>
      <c r="AC181" s="13">
        <f t="shared" si="26"/>
        <v>7.514E+17</v>
      </c>
      <c r="AD181" s="110">
        <f t="shared" si="27"/>
        <v>44472</v>
      </c>
      <c r="AE181" s="13" t="e">
        <f>IF(AND(AD181&lt;=$AI$4,#REF!&lt;1),1,"")</f>
        <v>#REF!</v>
      </c>
      <c r="AF181" s="110">
        <f t="shared" ca="1" si="28"/>
        <v>44553</v>
      </c>
      <c r="AH181" s="13">
        <f t="shared" ca="1" si="29"/>
        <v>85</v>
      </c>
    </row>
    <row r="182" spans="1:34" x14ac:dyDescent="0.25">
      <c r="A182" s="13" t="s">
        <v>3</v>
      </c>
      <c r="B182" s="13" t="s">
        <v>3</v>
      </c>
      <c r="C182" s="13" t="s">
        <v>274</v>
      </c>
      <c r="D182" s="13" t="s">
        <v>736</v>
      </c>
      <c r="E182" s="13" t="s">
        <v>725</v>
      </c>
      <c r="F182" s="13">
        <v>28</v>
      </c>
      <c r="G182" s="2" t="s">
        <v>269</v>
      </c>
      <c r="H182" s="13" t="s">
        <v>1</v>
      </c>
      <c r="I182" s="13" t="s">
        <v>140</v>
      </c>
      <c r="J182" s="13" t="s">
        <v>139</v>
      </c>
      <c r="K182" s="109">
        <v>44468</v>
      </c>
      <c r="P182" s="110">
        <v>44476</v>
      </c>
      <c r="Q182" s="13" t="str">
        <f t="shared" si="20"/>
        <v>BARRCRD024128CADENASNUTRESA</v>
      </c>
      <c r="R182" s="2">
        <v>28</v>
      </c>
      <c r="S182" s="13">
        <v>28</v>
      </c>
      <c r="T182" s="123">
        <f t="shared" si="21"/>
        <v>1</v>
      </c>
      <c r="U182" s="13">
        <f t="shared" si="22"/>
        <v>0</v>
      </c>
      <c r="V182" s="123">
        <f t="shared" si="23"/>
        <v>0</v>
      </c>
      <c r="X182" s="13">
        <v>1000000</v>
      </c>
      <c r="Y182" s="13">
        <v>58000000</v>
      </c>
      <c r="Z182" s="13">
        <v>58000000</v>
      </c>
      <c r="AA182" s="13">
        <f t="shared" si="24"/>
        <v>3.364E+21</v>
      </c>
      <c r="AB182" s="13">
        <f t="shared" si="25"/>
        <v>9.4192000000000004E+22</v>
      </c>
      <c r="AC182" s="13">
        <f t="shared" si="26"/>
        <v>6.5411111111111112E+16</v>
      </c>
      <c r="AD182" s="110">
        <f t="shared" si="27"/>
        <v>44472</v>
      </c>
      <c r="AE182" s="13" t="e">
        <f>IF(AND(AD182&lt;=$AI$4,#REF!&lt;1),1,"")</f>
        <v>#REF!</v>
      </c>
      <c r="AF182" s="110">
        <f t="shared" ca="1" si="28"/>
        <v>44553</v>
      </c>
      <c r="AH182" s="13">
        <f t="shared" ca="1" si="29"/>
        <v>85</v>
      </c>
    </row>
    <row r="183" spans="1:34" x14ac:dyDescent="0.25">
      <c r="A183" s="13" t="s">
        <v>4</v>
      </c>
      <c r="B183" s="13" t="s">
        <v>4</v>
      </c>
      <c r="C183" s="13" t="s">
        <v>274</v>
      </c>
      <c r="D183" s="13" t="s">
        <v>736</v>
      </c>
      <c r="E183" s="13" t="s">
        <v>725</v>
      </c>
      <c r="F183" s="13">
        <v>97</v>
      </c>
      <c r="G183" s="2" t="s">
        <v>269</v>
      </c>
      <c r="H183" s="13" t="s">
        <v>1</v>
      </c>
      <c r="I183" s="13" t="s">
        <v>140</v>
      </c>
      <c r="J183" s="13" t="s">
        <v>139</v>
      </c>
      <c r="K183" s="109">
        <v>44468</v>
      </c>
      <c r="P183" s="110">
        <v>44476</v>
      </c>
      <c r="Q183" s="13" t="str">
        <f t="shared" si="20"/>
        <v>BGTACRD024128CADENASNUTRESA</v>
      </c>
      <c r="R183" s="2">
        <v>97</v>
      </c>
      <c r="S183" s="13">
        <v>97</v>
      </c>
      <c r="T183" s="123">
        <f t="shared" si="21"/>
        <v>1</v>
      </c>
      <c r="U183" s="13">
        <f t="shared" si="22"/>
        <v>0</v>
      </c>
      <c r="V183" s="123">
        <f t="shared" si="23"/>
        <v>0</v>
      </c>
      <c r="X183" s="13">
        <v>1000000</v>
      </c>
      <c r="Y183" s="13">
        <v>58000000</v>
      </c>
      <c r="Z183" s="13">
        <v>58000000</v>
      </c>
      <c r="AA183" s="13">
        <f t="shared" si="24"/>
        <v>3.364E+21</v>
      </c>
      <c r="AB183" s="13">
        <f t="shared" si="25"/>
        <v>3.26308E+23</v>
      </c>
      <c r="AC183" s="13">
        <f t="shared" si="26"/>
        <v>2.2660277777777779E+17</v>
      </c>
      <c r="AD183" s="110">
        <f t="shared" si="27"/>
        <v>44472</v>
      </c>
      <c r="AE183" s="13" t="e">
        <f>IF(AND(AD183&lt;=$AI$4,#REF!&lt;1),1,"")</f>
        <v>#REF!</v>
      </c>
      <c r="AF183" s="110">
        <f t="shared" ca="1" si="28"/>
        <v>44553</v>
      </c>
      <c r="AH183" s="13">
        <f t="shared" ca="1" si="29"/>
        <v>85</v>
      </c>
    </row>
    <row r="184" spans="1:34" x14ac:dyDescent="0.25">
      <c r="A184" s="13" t="s">
        <v>5</v>
      </c>
      <c r="B184" s="13" t="s">
        <v>5</v>
      </c>
      <c r="C184" s="13" t="s">
        <v>274</v>
      </c>
      <c r="D184" s="13" t="s">
        <v>736</v>
      </c>
      <c r="E184" s="13" t="s">
        <v>725</v>
      </c>
      <c r="F184" s="13">
        <v>22</v>
      </c>
      <c r="G184" s="2" t="s">
        <v>269</v>
      </c>
      <c r="H184" s="13" t="s">
        <v>1</v>
      </c>
      <c r="I184" s="13" t="s">
        <v>140</v>
      </c>
      <c r="J184" s="13" t="s">
        <v>139</v>
      </c>
      <c r="K184" s="109">
        <v>44468</v>
      </c>
      <c r="P184" s="110">
        <v>44476</v>
      </c>
      <c r="Q184" s="13" t="str">
        <f t="shared" si="20"/>
        <v>BUCACRD024128CADENASNUTRESA</v>
      </c>
      <c r="R184" s="2">
        <v>22</v>
      </c>
      <c r="S184" s="13">
        <v>22</v>
      </c>
      <c r="T184" s="123">
        <f t="shared" si="21"/>
        <v>1</v>
      </c>
      <c r="U184" s="13">
        <f t="shared" si="22"/>
        <v>0</v>
      </c>
      <c r="V184" s="123">
        <f t="shared" si="23"/>
        <v>0</v>
      </c>
      <c r="X184" s="13">
        <v>1000000</v>
      </c>
      <c r="Y184" s="13">
        <v>58000000</v>
      </c>
      <c r="Z184" s="13">
        <v>58000000</v>
      </c>
      <c r="AA184" s="13">
        <f t="shared" si="24"/>
        <v>3.364E+21</v>
      </c>
      <c r="AB184" s="13">
        <f t="shared" si="25"/>
        <v>7.4008000000000002E+22</v>
      </c>
      <c r="AC184" s="13">
        <f t="shared" si="26"/>
        <v>5.1394444444444448E+16</v>
      </c>
      <c r="AD184" s="110">
        <f t="shared" si="27"/>
        <v>44472</v>
      </c>
      <c r="AE184" s="13" t="e">
        <f>IF(AND(AD184&lt;=$AI$4,#REF!&lt;1),1,"")</f>
        <v>#REF!</v>
      </c>
      <c r="AF184" s="110">
        <f t="shared" ca="1" si="28"/>
        <v>44553</v>
      </c>
      <c r="AH184" s="13">
        <f t="shared" ca="1" si="29"/>
        <v>85</v>
      </c>
    </row>
    <row r="185" spans="1:34" x14ac:dyDescent="0.25">
      <c r="A185" s="13" t="s">
        <v>6</v>
      </c>
      <c r="B185" s="13" t="s">
        <v>6</v>
      </c>
      <c r="C185" s="13" t="s">
        <v>274</v>
      </c>
      <c r="D185" s="13" t="s">
        <v>736</v>
      </c>
      <c r="E185" s="13" t="s">
        <v>725</v>
      </c>
      <c r="F185" s="13">
        <v>20</v>
      </c>
      <c r="G185" s="2" t="s">
        <v>269</v>
      </c>
      <c r="H185" s="13" t="s">
        <v>1</v>
      </c>
      <c r="I185" s="13" t="s">
        <v>140</v>
      </c>
      <c r="J185" s="13" t="s">
        <v>139</v>
      </c>
      <c r="K185" s="109">
        <v>44468</v>
      </c>
      <c r="P185" s="110">
        <v>44476</v>
      </c>
      <c r="Q185" s="13" t="str">
        <f t="shared" si="20"/>
        <v>CALICRD024128CADENASNUTRESA</v>
      </c>
      <c r="R185" s="2">
        <v>20</v>
      </c>
      <c r="S185" s="13">
        <v>20</v>
      </c>
      <c r="T185" s="123">
        <f t="shared" si="21"/>
        <v>1</v>
      </c>
      <c r="U185" s="13">
        <f t="shared" si="22"/>
        <v>0</v>
      </c>
      <c r="V185" s="123">
        <f t="shared" si="23"/>
        <v>0</v>
      </c>
      <c r="X185" s="13">
        <v>1000000</v>
      </c>
      <c r="Y185" s="13">
        <v>58000000</v>
      </c>
      <c r="Z185" s="13">
        <v>58000000</v>
      </c>
      <c r="AA185" s="13">
        <f t="shared" si="24"/>
        <v>3.364E+21</v>
      </c>
      <c r="AB185" s="13">
        <f t="shared" si="25"/>
        <v>6.7279999999999996E+22</v>
      </c>
      <c r="AC185" s="13">
        <f t="shared" si="26"/>
        <v>4.6722222222222216E+16</v>
      </c>
      <c r="AD185" s="110">
        <f t="shared" si="27"/>
        <v>44472</v>
      </c>
      <c r="AE185" s="13" t="e">
        <f>IF(AND(AD185&lt;=$AI$4,#REF!&lt;1),1,"")</f>
        <v>#REF!</v>
      </c>
      <c r="AF185" s="110">
        <f t="shared" ca="1" si="28"/>
        <v>44553</v>
      </c>
      <c r="AH185" s="13">
        <f t="shared" ca="1" si="29"/>
        <v>85</v>
      </c>
    </row>
    <row r="186" spans="1:34" x14ac:dyDescent="0.25">
      <c r="A186" s="13" t="s">
        <v>7</v>
      </c>
      <c r="B186" s="13" t="s">
        <v>7</v>
      </c>
      <c r="C186" s="13" t="s">
        <v>274</v>
      </c>
      <c r="D186" s="13" t="s">
        <v>736</v>
      </c>
      <c r="E186" s="13" t="s">
        <v>725</v>
      </c>
      <c r="F186" s="13">
        <v>17</v>
      </c>
      <c r="G186" s="2" t="s">
        <v>269</v>
      </c>
      <c r="H186" s="13" t="s">
        <v>1</v>
      </c>
      <c r="I186" s="13" t="s">
        <v>140</v>
      </c>
      <c r="J186" s="13" t="s">
        <v>139</v>
      </c>
      <c r="K186" s="109">
        <v>44468</v>
      </c>
      <c r="P186" s="110">
        <v>44476</v>
      </c>
      <c r="Q186" s="13" t="str">
        <f t="shared" si="20"/>
        <v>CARTCRD024128CADENASNUTRESA</v>
      </c>
      <c r="R186" s="2">
        <v>17</v>
      </c>
      <c r="S186" s="13">
        <v>17</v>
      </c>
      <c r="T186" s="123">
        <f t="shared" si="21"/>
        <v>1</v>
      </c>
      <c r="U186" s="13">
        <f t="shared" si="22"/>
        <v>0</v>
      </c>
      <c r="V186" s="123">
        <f t="shared" si="23"/>
        <v>0</v>
      </c>
      <c r="X186" s="13">
        <v>1000000</v>
      </c>
      <c r="Y186" s="13">
        <v>58000000</v>
      </c>
      <c r="Z186" s="13">
        <v>58000000</v>
      </c>
      <c r="AA186" s="13">
        <f t="shared" si="24"/>
        <v>3.364E+21</v>
      </c>
      <c r="AB186" s="13">
        <f t="shared" si="25"/>
        <v>5.7187999999999999E+22</v>
      </c>
      <c r="AC186" s="13">
        <f t="shared" si="26"/>
        <v>3.9713888888888888E+16</v>
      </c>
      <c r="AD186" s="110">
        <f t="shared" si="27"/>
        <v>44472</v>
      </c>
      <c r="AE186" s="13" t="e">
        <f>IF(AND(AD186&lt;=$AI$4,#REF!&lt;1),1,"")</f>
        <v>#REF!</v>
      </c>
      <c r="AF186" s="110">
        <f t="shared" ca="1" si="28"/>
        <v>44553</v>
      </c>
      <c r="AH186" s="13">
        <f t="shared" ca="1" si="29"/>
        <v>85</v>
      </c>
    </row>
    <row r="187" spans="1:34" x14ac:dyDescent="0.25">
      <c r="A187" s="13" t="s">
        <v>9</v>
      </c>
      <c r="B187" s="13" t="s">
        <v>9</v>
      </c>
      <c r="C187" s="13" t="s">
        <v>274</v>
      </c>
      <c r="D187" s="13" t="s">
        <v>736</v>
      </c>
      <c r="E187" s="13" t="s">
        <v>725</v>
      </c>
      <c r="F187" s="13">
        <v>61</v>
      </c>
      <c r="G187" s="2" t="s">
        <v>269</v>
      </c>
      <c r="H187" s="13" t="s">
        <v>1</v>
      </c>
      <c r="I187" s="13" t="s">
        <v>140</v>
      </c>
      <c r="J187" s="13" t="s">
        <v>139</v>
      </c>
      <c r="K187" s="109">
        <v>44468</v>
      </c>
      <c r="P187" s="110">
        <v>44469</v>
      </c>
      <c r="Q187" s="13" t="str">
        <f t="shared" si="20"/>
        <v>MEDECRD024128CADENASNUTRESA</v>
      </c>
      <c r="R187" s="2">
        <v>61</v>
      </c>
      <c r="S187" s="13">
        <v>61</v>
      </c>
      <c r="T187" s="123">
        <f t="shared" si="21"/>
        <v>1</v>
      </c>
      <c r="U187" s="13">
        <f t="shared" si="22"/>
        <v>0</v>
      </c>
      <c r="V187" s="123">
        <f t="shared" si="23"/>
        <v>0</v>
      </c>
      <c r="X187" s="13">
        <v>1000000</v>
      </c>
      <c r="Y187" s="13">
        <v>58000000</v>
      </c>
      <c r="Z187" s="13">
        <v>58000000</v>
      </c>
      <c r="AA187" s="13">
        <f t="shared" si="24"/>
        <v>3.364E+21</v>
      </c>
      <c r="AB187" s="13">
        <f t="shared" si="25"/>
        <v>2.05204E+23</v>
      </c>
      <c r="AC187" s="13">
        <f t="shared" si="26"/>
        <v>1.4250277777777778E+17</v>
      </c>
      <c r="AD187" s="110">
        <f t="shared" si="27"/>
        <v>44472</v>
      </c>
      <c r="AE187" s="13" t="e">
        <f>IF(AND(AD187&lt;=$AI$4,#REF!&lt;1),1,"")</f>
        <v>#REF!</v>
      </c>
      <c r="AF187" s="110">
        <f t="shared" ca="1" si="28"/>
        <v>44553</v>
      </c>
      <c r="AH187" s="13">
        <f t="shared" ca="1" si="29"/>
        <v>85</v>
      </c>
    </row>
    <row r="188" spans="1:34" x14ac:dyDescent="0.25">
      <c r="A188" s="13" t="s">
        <v>10</v>
      </c>
      <c r="B188" s="13" t="s">
        <v>10</v>
      </c>
      <c r="C188" s="13" t="s">
        <v>274</v>
      </c>
      <c r="D188" s="13" t="s">
        <v>736</v>
      </c>
      <c r="E188" s="13" t="s">
        <v>725</v>
      </c>
      <c r="F188" s="13">
        <v>16</v>
      </c>
      <c r="G188" s="2" t="s">
        <v>269</v>
      </c>
      <c r="H188" s="13" t="s">
        <v>1</v>
      </c>
      <c r="I188" s="13" t="s">
        <v>140</v>
      </c>
      <c r="J188" s="13" t="s">
        <v>139</v>
      </c>
      <c r="K188" s="109">
        <v>44468</v>
      </c>
      <c r="P188" s="110">
        <v>44476</v>
      </c>
      <c r="Q188" s="13" t="str">
        <f t="shared" si="20"/>
        <v>PERECRD024128CADENASNUTRESA</v>
      </c>
      <c r="R188" s="2">
        <v>16</v>
      </c>
      <c r="S188" s="13">
        <v>16</v>
      </c>
      <c r="T188" s="123">
        <f t="shared" si="21"/>
        <v>1</v>
      </c>
      <c r="U188" s="13">
        <f t="shared" si="22"/>
        <v>0</v>
      </c>
      <c r="V188" s="123">
        <f t="shared" si="23"/>
        <v>0</v>
      </c>
      <c r="X188" s="13">
        <v>1000000</v>
      </c>
      <c r="Y188" s="13">
        <v>58000000</v>
      </c>
      <c r="Z188" s="13">
        <v>58000000</v>
      </c>
      <c r="AA188" s="13">
        <f t="shared" si="24"/>
        <v>3.364E+21</v>
      </c>
      <c r="AB188" s="13">
        <f t="shared" si="25"/>
        <v>5.3824E+22</v>
      </c>
      <c r="AC188" s="13">
        <f t="shared" si="26"/>
        <v>3.7377777777777776E+16</v>
      </c>
      <c r="AD188" s="110">
        <f t="shared" si="27"/>
        <v>44472</v>
      </c>
      <c r="AE188" s="13" t="e">
        <f>IF(AND(AD188&lt;=$AI$4,#REF!&lt;1),1,"")</f>
        <v>#REF!</v>
      </c>
      <c r="AF188" s="110">
        <f t="shared" ca="1" si="28"/>
        <v>44553</v>
      </c>
      <c r="AH188" s="13">
        <f t="shared" ca="1" si="29"/>
        <v>85</v>
      </c>
    </row>
    <row r="189" spans="1:34" x14ac:dyDescent="0.25">
      <c r="A189" s="13" t="s">
        <v>3</v>
      </c>
      <c r="B189" s="13" t="s">
        <v>3</v>
      </c>
      <c r="C189" s="13" t="s">
        <v>275</v>
      </c>
      <c r="D189" s="13" t="s">
        <v>737</v>
      </c>
      <c r="E189" s="13" t="s">
        <v>725</v>
      </c>
      <c r="F189" s="13">
        <v>1</v>
      </c>
      <c r="G189" s="2" t="s">
        <v>269</v>
      </c>
      <c r="H189" s="13" t="s">
        <v>1</v>
      </c>
      <c r="I189" s="13" t="s">
        <v>140</v>
      </c>
      <c r="J189" s="13" t="s">
        <v>139</v>
      </c>
      <c r="K189" s="109">
        <v>44468</v>
      </c>
      <c r="P189" s="110">
        <v>44476</v>
      </c>
      <c r="Q189" s="13" t="str">
        <f t="shared" si="20"/>
        <v>BARRCRD024129CADENASNUTRESA</v>
      </c>
      <c r="R189" s="2">
        <v>1</v>
      </c>
      <c r="S189" s="13">
        <v>1</v>
      </c>
      <c r="T189" s="123">
        <f t="shared" si="21"/>
        <v>1</v>
      </c>
      <c r="U189" s="13">
        <f t="shared" si="22"/>
        <v>0</v>
      </c>
      <c r="V189" s="123">
        <f t="shared" si="23"/>
        <v>0</v>
      </c>
      <c r="X189" s="13">
        <v>14000000</v>
      </c>
      <c r="Y189" s="13">
        <v>77000000</v>
      </c>
      <c r="Z189" s="13">
        <v>77000000</v>
      </c>
      <c r="AA189" s="13">
        <f t="shared" si="24"/>
        <v>8.3005999999999996E+22</v>
      </c>
      <c r="AB189" s="13">
        <f t="shared" si="25"/>
        <v>8.3005999999999996E+22</v>
      </c>
      <c r="AC189" s="13">
        <f t="shared" si="26"/>
        <v>5.7643055555555552E+16</v>
      </c>
      <c r="AD189" s="110">
        <f t="shared" si="27"/>
        <v>44472</v>
      </c>
      <c r="AE189" s="13" t="e">
        <f>IF(AND(AD189&lt;=$AI$4,#REF!&lt;1),1,"")</f>
        <v>#REF!</v>
      </c>
      <c r="AF189" s="110">
        <f t="shared" ca="1" si="28"/>
        <v>44553</v>
      </c>
      <c r="AH189" s="13">
        <f t="shared" ca="1" si="29"/>
        <v>85</v>
      </c>
    </row>
    <row r="190" spans="1:34" x14ac:dyDescent="0.25">
      <c r="A190" s="13" t="s">
        <v>4</v>
      </c>
      <c r="B190" s="13" t="s">
        <v>4</v>
      </c>
      <c r="C190" s="13" t="s">
        <v>275</v>
      </c>
      <c r="D190" s="13" t="s">
        <v>737</v>
      </c>
      <c r="E190" s="13" t="s">
        <v>725</v>
      </c>
      <c r="F190" s="13">
        <v>3</v>
      </c>
      <c r="G190" s="2" t="s">
        <v>269</v>
      </c>
      <c r="H190" s="13" t="s">
        <v>1</v>
      </c>
      <c r="I190" s="13" t="s">
        <v>140</v>
      </c>
      <c r="J190" s="13" t="s">
        <v>139</v>
      </c>
      <c r="K190" s="109">
        <v>44468</v>
      </c>
      <c r="P190" s="110">
        <v>44476</v>
      </c>
      <c r="Q190" s="13" t="str">
        <f t="shared" si="20"/>
        <v>BGTACRD024129CADENASNUTRESA</v>
      </c>
      <c r="R190" s="2">
        <v>3</v>
      </c>
      <c r="S190" s="13">
        <v>3</v>
      </c>
      <c r="T190" s="123">
        <f t="shared" si="21"/>
        <v>1</v>
      </c>
      <c r="U190" s="13">
        <f t="shared" si="22"/>
        <v>0</v>
      </c>
      <c r="V190" s="123">
        <f t="shared" si="23"/>
        <v>0</v>
      </c>
      <c r="X190" s="13">
        <v>14000000</v>
      </c>
      <c r="Y190" s="13">
        <v>77000000</v>
      </c>
      <c r="Z190" s="13">
        <v>77000000</v>
      </c>
      <c r="AA190" s="13">
        <f t="shared" si="24"/>
        <v>8.3005999999999996E+22</v>
      </c>
      <c r="AB190" s="13">
        <f t="shared" si="25"/>
        <v>2.4901799999999999E+23</v>
      </c>
      <c r="AC190" s="13">
        <f t="shared" si="26"/>
        <v>1.7292916666666666E+17</v>
      </c>
      <c r="AD190" s="110">
        <f t="shared" si="27"/>
        <v>44472</v>
      </c>
      <c r="AE190" s="13" t="e">
        <f>IF(AND(AD190&lt;=$AI$4,#REF!&lt;1),1,"")</f>
        <v>#REF!</v>
      </c>
      <c r="AF190" s="110">
        <f t="shared" ca="1" si="28"/>
        <v>44553</v>
      </c>
      <c r="AH190" s="13">
        <f t="shared" ca="1" si="29"/>
        <v>85</v>
      </c>
    </row>
    <row r="191" spans="1:34" x14ac:dyDescent="0.25">
      <c r="A191" s="13" t="s">
        <v>6</v>
      </c>
      <c r="B191" s="13" t="s">
        <v>6</v>
      </c>
      <c r="C191" s="13" t="s">
        <v>275</v>
      </c>
      <c r="D191" s="13" t="s">
        <v>737</v>
      </c>
      <c r="E191" s="13" t="s">
        <v>725</v>
      </c>
      <c r="F191" s="13">
        <v>2</v>
      </c>
      <c r="G191" s="2" t="s">
        <v>269</v>
      </c>
      <c r="H191" s="13" t="s">
        <v>1</v>
      </c>
      <c r="I191" s="13" t="s">
        <v>140</v>
      </c>
      <c r="J191" s="13" t="s">
        <v>139</v>
      </c>
      <c r="K191" s="109">
        <v>44468</v>
      </c>
      <c r="P191" s="110">
        <v>44476</v>
      </c>
      <c r="Q191" s="13" t="str">
        <f t="shared" si="20"/>
        <v>CALICRD024129CADENASNUTRESA</v>
      </c>
      <c r="R191" s="2">
        <v>2</v>
      </c>
      <c r="S191" s="13">
        <v>2</v>
      </c>
      <c r="T191" s="123">
        <f t="shared" si="21"/>
        <v>1</v>
      </c>
      <c r="U191" s="13">
        <f t="shared" si="22"/>
        <v>0</v>
      </c>
      <c r="V191" s="123">
        <f t="shared" si="23"/>
        <v>0</v>
      </c>
      <c r="X191" s="13">
        <v>14000000</v>
      </c>
      <c r="Y191" s="13">
        <v>77000000</v>
      </c>
      <c r="Z191" s="13">
        <v>77000000</v>
      </c>
      <c r="AA191" s="13">
        <f t="shared" si="24"/>
        <v>8.3005999999999996E+22</v>
      </c>
      <c r="AB191" s="13">
        <f t="shared" si="25"/>
        <v>1.6601199999999999E+23</v>
      </c>
      <c r="AC191" s="13">
        <f t="shared" si="26"/>
        <v>1.152861111111111E+17</v>
      </c>
      <c r="AD191" s="110">
        <f t="shared" si="27"/>
        <v>44472</v>
      </c>
      <c r="AE191" s="13" t="e">
        <f>IF(AND(AD191&lt;=$AI$4,#REF!&lt;1),1,"")</f>
        <v>#REF!</v>
      </c>
      <c r="AF191" s="110">
        <f t="shared" ca="1" si="28"/>
        <v>44553</v>
      </c>
      <c r="AH191" s="13">
        <f t="shared" ca="1" si="29"/>
        <v>85</v>
      </c>
    </row>
    <row r="192" spans="1:34" x14ac:dyDescent="0.25">
      <c r="A192" s="13" t="s">
        <v>7</v>
      </c>
      <c r="B192" s="13" t="s">
        <v>7</v>
      </c>
      <c r="C192" s="13" t="s">
        <v>275</v>
      </c>
      <c r="D192" s="13" t="s">
        <v>737</v>
      </c>
      <c r="E192" s="13" t="s">
        <v>725</v>
      </c>
      <c r="F192" s="13">
        <v>1</v>
      </c>
      <c r="G192" s="2" t="s">
        <v>269</v>
      </c>
      <c r="H192" s="13" t="s">
        <v>1</v>
      </c>
      <c r="I192" s="13" t="s">
        <v>140</v>
      </c>
      <c r="J192" s="13" t="s">
        <v>139</v>
      </c>
      <c r="K192" s="109">
        <v>44468</v>
      </c>
      <c r="P192" s="110">
        <v>44476</v>
      </c>
      <c r="Q192" s="13" t="str">
        <f t="shared" si="20"/>
        <v>CARTCRD024129CADENASNUTRESA</v>
      </c>
      <c r="R192" s="2">
        <v>1</v>
      </c>
      <c r="S192" s="13">
        <v>1</v>
      </c>
      <c r="T192" s="123">
        <f t="shared" si="21"/>
        <v>1</v>
      </c>
      <c r="U192" s="13">
        <f t="shared" si="22"/>
        <v>0</v>
      </c>
      <c r="V192" s="123">
        <f t="shared" si="23"/>
        <v>0</v>
      </c>
      <c r="X192" s="13">
        <v>14000000</v>
      </c>
      <c r="Y192" s="13">
        <v>77000000</v>
      </c>
      <c r="Z192" s="13">
        <v>77000000</v>
      </c>
      <c r="AA192" s="13">
        <f t="shared" si="24"/>
        <v>8.3005999999999996E+22</v>
      </c>
      <c r="AB192" s="13">
        <f t="shared" si="25"/>
        <v>8.3005999999999996E+22</v>
      </c>
      <c r="AC192" s="13">
        <f t="shared" si="26"/>
        <v>5.7643055555555552E+16</v>
      </c>
      <c r="AD192" s="110">
        <f t="shared" si="27"/>
        <v>44472</v>
      </c>
      <c r="AE192" s="13" t="e">
        <f>IF(AND(AD192&lt;=$AI$4,#REF!&lt;1),1,"")</f>
        <v>#REF!</v>
      </c>
      <c r="AF192" s="110">
        <f t="shared" ca="1" si="28"/>
        <v>44553</v>
      </c>
      <c r="AH192" s="13">
        <f t="shared" ca="1" si="29"/>
        <v>85</v>
      </c>
    </row>
    <row r="193" spans="1:34" x14ac:dyDescent="0.25">
      <c r="A193" s="13" t="s">
        <v>8</v>
      </c>
      <c r="B193" s="13" t="s">
        <v>8</v>
      </c>
      <c r="C193" s="13" t="s">
        <v>275</v>
      </c>
      <c r="D193" s="13" t="s">
        <v>737</v>
      </c>
      <c r="E193" s="13" t="s">
        <v>725</v>
      </c>
      <c r="F193" s="13">
        <v>11</v>
      </c>
      <c r="G193" s="2" t="s">
        <v>269</v>
      </c>
      <c r="H193" s="13" t="s">
        <v>1</v>
      </c>
      <c r="I193" s="13" t="s">
        <v>140</v>
      </c>
      <c r="J193" s="13" t="s">
        <v>139</v>
      </c>
      <c r="K193" s="109">
        <v>44468</v>
      </c>
      <c r="P193" s="110">
        <v>44476</v>
      </c>
      <c r="Q193" s="13" t="str">
        <f t="shared" si="20"/>
        <v>IBA1CRD024129CADENASNUTRESA</v>
      </c>
      <c r="R193" s="2">
        <v>11</v>
      </c>
      <c r="S193" s="13">
        <v>10</v>
      </c>
      <c r="T193" s="123">
        <f t="shared" si="21"/>
        <v>1</v>
      </c>
      <c r="U193" s="13">
        <f t="shared" si="22"/>
        <v>1</v>
      </c>
      <c r="V193" s="123">
        <f t="shared" si="23"/>
        <v>9.0909090909090912E-2</v>
      </c>
      <c r="X193" s="13">
        <v>14000000</v>
      </c>
      <c r="Y193" s="13">
        <v>77000000</v>
      </c>
      <c r="Z193" s="13">
        <v>77000000</v>
      </c>
      <c r="AA193" s="13">
        <f t="shared" si="24"/>
        <v>8.3005999999999996E+22</v>
      </c>
      <c r="AB193" s="13">
        <f t="shared" si="25"/>
        <v>9.1306599999999999E+23</v>
      </c>
      <c r="AC193" s="13">
        <f t="shared" si="26"/>
        <v>6.3407361111111117E+17</v>
      </c>
      <c r="AD193" s="110">
        <f t="shared" si="27"/>
        <v>44472</v>
      </c>
      <c r="AE193" s="13" t="e">
        <f>IF(AND(AD193&lt;=$AI$4,#REF!&lt;1),1,"")</f>
        <v>#REF!</v>
      </c>
      <c r="AF193" s="110">
        <f t="shared" ca="1" si="28"/>
        <v>44553</v>
      </c>
      <c r="AH193" s="13">
        <f t="shared" ca="1" si="29"/>
        <v>85</v>
      </c>
    </row>
    <row r="194" spans="1:34" x14ac:dyDescent="0.25">
      <c r="A194" s="13" t="s">
        <v>10</v>
      </c>
      <c r="B194" s="13" t="s">
        <v>10</v>
      </c>
      <c r="C194" s="13" t="s">
        <v>275</v>
      </c>
      <c r="D194" s="13" t="s">
        <v>737</v>
      </c>
      <c r="E194" s="13" t="s">
        <v>725</v>
      </c>
      <c r="F194" s="13">
        <v>3</v>
      </c>
      <c r="G194" s="2" t="s">
        <v>269</v>
      </c>
      <c r="H194" s="13" t="s">
        <v>1</v>
      </c>
      <c r="I194" s="13" t="s">
        <v>140</v>
      </c>
      <c r="J194" s="13" t="s">
        <v>139</v>
      </c>
      <c r="K194" s="109">
        <v>44468</v>
      </c>
      <c r="P194" s="110">
        <v>44476</v>
      </c>
      <c r="Q194" s="13" t="str">
        <f t="shared" si="20"/>
        <v>PERECRD024129CADENASNUTRESA</v>
      </c>
      <c r="R194" s="2">
        <v>3</v>
      </c>
      <c r="S194" s="13">
        <v>3</v>
      </c>
      <c r="T194" s="123">
        <f t="shared" si="21"/>
        <v>1</v>
      </c>
      <c r="U194" s="13">
        <f t="shared" si="22"/>
        <v>0</v>
      </c>
      <c r="V194" s="123">
        <f t="shared" si="23"/>
        <v>0</v>
      </c>
      <c r="X194" s="13">
        <v>14000000</v>
      </c>
      <c r="Y194" s="13">
        <v>77000000</v>
      </c>
      <c r="Z194" s="13">
        <v>77000000</v>
      </c>
      <c r="AA194" s="13">
        <f t="shared" si="24"/>
        <v>8.3005999999999996E+22</v>
      </c>
      <c r="AB194" s="13">
        <f t="shared" si="25"/>
        <v>2.4901799999999999E+23</v>
      </c>
      <c r="AC194" s="13">
        <f t="shared" si="26"/>
        <v>1.7292916666666666E+17</v>
      </c>
      <c r="AD194" s="110">
        <f t="shared" si="27"/>
        <v>44472</v>
      </c>
      <c r="AE194" s="13" t="e">
        <f>IF(AND(AD194&lt;=$AI$4,#REF!&lt;1),1,"")</f>
        <v>#REF!</v>
      </c>
      <c r="AF194" s="110">
        <f t="shared" ca="1" si="28"/>
        <v>44553</v>
      </c>
      <c r="AH194" s="13">
        <f t="shared" ca="1" si="29"/>
        <v>85</v>
      </c>
    </row>
    <row r="195" spans="1:34" x14ac:dyDescent="0.25">
      <c r="A195" s="13" t="s">
        <v>4</v>
      </c>
      <c r="B195" s="13" t="s">
        <v>4</v>
      </c>
      <c r="C195" s="13" t="s">
        <v>276</v>
      </c>
      <c r="D195" s="13" t="s">
        <v>738</v>
      </c>
      <c r="E195" s="13" t="s">
        <v>725</v>
      </c>
      <c r="F195" s="13">
        <v>1</v>
      </c>
      <c r="G195" s="2" t="s">
        <v>269</v>
      </c>
      <c r="H195" s="13" t="s">
        <v>1</v>
      </c>
      <c r="I195" s="13" t="s">
        <v>140</v>
      </c>
      <c r="J195" s="13" t="s">
        <v>139</v>
      </c>
      <c r="K195" s="109">
        <v>44468</v>
      </c>
      <c r="P195" s="110">
        <v>44476</v>
      </c>
      <c r="Q195" s="13" t="str">
        <f t="shared" ref="Q195:Q258" si="30">+CONCATENATE(B195,C195,H195,I195)</f>
        <v>BGTACRD024130CADENASNUTRESA</v>
      </c>
      <c r="R195" s="2">
        <v>1</v>
      </c>
      <c r="S195" s="13">
        <v>1</v>
      </c>
      <c r="T195" s="123">
        <f t="shared" ref="T195:T258" si="31">IFERROR(R195/F195,0)</f>
        <v>1</v>
      </c>
      <c r="U195" s="13">
        <f t="shared" ref="U195:U258" si="32">R195-S195</f>
        <v>0</v>
      </c>
      <c r="V195" s="123">
        <f t="shared" ref="V195:V258" si="33">IFERROR(U195/R195,0)</f>
        <v>0</v>
      </c>
      <c r="X195" s="13">
        <v>86000000</v>
      </c>
      <c r="Y195" s="13">
        <v>38000000</v>
      </c>
      <c r="Z195" s="13">
        <v>38000000</v>
      </c>
      <c r="AA195" s="13">
        <f t="shared" ref="AA195:AA258" si="34">X195*Y195*Z195</f>
        <v>1.2418399999999999E+23</v>
      </c>
      <c r="AB195" s="13">
        <f t="shared" ref="AB195:AB258" si="35">AA195*F195</f>
        <v>1.2418399999999999E+23</v>
      </c>
      <c r="AC195" s="13">
        <f t="shared" ref="AC195:AC258" si="36">AB195/1440000</f>
        <v>8.623888888888888E+16</v>
      </c>
      <c r="AD195" s="110">
        <f t="shared" ref="AD195:AD258" si="37">K195+4</f>
        <v>44472</v>
      </c>
      <c r="AE195" s="13" t="e">
        <f>IF(AND(AD195&lt;=$AI$4,#REF!&lt;1),1,"")</f>
        <v>#REF!</v>
      </c>
      <c r="AF195" s="110">
        <f t="shared" ref="AF195:AF258" ca="1" si="38">TODAY()</f>
        <v>44553</v>
      </c>
      <c r="AH195" s="13">
        <f t="shared" ref="AH195:AH258" ca="1" si="39">AF195-K195</f>
        <v>85</v>
      </c>
    </row>
    <row r="196" spans="1:34" x14ac:dyDescent="0.25">
      <c r="A196" s="13" t="s">
        <v>6</v>
      </c>
      <c r="B196" s="13" t="s">
        <v>6</v>
      </c>
      <c r="C196" s="13" t="s">
        <v>276</v>
      </c>
      <c r="D196" s="13" t="s">
        <v>738</v>
      </c>
      <c r="E196" s="13" t="s">
        <v>725</v>
      </c>
      <c r="F196" s="13">
        <v>2</v>
      </c>
      <c r="G196" s="2" t="s">
        <v>269</v>
      </c>
      <c r="H196" s="13" t="s">
        <v>1</v>
      </c>
      <c r="I196" s="13" t="s">
        <v>140</v>
      </c>
      <c r="J196" s="13" t="s">
        <v>139</v>
      </c>
      <c r="K196" s="109">
        <v>44468</v>
      </c>
      <c r="P196" s="110">
        <v>44476</v>
      </c>
      <c r="Q196" s="13" t="str">
        <f t="shared" si="30"/>
        <v>CALICRD024130CADENASNUTRESA</v>
      </c>
      <c r="R196" s="2">
        <v>2</v>
      </c>
      <c r="S196" s="13">
        <v>2</v>
      </c>
      <c r="T196" s="123">
        <f t="shared" si="31"/>
        <v>1</v>
      </c>
      <c r="U196" s="13">
        <f t="shared" si="32"/>
        <v>0</v>
      </c>
      <c r="V196" s="123">
        <f t="shared" si="33"/>
        <v>0</v>
      </c>
      <c r="X196" s="13">
        <v>86000000</v>
      </c>
      <c r="Y196" s="13">
        <v>38000000</v>
      </c>
      <c r="Z196" s="13">
        <v>38000000</v>
      </c>
      <c r="AA196" s="13">
        <f t="shared" si="34"/>
        <v>1.2418399999999999E+23</v>
      </c>
      <c r="AB196" s="13">
        <f t="shared" si="35"/>
        <v>2.4836799999999999E+23</v>
      </c>
      <c r="AC196" s="13">
        <f t="shared" si="36"/>
        <v>1.7247777777777776E+17</v>
      </c>
      <c r="AD196" s="110">
        <f t="shared" si="37"/>
        <v>44472</v>
      </c>
      <c r="AE196" s="13" t="e">
        <f>IF(AND(AD196&lt;=$AI$4,#REF!&lt;1),1,"")</f>
        <v>#REF!</v>
      </c>
      <c r="AF196" s="110">
        <f t="shared" ca="1" si="38"/>
        <v>44553</v>
      </c>
      <c r="AH196" s="13">
        <f t="shared" ca="1" si="39"/>
        <v>85</v>
      </c>
    </row>
    <row r="197" spans="1:34" x14ac:dyDescent="0.25">
      <c r="A197" s="13" t="s">
        <v>10</v>
      </c>
      <c r="B197" s="13" t="s">
        <v>10</v>
      </c>
      <c r="C197" s="13" t="s">
        <v>276</v>
      </c>
      <c r="D197" s="13" t="s">
        <v>738</v>
      </c>
      <c r="E197" s="13" t="s">
        <v>725</v>
      </c>
      <c r="F197" s="13">
        <v>1</v>
      </c>
      <c r="G197" s="2" t="s">
        <v>269</v>
      </c>
      <c r="H197" s="13" t="s">
        <v>1</v>
      </c>
      <c r="I197" s="13" t="s">
        <v>140</v>
      </c>
      <c r="J197" s="13" t="s">
        <v>139</v>
      </c>
      <c r="K197" s="109">
        <v>44468</v>
      </c>
      <c r="P197" s="110">
        <v>44476</v>
      </c>
      <c r="Q197" s="13" t="str">
        <f t="shared" si="30"/>
        <v>PERECRD024130CADENASNUTRESA</v>
      </c>
      <c r="R197" s="2">
        <v>1</v>
      </c>
      <c r="S197" s="13">
        <v>1</v>
      </c>
      <c r="T197" s="123">
        <f t="shared" si="31"/>
        <v>1</v>
      </c>
      <c r="U197" s="13">
        <f t="shared" si="32"/>
        <v>0</v>
      </c>
      <c r="V197" s="123">
        <f t="shared" si="33"/>
        <v>0</v>
      </c>
      <c r="X197" s="13">
        <v>86000000</v>
      </c>
      <c r="Y197" s="13">
        <v>38000000</v>
      </c>
      <c r="Z197" s="13">
        <v>38000000</v>
      </c>
      <c r="AA197" s="13">
        <f t="shared" si="34"/>
        <v>1.2418399999999999E+23</v>
      </c>
      <c r="AB197" s="13">
        <f t="shared" si="35"/>
        <v>1.2418399999999999E+23</v>
      </c>
      <c r="AC197" s="13">
        <f t="shared" si="36"/>
        <v>8.623888888888888E+16</v>
      </c>
      <c r="AD197" s="110">
        <f t="shared" si="37"/>
        <v>44472</v>
      </c>
      <c r="AE197" s="13" t="e">
        <f>IF(AND(AD197&lt;=$AI$4,#REF!&lt;1),1,"")</f>
        <v>#REF!</v>
      </c>
      <c r="AF197" s="110">
        <f t="shared" ca="1" si="38"/>
        <v>44553</v>
      </c>
      <c r="AH197" s="13">
        <f t="shared" ca="1" si="39"/>
        <v>85</v>
      </c>
    </row>
    <row r="198" spans="1:34" x14ac:dyDescent="0.25">
      <c r="A198" s="13" t="s">
        <v>3</v>
      </c>
      <c r="B198" s="13" t="s">
        <v>3</v>
      </c>
      <c r="C198" s="13" t="s">
        <v>277</v>
      </c>
      <c r="D198" s="13" t="s">
        <v>278</v>
      </c>
      <c r="E198" s="13" t="s">
        <v>731</v>
      </c>
      <c r="F198" s="13">
        <v>21</v>
      </c>
      <c r="G198" s="2" t="s">
        <v>269</v>
      </c>
      <c r="H198" s="13" t="s">
        <v>1</v>
      </c>
      <c r="I198" s="13" t="s">
        <v>140</v>
      </c>
      <c r="J198" s="13" t="s">
        <v>139</v>
      </c>
      <c r="K198" s="109">
        <v>44468</v>
      </c>
      <c r="P198" s="110">
        <v>44476</v>
      </c>
      <c r="Q198" s="13" t="str">
        <f t="shared" si="30"/>
        <v>BARRCRD024131CADENASNUTRESA</v>
      </c>
      <c r="R198" s="2">
        <v>21</v>
      </c>
      <c r="S198" s="13">
        <v>21</v>
      </c>
      <c r="T198" s="123">
        <f t="shared" si="31"/>
        <v>1</v>
      </c>
      <c r="U198" s="13">
        <f t="shared" si="32"/>
        <v>0</v>
      </c>
      <c r="V198" s="123">
        <f t="shared" si="33"/>
        <v>0</v>
      </c>
      <c r="X198" s="13">
        <v>5000000</v>
      </c>
      <c r="Y198" s="13">
        <v>5000000</v>
      </c>
      <c r="Z198" s="13">
        <v>5000000</v>
      </c>
      <c r="AA198" s="13">
        <f t="shared" si="34"/>
        <v>1.25E+20</v>
      </c>
      <c r="AB198" s="13">
        <f t="shared" si="35"/>
        <v>2.6249999999999997E+21</v>
      </c>
      <c r="AC198" s="13">
        <f t="shared" si="36"/>
        <v>1822916666666666.5</v>
      </c>
      <c r="AD198" s="110">
        <f t="shared" si="37"/>
        <v>44472</v>
      </c>
      <c r="AE198" s="13" t="e">
        <f>IF(AND(AD198&lt;=$AI$4,#REF!&lt;1),1,"")</f>
        <v>#REF!</v>
      </c>
      <c r="AF198" s="110">
        <f t="shared" ca="1" si="38"/>
        <v>44553</v>
      </c>
      <c r="AH198" s="13">
        <f t="shared" ca="1" si="39"/>
        <v>85</v>
      </c>
    </row>
    <row r="199" spans="1:34" x14ac:dyDescent="0.25">
      <c r="A199" s="13" t="s">
        <v>4</v>
      </c>
      <c r="B199" s="13" t="s">
        <v>4</v>
      </c>
      <c r="C199" s="13" t="s">
        <v>277</v>
      </c>
      <c r="D199" s="13" t="s">
        <v>278</v>
      </c>
      <c r="E199" s="13" t="s">
        <v>731</v>
      </c>
      <c r="F199" s="13">
        <v>76</v>
      </c>
      <c r="G199" s="2" t="s">
        <v>269</v>
      </c>
      <c r="H199" s="13" t="s">
        <v>1</v>
      </c>
      <c r="I199" s="13" t="s">
        <v>140</v>
      </c>
      <c r="J199" s="13" t="s">
        <v>139</v>
      </c>
      <c r="K199" s="109">
        <v>44468</v>
      </c>
      <c r="P199" s="110">
        <v>44476</v>
      </c>
      <c r="Q199" s="13" t="str">
        <f t="shared" si="30"/>
        <v>BGTACRD024131CADENASNUTRESA</v>
      </c>
      <c r="R199" s="2">
        <v>76</v>
      </c>
      <c r="S199" s="13">
        <v>76</v>
      </c>
      <c r="T199" s="123">
        <f t="shared" si="31"/>
        <v>1</v>
      </c>
      <c r="U199" s="13">
        <f t="shared" si="32"/>
        <v>0</v>
      </c>
      <c r="V199" s="123">
        <f t="shared" si="33"/>
        <v>0</v>
      </c>
      <c r="X199" s="13">
        <v>5000000</v>
      </c>
      <c r="Y199" s="13">
        <v>5000000</v>
      </c>
      <c r="Z199" s="13">
        <v>5000000</v>
      </c>
      <c r="AA199" s="13">
        <f t="shared" si="34"/>
        <v>1.25E+20</v>
      </c>
      <c r="AB199" s="13">
        <f t="shared" si="35"/>
        <v>9.500000000000001E+21</v>
      </c>
      <c r="AC199" s="13">
        <f t="shared" si="36"/>
        <v>6597222222222223</v>
      </c>
      <c r="AD199" s="110">
        <f t="shared" si="37"/>
        <v>44472</v>
      </c>
      <c r="AE199" s="13" t="e">
        <f>IF(AND(AD199&lt;=$AI$4,#REF!&lt;1),1,"")</f>
        <v>#REF!</v>
      </c>
      <c r="AF199" s="110">
        <f t="shared" ca="1" si="38"/>
        <v>44553</v>
      </c>
      <c r="AH199" s="13">
        <f t="shared" ca="1" si="39"/>
        <v>85</v>
      </c>
    </row>
    <row r="200" spans="1:34" x14ac:dyDescent="0.25">
      <c r="A200" s="13" t="s">
        <v>5</v>
      </c>
      <c r="B200" s="13" t="s">
        <v>5</v>
      </c>
      <c r="C200" s="13" t="s">
        <v>277</v>
      </c>
      <c r="D200" s="13" t="s">
        <v>278</v>
      </c>
      <c r="E200" s="13" t="s">
        <v>731</v>
      </c>
      <c r="F200" s="13">
        <v>11</v>
      </c>
      <c r="G200" s="2" t="s">
        <v>269</v>
      </c>
      <c r="H200" s="13" t="s">
        <v>1</v>
      </c>
      <c r="I200" s="13" t="s">
        <v>140</v>
      </c>
      <c r="J200" s="13" t="s">
        <v>139</v>
      </c>
      <c r="K200" s="109">
        <v>44468</v>
      </c>
      <c r="P200" s="110">
        <v>44476</v>
      </c>
      <c r="Q200" s="13" t="str">
        <f t="shared" si="30"/>
        <v>BUCACRD024131CADENASNUTRESA</v>
      </c>
      <c r="R200" s="2">
        <v>11</v>
      </c>
      <c r="S200" s="13">
        <v>11</v>
      </c>
      <c r="T200" s="123">
        <f t="shared" si="31"/>
        <v>1</v>
      </c>
      <c r="U200" s="13">
        <f t="shared" si="32"/>
        <v>0</v>
      </c>
      <c r="V200" s="123">
        <f t="shared" si="33"/>
        <v>0</v>
      </c>
      <c r="X200" s="13">
        <v>5000000</v>
      </c>
      <c r="Y200" s="13">
        <v>5000000</v>
      </c>
      <c r="Z200" s="13">
        <v>5000000</v>
      </c>
      <c r="AA200" s="13">
        <f t="shared" si="34"/>
        <v>1.25E+20</v>
      </c>
      <c r="AB200" s="13">
        <f t="shared" si="35"/>
        <v>1.375E+21</v>
      </c>
      <c r="AC200" s="13">
        <f t="shared" si="36"/>
        <v>954861111111111.13</v>
      </c>
      <c r="AD200" s="110">
        <f t="shared" si="37"/>
        <v>44472</v>
      </c>
      <c r="AE200" s="13" t="e">
        <f>IF(AND(AD200&lt;=$AI$4,#REF!&lt;1),1,"")</f>
        <v>#REF!</v>
      </c>
      <c r="AF200" s="110">
        <f t="shared" ca="1" si="38"/>
        <v>44553</v>
      </c>
      <c r="AH200" s="13">
        <f t="shared" ca="1" si="39"/>
        <v>85</v>
      </c>
    </row>
    <row r="201" spans="1:34" x14ac:dyDescent="0.25">
      <c r="A201" s="13" t="s">
        <v>6</v>
      </c>
      <c r="B201" s="13" t="s">
        <v>6</v>
      </c>
      <c r="C201" s="13" t="s">
        <v>277</v>
      </c>
      <c r="D201" s="13" t="s">
        <v>278</v>
      </c>
      <c r="E201" s="13" t="s">
        <v>731</v>
      </c>
      <c r="F201" s="13">
        <v>35</v>
      </c>
      <c r="G201" s="2" t="s">
        <v>269</v>
      </c>
      <c r="H201" s="13" t="s">
        <v>1</v>
      </c>
      <c r="I201" s="13" t="s">
        <v>140</v>
      </c>
      <c r="J201" s="13" t="s">
        <v>139</v>
      </c>
      <c r="K201" s="109">
        <v>44468</v>
      </c>
      <c r="P201" s="110">
        <v>44476</v>
      </c>
      <c r="Q201" s="13" t="str">
        <f t="shared" si="30"/>
        <v>CALICRD024131CADENASNUTRESA</v>
      </c>
      <c r="R201" s="2">
        <v>35</v>
      </c>
      <c r="S201" s="13">
        <v>35</v>
      </c>
      <c r="T201" s="123">
        <f t="shared" si="31"/>
        <v>1</v>
      </c>
      <c r="U201" s="13">
        <f t="shared" si="32"/>
        <v>0</v>
      </c>
      <c r="V201" s="123">
        <f t="shared" si="33"/>
        <v>0</v>
      </c>
      <c r="X201" s="13">
        <v>5000000</v>
      </c>
      <c r="Y201" s="13">
        <v>5000000</v>
      </c>
      <c r="Z201" s="13">
        <v>5000000</v>
      </c>
      <c r="AA201" s="13">
        <f t="shared" si="34"/>
        <v>1.25E+20</v>
      </c>
      <c r="AB201" s="13">
        <f t="shared" si="35"/>
        <v>4.3750000000000003E+21</v>
      </c>
      <c r="AC201" s="13">
        <f t="shared" si="36"/>
        <v>3038194444444444.5</v>
      </c>
      <c r="AD201" s="110">
        <f t="shared" si="37"/>
        <v>44472</v>
      </c>
      <c r="AE201" s="13" t="e">
        <f>IF(AND(AD201&lt;=$AI$4,#REF!&lt;1),1,"")</f>
        <v>#REF!</v>
      </c>
      <c r="AF201" s="110">
        <f t="shared" ca="1" si="38"/>
        <v>44553</v>
      </c>
      <c r="AH201" s="13">
        <f t="shared" ca="1" si="39"/>
        <v>85</v>
      </c>
    </row>
    <row r="202" spans="1:34" x14ac:dyDescent="0.25">
      <c r="A202" s="13" t="s">
        <v>7</v>
      </c>
      <c r="B202" s="13" t="s">
        <v>7</v>
      </c>
      <c r="C202" s="13" t="s">
        <v>277</v>
      </c>
      <c r="D202" s="13" t="s">
        <v>278</v>
      </c>
      <c r="E202" s="13" t="s">
        <v>731</v>
      </c>
      <c r="F202" s="13">
        <v>18</v>
      </c>
      <c r="G202" s="2" t="s">
        <v>269</v>
      </c>
      <c r="H202" s="13" t="s">
        <v>1</v>
      </c>
      <c r="I202" s="13" t="s">
        <v>140</v>
      </c>
      <c r="J202" s="13" t="s">
        <v>139</v>
      </c>
      <c r="K202" s="109">
        <v>44468</v>
      </c>
      <c r="P202" s="110">
        <v>44476</v>
      </c>
      <c r="Q202" s="13" t="str">
        <f t="shared" si="30"/>
        <v>CARTCRD024131CADENASNUTRESA</v>
      </c>
      <c r="R202" s="2">
        <v>18</v>
      </c>
      <c r="S202" s="13">
        <v>18</v>
      </c>
      <c r="T202" s="123">
        <f t="shared" si="31"/>
        <v>1</v>
      </c>
      <c r="U202" s="13">
        <f t="shared" si="32"/>
        <v>0</v>
      </c>
      <c r="V202" s="123">
        <f t="shared" si="33"/>
        <v>0</v>
      </c>
      <c r="X202" s="13">
        <v>5000000</v>
      </c>
      <c r="Y202" s="13">
        <v>5000000</v>
      </c>
      <c r="Z202" s="13">
        <v>5000000</v>
      </c>
      <c r="AA202" s="13">
        <f t="shared" si="34"/>
        <v>1.25E+20</v>
      </c>
      <c r="AB202" s="13">
        <f t="shared" si="35"/>
        <v>2.25E+21</v>
      </c>
      <c r="AC202" s="13">
        <f t="shared" si="36"/>
        <v>1562500000000000</v>
      </c>
      <c r="AD202" s="110">
        <f t="shared" si="37"/>
        <v>44472</v>
      </c>
      <c r="AE202" s="13" t="e">
        <f>IF(AND(AD202&lt;=$AI$4,#REF!&lt;1),1,"")</f>
        <v>#REF!</v>
      </c>
      <c r="AF202" s="110">
        <f t="shared" ca="1" si="38"/>
        <v>44553</v>
      </c>
      <c r="AH202" s="13">
        <f t="shared" ca="1" si="39"/>
        <v>85</v>
      </c>
    </row>
    <row r="203" spans="1:34" x14ac:dyDescent="0.25">
      <c r="A203" s="13" t="s">
        <v>8</v>
      </c>
      <c r="B203" s="13" t="s">
        <v>8</v>
      </c>
      <c r="C203" s="13" t="s">
        <v>277</v>
      </c>
      <c r="D203" s="13" t="s">
        <v>278</v>
      </c>
      <c r="E203" s="13" t="s">
        <v>731</v>
      </c>
      <c r="F203" s="13">
        <v>1</v>
      </c>
      <c r="G203" s="2" t="s">
        <v>269</v>
      </c>
      <c r="H203" s="13" t="s">
        <v>1</v>
      </c>
      <c r="I203" s="13" t="s">
        <v>140</v>
      </c>
      <c r="J203" s="13" t="s">
        <v>139</v>
      </c>
      <c r="K203" s="109">
        <v>44468</v>
      </c>
      <c r="P203" s="110">
        <v>44476</v>
      </c>
      <c r="Q203" s="13" t="str">
        <f t="shared" si="30"/>
        <v>IBA1CRD024131CADENASNUTRESA</v>
      </c>
      <c r="R203" s="2">
        <v>1</v>
      </c>
      <c r="S203" s="13">
        <v>1</v>
      </c>
      <c r="T203" s="123">
        <f t="shared" si="31"/>
        <v>1</v>
      </c>
      <c r="U203" s="13">
        <f t="shared" si="32"/>
        <v>0</v>
      </c>
      <c r="V203" s="123">
        <f t="shared" si="33"/>
        <v>0</v>
      </c>
      <c r="X203" s="13">
        <v>5000000</v>
      </c>
      <c r="Y203" s="13">
        <v>5000000</v>
      </c>
      <c r="Z203" s="13">
        <v>5000000</v>
      </c>
      <c r="AA203" s="13">
        <f t="shared" si="34"/>
        <v>1.25E+20</v>
      </c>
      <c r="AB203" s="13">
        <f t="shared" si="35"/>
        <v>1.25E+20</v>
      </c>
      <c r="AC203" s="13">
        <f t="shared" si="36"/>
        <v>86805555555555.563</v>
      </c>
      <c r="AD203" s="110">
        <f t="shared" si="37"/>
        <v>44472</v>
      </c>
      <c r="AE203" s="13" t="e">
        <f>IF(AND(AD203&lt;=$AI$4,#REF!&lt;1),1,"")</f>
        <v>#REF!</v>
      </c>
      <c r="AF203" s="110">
        <f t="shared" ca="1" si="38"/>
        <v>44553</v>
      </c>
      <c r="AH203" s="13">
        <f t="shared" ca="1" si="39"/>
        <v>85</v>
      </c>
    </row>
    <row r="204" spans="1:34" x14ac:dyDescent="0.25">
      <c r="A204" s="13" t="s">
        <v>9</v>
      </c>
      <c r="B204" s="13" t="s">
        <v>9</v>
      </c>
      <c r="C204" s="13" t="s">
        <v>277</v>
      </c>
      <c r="D204" s="13" t="s">
        <v>278</v>
      </c>
      <c r="E204" s="13" t="s">
        <v>731</v>
      </c>
      <c r="F204" s="13">
        <v>70</v>
      </c>
      <c r="G204" s="2" t="s">
        <v>269</v>
      </c>
      <c r="H204" s="13" t="s">
        <v>1</v>
      </c>
      <c r="I204" s="13" t="s">
        <v>140</v>
      </c>
      <c r="J204" s="13" t="s">
        <v>139</v>
      </c>
      <c r="K204" s="109">
        <v>44468</v>
      </c>
      <c r="P204" s="110">
        <v>44476</v>
      </c>
      <c r="Q204" s="13" t="str">
        <f t="shared" si="30"/>
        <v>MEDECRD024131CADENASNUTRESA</v>
      </c>
      <c r="R204" s="2">
        <v>70</v>
      </c>
      <c r="S204" s="13">
        <v>70</v>
      </c>
      <c r="T204" s="123">
        <f t="shared" si="31"/>
        <v>1</v>
      </c>
      <c r="U204" s="13">
        <f t="shared" si="32"/>
        <v>0</v>
      </c>
      <c r="V204" s="123">
        <f t="shared" si="33"/>
        <v>0</v>
      </c>
      <c r="X204" s="13">
        <v>5000000</v>
      </c>
      <c r="Y204" s="13">
        <v>5000000</v>
      </c>
      <c r="Z204" s="13">
        <v>5000000</v>
      </c>
      <c r="AA204" s="13">
        <f t="shared" si="34"/>
        <v>1.25E+20</v>
      </c>
      <c r="AB204" s="13">
        <f t="shared" si="35"/>
        <v>8.7500000000000005E+21</v>
      </c>
      <c r="AC204" s="13">
        <f t="shared" si="36"/>
        <v>6076388888888889</v>
      </c>
      <c r="AD204" s="110">
        <f t="shared" si="37"/>
        <v>44472</v>
      </c>
      <c r="AE204" s="13" t="e">
        <f>IF(AND(AD204&lt;=$AI$4,#REF!&lt;1),1,"")</f>
        <v>#REF!</v>
      </c>
      <c r="AF204" s="110">
        <f t="shared" ca="1" si="38"/>
        <v>44553</v>
      </c>
      <c r="AH204" s="13">
        <f t="shared" ca="1" si="39"/>
        <v>85</v>
      </c>
    </row>
    <row r="205" spans="1:34" x14ac:dyDescent="0.25">
      <c r="A205" s="13" t="s">
        <v>10</v>
      </c>
      <c r="B205" s="13" t="s">
        <v>10</v>
      </c>
      <c r="C205" s="13" t="s">
        <v>277</v>
      </c>
      <c r="D205" s="13" t="s">
        <v>278</v>
      </c>
      <c r="E205" s="13" t="s">
        <v>731</v>
      </c>
      <c r="F205" s="13">
        <v>19</v>
      </c>
      <c r="G205" s="2" t="s">
        <v>269</v>
      </c>
      <c r="H205" s="13" t="s">
        <v>1</v>
      </c>
      <c r="I205" s="13" t="s">
        <v>140</v>
      </c>
      <c r="J205" s="13" t="s">
        <v>139</v>
      </c>
      <c r="K205" s="109">
        <v>44468</v>
      </c>
      <c r="P205" s="110">
        <v>44476</v>
      </c>
      <c r="Q205" s="13" t="str">
        <f t="shared" si="30"/>
        <v>PERECRD024131CADENASNUTRESA</v>
      </c>
      <c r="R205" s="2">
        <v>19</v>
      </c>
      <c r="S205" s="13">
        <v>19</v>
      </c>
      <c r="T205" s="123">
        <f t="shared" si="31"/>
        <v>1</v>
      </c>
      <c r="U205" s="13">
        <f t="shared" si="32"/>
        <v>0</v>
      </c>
      <c r="V205" s="123">
        <f t="shared" si="33"/>
        <v>0</v>
      </c>
      <c r="X205" s="13">
        <v>5000000</v>
      </c>
      <c r="Y205" s="13">
        <v>5000000</v>
      </c>
      <c r="Z205" s="13">
        <v>5000000</v>
      </c>
      <c r="AA205" s="13">
        <f t="shared" si="34"/>
        <v>1.25E+20</v>
      </c>
      <c r="AB205" s="13">
        <f t="shared" si="35"/>
        <v>2.3750000000000003E+21</v>
      </c>
      <c r="AC205" s="13">
        <f t="shared" si="36"/>
        <v>1649305555555555.8</v>
      </c>
      <c r="AD205" s="110">
        <f t="shared" si="37"/>
        <v>44472</v>
      </c>
      <c r="AE205" s="13" t="e">
        <f>IF(AND(AD205&lt;=$AI$4,#REF!&lt;1),1,"")</f>
        <v>#REF!</v>
      </c>
      <c r="AF205" s="110">
        <f t="shared" ca="1" si="38"/>
        <v>44553</v>
      </c>
      <c r="AH205" s="13">
        <f t="shared" ca="1" si="39"/>
        <v>85</v>
      </c>
    </row>
    <row r="206" spans="1:34" x14ac:dyDescent="0.25">
      <c r="A206" s="13" t="s">
        <v>3</v>
      </c>
      <c r="B206" s="13" t="s">
        <v>3</v>
      </c>
      <c r="C206" s="13" t="s">
        <v>294</v>
      </c>
      <c r="D206" s="13" t="s">
        <v>739</v>
      </c>
      <c r="E206" s="13" t="s">
        <v>725</v>
      </c>
      <c r="F206" s="13">
        <v>11</v>
      </c>
      <c r="G206" s="2" t="s">
        <v>269</v>
      </c>
      <c r="H206" s="13" t="s">
        <v>1</v>
      </c>
      <c r="I206" s="13" t="s">
        <v>140</v>
      </c>
      <c r="J206" s="13" t="s">
        <v>139</v>
      </c>
      <c r="K206" s="109">
        <v>44468</v>
      </c>
      <c r="P206" s="110">
        <v>44476</v>
      </c>
      <c r="Q206" s="13" t="str">
        <f t="shared" si="30"/>
        <v>BARRCRD024350CADENASNUTRESA</v>
      </c>
      <c r="R206" s="2">
        <v>11</v>
      </c>
      <c r="S206" s="13">
        <v>11</v>
      </c>
      <c r="T206" s="123">
        <f t="shared" si="31"/>
        <v>1</v>
      </c>
      <c r="U206" s="13">
        <f t="shared" si="32"/>
        <v>0</v>
      </c>
      <c r="V206" s="123">
        <f t="shared" si="33"/>
        <v>0</v>
      </c>
      <c r="X206" s="13">
        <v>90000000</v>
      </c>
      <c r="Y206" s="13">
        <v>53000000</v>
      </c>
      <c r="Z206" s="13">
        <v>53000000</v>
      </c>
      <c r="AA206" s="13">
        <f t="shared" si="34"/>
        <v>2.5281E+23</v>
      </c>
      <c r="AB206" s="13">
        <f t="shared" si="35"/>
        <v>2.7809100000000002E+24</v>
      </c>
      <c r="AC206" s="13">
        <f t="shared" si="36"/>
        <v>1.9311875E+18</v>
      </c>
      <c r="AD206" s="110">
        <f t="shared" si="37"/>
        <v>44472</v>
      </c>
      <c r="AE206" s="13" t="e">
        <f>IF(AND(AD206&lt;=$AI$4,#REF!&lt;1),1,"")</f>
        <v>#REF!</v>
      </c>
      <c r="AF206" s="110">
        <f t="shared" ca="1" si="38"/>
        <v>44553</v>
      </c>
      <c r="AH206" s="13">
        <f t="shared" ca="1" si="39"/>
        <v>85</v>
      </c>
    </row>
    <row r="207" spans="1:34" x14ac:dyDescent="0.25">
      <c r="A207" s="13" t="s">
        <v>4</v>
      </c>
      <c r="B207" s="13" t="s">
        <v>4</v>
      </c>
      <c r="C207" s="13" t="s">
        <v>294</v>
      </c>
      <c r="D207" s="13" t="s">
        <v>739</v>
      </c>
      <c r="E207" s="13" t="s">
        <v>725</v>
      </c>
      <c r="F207" s="13">
        <v>16</v>
      </c>
      <c r="G207" s="2" t="s">
        <v>269</v>
      </c>
      <c r="H207" s="13" t="s">
        <v>1</v>
      </c>
      <c r="I207" s="13" t="s">
        <v>140</v>
      </c>
      <c r="J207" s="13" t="s">
        <v>139</v>
      </c>
      <c r="K207" s="109">
        <v>44468</v>
      </c>
      <c r="P207" s="110">
        <v>44476</v>
      </c>
      <c r="Q207" s="13" t="str">
        <f t="shared" si="30"/>
        <v>BGTACRD024350CADENASNUTRESA</v>
      </c>
      <c r="R207" s="2">
        <v>16</v>
      </c>
      <c r="S207" s="13">
        <v>16</v>
      </c>
      <c r="T207" s="123">
        <f t="shared" si="31"/>
        <v>1</v>
      </c>
      <c r="U207" s="13">
        <f t="shared" si="32"/>
        <v>0</v>
      </c>
      <c r="V207" s="123">
        <f t="shared" si="33"/>
        <v>0</v>
      </c>
      <c r="X207" s="13">
        <v>90000000</v>
      </c>
      <c r="Y207" s="13">
        <v>53000000</v>
      </c>
      <c r="Z207" s="13">
        <v>53000000</v>
      </c>
      <c r="AA207" s="13">
        <f t="shared" si="34"/>
        <v>2.5281E+23</v>
      </c>
      <c r="AB207" s="13">
        <f t="shared" si="35"/>
        <v>4.04496E+24</v>
      </c>
      <c r="AC207" s="13">
        <f t="shared" si="36"/>
        <v>2.809E+18</v>
      </c>
      <c r="AD207" s="110">
        <f t="shared" si="37"/>
        <v>44472</v>
      </c>
      <c r="AE207" s="13" t="e">
        <f>IF(AND(AD207&lt;=$AI$4,#REF!&lt;1),1,"")</f>
        <v>#REF!</v>
      </c>
      <c r="AF207" s="110">
        <f t="shared" ca="1" si="38"/>
        <v>44553</v>
      </c>
      <c r="AH207" s="13">
        <f t="shared" ca="1" si="39"/>
        <v>85</v>
      </c>
    </row>
    <row r="208" spans="1:34" x14ac:dyDescent="0.25">
      <c r="A208" s="13" t="s">
        <v>5</v>
      </c>
      <c r="B208" s="13" t="s">
        <v>5</v>
      </c>
      <c r="C208" s="13" t="s">
        <v>294</v>
      </c>
      <c r="D208" s="13" t="s">
        <v>739</v>
      </c>
      <c r="E208" s="13" t="s">
        <v>725</v>
      </c>
      <c r="F208" s="13">
        <v>4</v>
      </c>
      <c r="G208" s="2" t="s">
        <v>269</v>
      </c>
      <c r="H208" s="13" t="s">
        <v>1</v>
      </c>
      <c r="I208" s="13" t="s">
        <v>140</v>
      </c>
      <c r="J208" s="13" t="s">
        <v>139</v>
      </c>
      <c r="K208" s="109">
        <v>44468</v>
      </c>
      <c r="P208" s="110">
        <v>44476</v>
      </c>
      <c r="Q208" s="13" t="str">
        <f t="shared" si="30"/>
        <v>BUCACRD024350CADENASNUTRESA</v>
      </c>
      <c r="R208" s="2">
        <v>4</v>
      </c>
      <c r="S208" s="13">
        <v>4</v>
      </c>
      <c r="T208" s="123">
        <f t="shared" si="31"/>
        <v>1</v>
      </c>
      <c r="U208" s="13">
        <f t="shared" si="32"/>
        <v>0</v>
      </c>
      <c r="V208" s="123">
        <f t="shared" si="33"/>
        <v>0</v>
      </c>
      <c r="X208" s="13">
        <v>90000000</v>
      </c>
      <c r="Y208" s="13">
        <v>53000000</v>
      </c>
      <c r="Z208" s="13">
        <v>53000000</v>
      </c>
      <c r="AA208" s="13">
        <f t="shared" si="34"/>
        <v>2.5281E+23</v>
      </c>
      <c r="AB208" s="13">
        <f t="shared" si="35"/>
        <v>1.01124E+24</v>
      </c>
      <c r="AC208" s="13">
        <f t="shared" si="36"/>
        <v>7.0225E+17</v>
      </c>
      <c r="AD208" s="110">
        <f t="shared" si="37"/>
        <v>44472</v>
      </c>
      <c r="AE208" s="13" t="e">
        <f>IF(AND(AD208&lt;=$AI$4,#REF!&lt;1),1,"")</f>
        <v>#REF!</v>
      </c>
      <c r="AF208" s="110">
        <f t="shared" ca="1" si="38"/>
        <v>44553</v>
      </c>
      <c r="AH208" s="13">
        <f t="shared" ca="1" si="39"/>
        <v>85</v>
      </c>
    </row>
    <row r="209" spans="1:34" x14ac:dyDescent="0.25">
      <c r="A209" s="13" t="s">
        <v>6</v>
      </c>
      <c r="B209" s="13" t="s">
        <v>6</v>
      </c>
      <c r="C209" s="13" t="s">
        <v>294</v>
      </c>
      <c r="D209" s="13" t="s">
        <v>739</v>
      </c>
      <c r="E209" s="13" t="s">
        <v>725</v>
      </c>
      <c r="F209" s="13">
        <v>8</v>
      </c>
      <c r="G209" s="2" t="s">
        <v>269</v>
      </c>
      <c r="H209" s="13" t="s">
        <v>1</v>
      </c>
      <c r="I209" s="13" t="s">
        <v>140</v>
      </c>
      <c r="J209" s="13" t="s">
        <v>139</v>
      </c>
      <c r="K209" s="109">
        <v>44468</v>
      </c>
      <c r="P209" s="110">
        <v>44476</v>
      </c>
      <c r="Q209" s="13" t="str">
        <f t="shared" si="30"/>
        <v>CALICRD024350CADENASNUTRESA</v>
      </c>
      <c r="R209" s="2">
        <v>8</v>
      </c>
      <c r="S209" s="13">
        <v>8</v>
      </c>
      <c r="T209" s="123">
        <f t="shared" si="31"/>
        <v>1</v>
      </c>
      <c r="U209" s="13">
        <f t="shared" si="32"/>
        <v>0</v>
      </c>
      <c r="V209" s="123">
        <f t="shared" si="33"/>
        <v>0</v>
      </c>
      <c r="X209" s="13">
        <v>90000000</v>
      </c>
      <c r="Y209" s="13">
        <v>53000000</v>
      </c>
      <c r="Z209" s="13">
        <v>53000000</v>
      </c>
      <c r="AA209" s="13">
        <f t="shared" si="34"/>
        <v>2.5281E+23</v>
      </c>
      <c r="AB209" s="13">
        <f t="shared" si="35"/>
        <v>2.02248E+24</v>
      </c>
      <c r="AC209" s="13">
        <f t="shared" si="36"/>
        <v>1.4045E+18</v>
      </c>
      <c r="AD209" s="110">
        <f t="shared" si="37"/>
        <v>44472</v>
      </c>
      <c r="AE209" s="13" t="e">
        <f>IF(AND(AD209&lt;=$AI$4,#REF!&lt;1),1,"")</f>
        <v>#REF!</v>
      </c>
      <c r="AF209" s="110">
        <f t="shared" ca="1" si="38"/>
        <v>44553</v>
      </c>
      <c r="AH209" s="13">
        <f t="shared" ca="1" si="39"/>
        <v>85</v>
      </c>
    </row>
    <row r="210" spans="1:34" x14ac:dyDescent="0.25">
      <c r="A210" s="13" t="s">
        <v>7</v>
      </c>
      <c r="B210" s="13" t="s">
        <v>7</v>
      </c>
      <c r="C210" s="13" t="s">
        <v>294</v>
      </c>
      <c r="D210" s="13" t="s">
        <v>739</v>
      </c>
      <c r="E210" s="13" t="s">
        <v>725</v>
      </c>
      <c r="F210" s="13">
        <v>4</v>
      </c>
      <c r="G210" s="2" t="s">
        <v>269</v>
      </c>
      <c r="H210" s="13" t="s">
        <v>1</v>
      </c>
      <c r="I210" s="13" t="s">
        <v>140</v>
      </c>
      <c r="J210" s="13" t="s">
        <v>139</v>
      </c>
      <c r="K210" s="109">
        <v>44468</v>
      </c>
      <c r="P210" s="110">
        <v>44476</v>
      </c>
      <c r="Q210" s="13" t="str">
        <f t="shared" si="30"/>
        <v>CARTCRD024350CADENASNUTRESA</v>
      </c>
      <c r="R210" s="2">
        <v>4</v>
      </c>
      <c r="S210" s="13">
        <v>4</v>
      </c>
      <c r="T210" s="123">
        <f t="shared" si="31"/>
        <v>1</v>
      </c>
      <c r="U210" s="13">
        <f t="shared" si="32"/>
        <v>0</v>
      </c>
      <c r="V210" s="123">
        <f t="shared" si="33"/>
        <v>0</v>
      </c>
      <c r="X210" s="13">
        <v>90000000</v>
      </c>
      <c r="Y210" s="13">
        <v>53000000</v>
      </c>
      <c r="Z210" s="13">
        <v>53000000</v>
      </c>
      <c r="AA210" s="13">
        <f t="shared" si="34"/>
        <v>2.5281E+23</v>
      </c>
      <c r="AB210" s="13">
        <f t="shared" si="35"/>
        <v>1.01124E+24</v>
      </c>
      <c r="AC210" s="13">
        <f t="shared" si="36"/>
        <v>7.0225E+17</v>
      </c>
      <c r="AD210" s="110">
        <f t="shared" si="37"/>
        <v>44472</v>
      </c>
      <c r="AE210" s="13" t="e">
        <f>IF(AND(AD210&lt;=$AI$4,#REF!&lt;1),1,"")</f>
        <v>#REF!</v>
      </c>
      <c r="AF210" s="110">
        <f t="shared" ca="1" si="38"/>
        <v>44553</v>
      </c>
      <c r="AH210" s="13">
        <f t="shared" ca="1" si="39"/>
        <v>85</v>
      </c>
    </row>
    <row r="211" spans="1:34" x14ac:dyDescent="0.25">
      <c r="A211" s="13" t="s">
        <v>8</v>
      </c>
      <c r="B211" s="13" t="s">
        <v>8</v>
      </c>
      <c r="C211" s="13" t="s">
        <v>294</v>
      </c>
      <c r="D211" s="13" t="s">
        <v>739</v>
      </c>
      <c r="E211" s="13" t="s">
        <v>725</v>
      </c>
      <c r="F211" s="13">
        <v>18</v>
      </c>
      <c r="G211" s="2" t="s">
        <v>269</v>
      </c>
      <c r="H211" s="13" t="s">
        <v>1</v>
      </c>
      <c r="I211" s="13" t="s">
        <v>140</v>
      </c>
      <c r="J211" s="13" t="s">
        <v>139</v>
      </c>
      <c r="K211" s="109">
        <v>44468</v>
      </c>
      <c r="P211" s="110">
        <v>44476</v>
      </c>
      <c r="Q211" s="13" t="str">
        <f t="shared" si="30"/>
        <v>IBA1CRD024350CADENASNUTRESA</v>
      </c>
      <c r="R211" s="2">
        <v>18</v>
      </c>
      <c r="S211" s="13">
        <v>18</v>
      </c>
      <c r="T211" s="123">
        <f t="shared" si="31"/>
        <v>1</v>
      </c>
      <c r="U211" s="13">
        <f t="shared" si="32"/>
        <v>0</v>
      </c>
      <c r="V211" s="123">
        <f t="shared" si="33"/>
        <v>0</v>
      </c>
      <c r="X211" s="13">
        <v>90000000</v>
      </c>
      <c r="Y211" s="13">
        <v>53000000</v>
      </c>
      <c r="Z211" s="13">
        <v>53000000</v>
      </c>
      <c r="AA211" s="13">
        <f t="shared" si="34"/>
        <v>2.5281E+23</v>
      </c>
      <c r="AB211" s="13">
        <f t="shared" si="35"/>
        <v>4.5505799999999998E+24</v>
      </c>
      <c r="AC211" s="13">
        <f t="shared" si="36"/>
        <v>3.160125E+18</v>
      </c>
      <c r="AD211" s="110">
        <f t="shared" si="37"/>
        <v>44472</v>
      </c>
      <c r="AE211" s="13" t="e">
        <f>IF(AND(AD211&lt;=$AI$4,#REF!&lt;1),1,"")</f>
        <v>#REF!</v>
      </c>
      <c r="AF211" s="110">
        <f t="shared" ca="1" si="38"/>
        <v>44553</v>
      </c>
      <c r="AH211" s="13">
        <f t="shared" ca="1" si="39"/>
        <v>85</v>
      </c>
    </row>
    <row r="212" spans="1:34" x14ac:dyDescent="0.25">
      <c r="A212" s="13" t="s">
        <v>9</v>
      </c>
      <c r="B212" s="13" t="s">
        <v>9</v>
      </c>
      <c r="C212" s="13" t="s">
        <v>294</v>
      </c>
      <c r="D212" s="13" t="s">
        <v>739</v>
      </c>
      <c r="E212" s="13" t="s">
        <v>725</v>
      </c>
      <c r="F212" s="13">
        <v>6</v>
      </c>
      <c r="G212" s="2" t="s">
        <v>269</v>
      </c>
      <c r="H212" s="13" t="s">
        <v>1</v>
      </c>
      <c r="I212" s="13" t="s">
        <v>140</v>
      </c>
      <c r="J212" s="13" t="s">
        <v>139</v>
      </c>
      <c r="K212" s="109">
        <v>44468</v>
      </c>
      <c r="P212" s="110">
        <v>44469</v>
      </c>
      <c r="Q212" s="13" t="str">
        <f t="shared" si="30"/>
        <v>MEDECRD024350CADENASNUTRESA</v>
      </c>
      <c r="R212" s="2">
        <v>6</v>
      </c>
      <c r="S212" s="13">
        <v>6</v>
      </c>
      <c r="T212" s="123">
        <f t="shared" si="31"/>
        <v>1</v>
      </c>
      <c r="U212" s="13">
        <f t="shared" si="32"/>
        <v>0</v>
      </c>
      <c r="V212" s="123">
        <f t="shared" si="33"/>
        <v>0</v>
      </c>
      <c r="X212" s="13">
        <v>90000000</v>
      </c>
      <c r="Y212" s="13">
        <v>53000000</v>
      </c>
      <c r="Z212" s="13">
        <v>53000000</v>
      </c>
      <c r="AA212" s="13">
        <f t="shared" si="34"/>
        <v>2.5281E+23</v>
      </c>
      <c r="AB212" s="13">
        <f t="shared" si="35"/>
        <v>1.51686E+24</v>
      </c>
      <c r="AC212" s="13">
        <f t="shared" si="36"/>
        <v>1.053375E+18</v>
      </c>
      <c r="AD212" s="110">
        <f t="shared" si="37"/>
        <v>44472</v>
      </c>
      <c r="AE212" s="13" t="e">
        <f>IF(AND(AD212&lt;=$AI$4,#REF!&lt;1),1,"")</f>
        <v>#REF!</v>
      </c>
      <c r="AF212" s="110">
        <f t="shared" ca="1" si="38"/>
        <v>44553</v>
      </c>
      <c r="AH212" s="13">
        <f t="shared" ca="1" si="39"/>
        <v>85</v>
      </c>
    </row>
    <row r="213" spans="1:34" x14ac:dyDescent="0.25">
      <c r="A213" s="13" t="s">
        <v>10</v>
      </c>
      <c r="B213" s="13" t="s">
        <v>10</v>
      </c>
      <c r="C213" s="13" t="s">
        <v>294</v>
      </c>
      <c r="D213" s="13" t="s">
        <v>739</v>
      </c>
      <c r="E213" s="13" t="s">
        <v>725</v>
      </c>
      <c r="F213" s="13">
        <v>3</v>
      </c>
      <c r="G213" s="2" t="s">
        <v>269</v>
      </c>
      <c r="H213" s="13" t="s">
        <v>1</v>
      </c>
      <c r="I213" s="13" t="s">
        <v>140</v>
      </c>
      <c r="J213" s="13" t="s">
        <v>139</v>
      </c>
      <c r="K213" s="109">
        <v>44468</v>
      </c>
      <c r="P213" s="110">
        <v>44476</v>
      </c>
      <c r="Q213" s="13" t="str">
        <f t="shared" si="30"/>
        <v>PERECRD024350CADENASNUTRESA</v>
      </c>
      <c r="R213" s="2">
        <v>3</v>
      </c>
      <c r="S213" s="13">
        <v>3</v>
      </c>
      <c r="T213" s="123">
        <f t="shared" si="31"/>
        <v>1</v>
      </c>
      <c r="U213" s="13">
        <f t="shared" si="32"/>
        <v>0</v>
      </c>
      <c r="V213" s="123">
        <f t="shared" si="33"/>
        <v>0</v>
      </c>
      <c r="X213" s="13">
        <v>90000000</v>
      </c>
      <c r="Y213" s="13">
        <v>53000000</v>
      </c>
      <c r="Z213" s="13">
        <v>53000000</v>
      </c>
      <c r="AA213" s="13">
        <f t="shared" si="34"/>
        <v>2.5281E+23</v>
      </c>
      <c r="AB213" s="13">
        <f t="shared" si="35"/>
        <v>7.5843E+23</v>
      </c>
      <c r="AC213" s="13">
        <f t="shared" si="36"/>
        <v>5.266875E+17</v>
      </c>
      <c r="AD213" s="110">
        <f t="shared" si="37"/>
        <v>44472</v>
      </c>
      <c r="AE213" s="13" t="e">
        <f>IF(AND(AD213&lt;=$AI$4,#REF!&lt;1),1,"")</f>
        <v>#REF!</v>
      </c>
      <c r="AF213" s="110">
        <f t="shared" ca="1" si="38"/>
        <v>44553</v>
      </c>
      <c r="AH213" s="13">
        <f t="shared" ca="1" si="39"/>
        <v>85</v>
      </c>
    </row>
    <row r="214" spans="1:34" x14ac:dyDescent="0.25">
      <c r="A214" s="13" t="s">
        <v>3</v>
      </c>
      <c r="B214" s="13" t="s">
        <v>3</v>
      </c>
      <c r="C214" s="13" t="s">
        <v>295</v>
      </c>
      <c r="D214" s="13" t="s">
        <v>740</v>
      </c>
      <c r="E214" s="13" t="s">
        <v>725</v>
      </c>
      <c r="F214" s="13">
        <v>3</v>
      </c>
      <c r="G214" s="2" t="s">
        <v>269</v>
      </c>
      <c r="H214" s="13" t="s">
        <v>1</v>
      </c>
      <c r="I214" s="13" t="s">
        <v>140</v>
      </c>
      <c r="J214" s="13" t="s">
        <v>139</v>
      </c>
      <c r="K214" s="109">
        <v>44468</v>
      </c>
      <c r="P214" s="110">
        <v>44476</v>
      </c>
      <c r="Q214" s="13" t="str">
        <f t="shared" si="30"/>
        <v>BARRCRD024351CADENASNUTRESA</v>
      </c>
      <c r="R214" s="2">
        <v>3</v>
      </c>
      <c r="S214" s="13">
        <v>3</v>
      </c>
      <c r="T214" s="123">
        <f t="shared" si="31"/>
        <v>1</v>
      </c>
      <c r="U214" s="13">
        <f t="shared" si="32"/>
        <v>0</v>
      </c>
      <c r="V214" s="123">
        <f t="shared" si="33"/>
        <v>0</v>
      </c>
      <c r="X214" s="13">
        <v>28000000</v>
      </c>
      <c r="Y214" s="13">
        <v>22000000</v>
      </c>
      <c r="Z214" s="13">
        <v>22000000</v>
      </c>
      <c r="AA214" s="13">
        <f t="shared" si="34"/>
        <v>1.3552E+22</v>
      </c>
      <c r="AB214" s="13">
        <f t="shared" si="35"/>
        <v>4.0655999999999996E+22</v>
      </c>
      <c r="AC214" s="13">
        <f t="shared" si="36"/>
        <v>2.8233333333333332E+16</v>
      </c>
      <c r="AD214" s="110">
        <f t="shared" si="37"/>
        <v>44472</v>
      </c>
      <c r="AE214" s="13" t="e">
        <f>IF(AND(AD214&lt;=$AI$4,#REF!&lt;1),1,"")</f>
        <v>#REF!</v>
      </c>
      <c r="AF214" s="110">
        <f t="shared" ca="1" si="38"/>
        <v>44553</v>
      </c>
      <c r="AH214" s="13">
        <f t="shared" ca="1" si="39"/>
        <v>85</v>
      </c>
    </row>
    <row r="215" spans="1:34" x14ac:dyDescent="0.25">
      <c r="A215" s="13" t="s">
        <v>4</v>
      </c>
      <c r="B215" s="13" t="s">
        <v>4</v>
      </c>
      <c r="C215" s="13" t="s">
        <v>295</v>
      </c>
      <c r="D215" s="13" t="s">
        <v>740</v>
      </c>
      <c r="E215" s="13" t="s">
        <v>725</v>
      </c>
      <c r="F215" s="13">
        <v>10</v>
      </c>
      <c r="G215" s="2" t="s">
        <v>269</v>
      </c>
      <c r="H215" s="13" t="s">
        <v>1</v>
      </c>
      <c r="I215" s="13" t="s">
        <v>140</v>
      </c>
      <c r="J215" s="13" t="s">
        <v>139</v>
      </c>
      <c r="K215" s="109">
        <v>44468</v>
      </c>
      <c r="P215" s="110">
        <v>44476</v>
      </c>
      <c r="Q215" s="13" t="str">
        <f t="shared" si="30"/>
        <v>BGTACRD024351CADENASNUTRESA</v>
      </c>
      <c r="R215" s="2">
        <v>10</v>
      </c>
      <c r="S215" s="13">
        <v>10</v>
      </c>
      <c r="T215" s="123">
        <f t="shared" si="31"/>
        <v>1</v>
      </c>
      <c r="U215" s="13">
        <f t="shared" si="32"/>
        <v>0</v>
      </c>
      <c r="V215" s="123">
        <f t="shared" si="33"/>
        <v>0</v>
      </c>
      <c r="X215" s="13">
        <v>28000000</v>
      </c>
      <c r="Y215" s="13">
        <v>22000000</v>
      </c>
      <c r="Z215" s="13">
        <v>22000000</v>
      </c>
      <c r="AA215" s="13">
        <f t="shared" si="34"/>
        <v>1.3552E+22</v>
      </c>
      <c r="AB215" s="13">
        <f t="shared" si="35"/>
        <v>1.3552000000000001E+23</v>
      </c>
      <c r="AC215" s="13">
        <f t="shared" si="36"/>
        <v>9.411111111111112E+16</v>
      </c>
      <c r="AD215" s="110">
        <f t="shared" si="37"/>
        <v>44472</v>
      </c>
      <c r="AE215" s="13" t="e">
        <f>IF(AND(AD215&lt;=$AI$4,#REF!&lt;1),1,"")</f>
        <v>#REF!</v>
      </c>
      <c r="AF215" s="110">
        <f t="shared" ca="1" si="38"/>
        <v>44553</v>
      </c>
      <c r="AH215" s="13">
        <f t="shared" ca="1" si="39"/>
        <v>85</v>
      </c>
    </row>
    <row r="216" spans="1:34" x14ac:dyDescent="0.25">
      <c r="A216" s="13" t="s">
        <v>7</v>
      </c>
      <c r="B216" s="13" t="s">
        <v>7</v>
      </c>
      <c r="C216" s="13" t="s">
        <v>295</v>
      </c>
      <c r="D216" s="13" t="s">
        <v>740</v>
      </c>
      <c r="E216" s="13" t="s">
        <v>725</v>
      </c>
      <c r="F216" s="13">
        <v>5</v>
      </c>
      <c r="G216" s="2" t="s">
        <v>269</v>
      </c>
      <c r="H216" s="13" t="s">
        <v>1</v>
      </c>
      <c r="I216" s="13" t="s">
        <v>140</v>
      </c>
      <c r="J216" s="13" t="s">
        <v>139</v>
      </c>
      <c r="K216" s="109">
        <v>44468</v>
      </c>
      <c r="P216" s="110">
        <v>44476</v>
      </c>
      <c r="Q216" s="13" t="str">
        <f t="shared" si="30"/>
        <v>CARTCRD024351CADENASNUTRESA</v>
      </c>
      <c r="R216" s="2">
        <v>5</v>
      </c>
      <c r="S216" s="13">
        <v>5</v>
      </c>
      <c r="T216" s="123">
        <f t="shared" si="31"/>
        <v>1</v>
      </c>
      <c r="U216" s="13">
        <f t="shared" si="32"/>
        <v>0</v>
      </c>
      <c r="V216" s="123">
        <f t="shared" si="33"/>
        <v>0</v>
      </c>
      <c r="X216" s="13">
        <v>28000000</v>
      </c>
      <c r="Y216" s="13">
        <v>22000000</v>
      </c>
      <c r="Z216" s="13">
        <v>22000000</v>
      </c>
      <c r="AA216" s="13">
        <f t="shared" si="34"/>
        <v>1.3552E+22</v>
      </c>
      <c r="AB216" s="13">
        <f t="shared" si="35"/>
        <v>6.7760000000000004E+22</v>
      </c>
      <c r="AC216" s="13">
        <f t="shared" si="36"/>
        <v>4.705555555555556E+16</v>
      </c>
      <c r="AD216" s="110">
        <f t="shared" si="37"/>
        <v>44472</v>
      </c>
      <c r="AE216" s="13" t="e">
        <f>IF(AND(AD216&lt;=$AI$4,#REF!&lt;1),1,"")</f>
        <v>#REF!</v>
      </c>
      <c r="AF216" s="110">
        <f t="shared" ca="1" si="38"/>
        <v>44553</v>
      </c>
      <c r="AH216" s="13">
        <f t="shared" ca="1" si="39"/>
        <v>85</v>
      </c>
    </row>
    <row r="217" spans="1:34" x14ac:dyDescent="0.25">
      <c r="A217" s="13" t="s">
        <v>9</v>
      </c>
      <c r="B217" s="13" t="s">
        <v>9</v>
      </c>
      <c r="C217" s="13" t="s">
        <v>295</v>
      </c>
      <c r="D217" s="13" t="s">
        <v>740</v>
      </c>
      <c r="E217" s="13" t="s">
        <v>725</v>
      </c>
      <c r="F217" s="13">
        <v>5</v>
      </c>
      <c r="G217" s="2" t="s">
        <v>269</v>
      </c>
      <c r="H217" s="13" t="s">
        <v>1</v>
      </c>
      <c r="I217" s="13" t="s">
        <v>140</v>
      </c>
      <c r="J217" s="13" t="s">
        <v>139</v>
      </c>
      <c r="K217" s="109">
        <v>44468</v>
      </c>
      <c r="P217" s="110">
        <v>44469</v>
      </c>
      <c r="Q217" s="13" t="str">
        <f t="shared" si="30"/>
        <v>MEDECRD024351CADENASNUTRESA</v>
      </c>
      <c r="R217" s="2">
        <v>5</v>
      </c>
      <c r="S217" s="13">
        <v>5</v>
      </c>
      <c r="T217" s="123">
        <f t="shared" si="31"/>
        <v>1</v>
      </c>
      <c r="U217" s="13">
        <f t="shared" si="32"/>
        <v>0</v>
      </c>
      <c r="V217" s="123">
        <f t="shared" si="33"/>
        <v>0</v>
      </c>
      <c r="X217" s="13">
        <v>28000000</v>
      </c>
      <c r="Y217" s="13">
        <v>22000000</v>
      </c>
      <c r="Z217" s="13">
        <v>22000000</v>
      </c>
      <c r="AA217" s="13">
        <f t="shared" si="34"/>
        <v>1.3552E+22</v>
      </c>
      <c r="AB217" s="13">
        <f t="shared" si="35"/>
        <v>6.7760000000000004E+22</v>
      </c>
      <c r="AC217" s="13">
        <f t="shared" si="36"/>
        <v>4.705555555555556E+16</v>
      </c>
      <c r="AD217" s="110">
        <f t="shared" si="37"/>
        <v>44472</v>
      </c>
      <c r="AE217" s="13" t="e">
        <f>IF(AND(AD217&lt;=$AI$4,#REF!&lt;1),1,"")</f>
        <v>#REF!</v>
      </c>
      <c r="AF217" s="110">
        <f t="shared" ca="1" si="38"/>
        <v>44553</v>
      </c>
      <c r="AH217" s="13">
        <f t="shared" ca="1" si="39"/>
        <v>85</v>
      </c>
    </row>
    <row r="218" spans="1:34" x14ac:dyDescent="0.25">
      <c r="A218" s="13" t="s">
        <v>3</v>
      </c>
      <c r="B218" s="13" t="s">
        <v>3</v>
      </c>
      <c r="C218" s="13" t="s">
        <v>296</v>
      </c>
      <c r="D218" s="13" t="s">
        <v>741</v>
      </c>
      <c r="E218" s="13" t="s">
        <v>725</v>
      </c>
      <c r="F218" s="13">
        <v>30</v>
      </c>
      <c r="G218" s="2" t="s">
        <v>269</v>
      </c>
      <c r="H218" s="13" t="s">
        <v>1</v>
      </c>
      <c r="I218" s="13" t="s">
        <v>140</v>
      </c>
      <c r="J218" s="13" t="s">
        <v>139</v>
      </c>
      <c r="K218" s="109">
        <v>44468</v>
      </c>
      <c r="P218" s="110">
        <v>44476</v>
      </c>
      <c r="Q218" s="13" t="str">
        <f t="shared" si="30"/>
        <v>BARRCRD024352CADENASNUTRESA</v>
      </c>
      <c r="R218" s="2">
        <v>30</v>
      </c>
      <c r="S218" s="13">
        <v>30</v>
      </c>
      <c r="T218" s="123">
        <f t="shared" si="31"/>
        <v>1</v>
      </c>
      <c r="U218" s="13">
        <f t="shared" si="32"/>
        <v>0</v>
      </c>
      <c r="V218" s="123">
        <f t="shared" si="33"/>
        <v>0</v>
      </c>
      <c r="X218" s="13">
        <v>5000000</v>
      </c>
      <c r="Y218" s="13">
        <v>30000000</v>
      </c>
      <c r="Z218" s="13">
        <v>30000000</v>
      </c>
      <c r="AA218" s="13">
        <f t="shared" si="34"/>
        <v>4.5E+21</v>
      </c>
      <c r="AB218" s="13">
        <f t="shared" si="35"/>
        <v>1.3499999999999999E+23</v>
      </c>
      <c r="AC218" s="13">
        <f t="shared" si="36"/>
        <v>9.375E+16</v>
      </c>
      <c r="AD218" s="110">
        <f t="shared" si="37"/>
        <v>44472</v>
      </c>
      <c r="AE218" s="13" t="e">
        <f>IF(AND(AD218&lt;=$AI$4,#REF!&lt;1),1,"")</f>
        <v>#REF!</v>
      </c>
      <c r="AF218" s="110">
        <f t="shared" ca="1" si="38"/>
        <v>44553</v>
      </c>
      <c r="AH218" s="13">
        <f t="shared" ca="1" si="39"/>
        <v>85</v>
      </c>
    </row>
    <row r="219" spans="1:34" x14ac:dyDescent="0.25">
      <c r="A219" s="13" t="s">
        <v>5</v>
      </c>
      <c r="B219" s="13" t="s">
        <v>5</v>
      </c>
      <c r="C219" s="13" t="s">
        <v>296</v>
      </c>
      <c r="D219" s="13" t="s">
        <v>741</v>
      </c>
      <c r="E219" s="13" t="s">
        <v>725</v>
      </c>
      <c r="F219" s="13">
        <v>25</v>
      </c>
      <c r="G219" s="2" t="s">
        <v>269</v>
      </c>
      <c r="H219" s="13" t="s">
        <v>1</v>
      </c>
      <c r="I219" s="13" t="s">
        <v>140</v>
      </c>
      <c r="J219" s="13" t="s">
        <v>139</v>
      </c>
      <c r="K219" s="109">
        <v>44468</v>
      </c>
      <c r="P219" s="110">
        <v>44476</v>
      </c>
      <c r="Q219" s="13" t="str">
        <f t="shared" si="30"/>
        <v>BUCACRD024352CADENASNUTRESA</v>
      </c>
      <c r="R219" s="2">
        <v>25</v>
      </c>
      <c r="S219" s="13">
        <v>25</v>
      </c>
      <c r="T219" s="123">
        <f t="shared" si="31"/>
        <v>1</v>
      </c>
      <c r="U219" s="13">
        <f t="shared" si="32"/>
        <v>0</v>
      </c>
      <c r="V219" s="123">
        <f t="shared" si="33"/>
        <v>0</v>
      </c>
      <c r="X219" s="13">
        <v>5000000</v>
      </c>
      <c r="Y219" s="13">
        <v>30000000</v>
      </c>
      <c r="Z219" s="13">
        <v>30000000</v>
      </c>
      <c r="AA219" s="13">
        <f t="shared" si="34"/>
        <v>4.5E+21</v>
      </c>
      <c r="AB219" s="13">
        <f t="shared" si="35"/>
        <v>1.1249999999999999E+23</v>
      </c>
      <c r="AC219" s="13">
        <f t="shared" si="36"/>
        <v>7.8125E+16</v>
      </c>
      <c r="AD219" s="110">
        <f t="shared" si="37"/>
        <v>44472</v>
      </c>
      <c r="AE219" s="13" t="e">
        <f>IF(AND(AD219&lt;=$AI$4,#REF!&lt;1),1,"")</f>
        <v>#REF!</v>
      </c>
      <c r="AF219" s="110">
        <f t="shared" ca="1" si="38"/>
        <v>44553</v>
      </c>
      <c r="AH219" s="13">
        <f t="shared" ca="1" si="39"/>
        <v>85</v>
      </c>
    </row>
    <row r="220" spans="1:34" x14ac:dyDescent="0.25">
      <c r="A220" s="13" t="s">
        <v>7</v>
      </c>
      <c r="B220" s="13" t="s">
        <v>7</v>
      </c>
      <c r="C220" s="13" t="s">
        <v>296</v>
      </c>
      <c r="D220" s="13" t="s">
        <v>741</v>
      </c>
      <c r="E220" s="13" t="s">
        <v>725</v>
      </c>
      <c r="F220" s="13">
        <v>37</v>
      </c>
      <c r="G220" s="2" t="s">
        <v>269</v>
      </c>
      <c r="H220" s="13" t="s">
        <v>1</v>
      </c>
      <c r="I220" s="13" t="s">
        <v>140</v>
      </c>
      <c r="J220" s="13" t="s">
        <v>139</v>
      </c>
      <c r="K220" s="109">
        <v>44468</v>
      </c>
      <c r="P220" s="110">
        <v>44476</v>
      </c>
      <c r="Q220" s="13" t="str">
        <f t="shared" si="30"/>
        <v>CARTCRD024352CADENASNUTRESA</v>
      </c>
      <c r="R220" s="2">
        <v>37</v>
      </c>
      <c r="S220" s="13">
        <v>37</v>
      </c>
      <c r="T220" s="123">
        <f t="shared" si="31"/>
        <v>1</v>
      </c>
      <c r="U220" s="13">
        <f t="shared" si="32"/>
        <v>0</v>
      </c>
      <c r="V220" s="123">
        <f t="shared" si="33"/>
        <v>0</v>
      </c>
      <c r="X220" s="13">
        <v>5000000</v>
      </c>
      <c r="Y220" s="13">
        <v>30000000</v>
      </c>
      <c r="Z220" s="13">
        <v>30000000</v>
      </c>
      <c r="AA220" s="13">
        <f t="shared" si="34"/>
        <v>4.5E+21</v>
      </c>
      <c r="AB220" s="13">
        <f t="shared" si="35"/>
        <v>1.6650000000000002E+23</v>
      </c>
      <c r="AC220" s="13">
        <f t="shared" si="36"/>
        <v>1.1562500000000002E+17</v>
      </c>
      <c r="AD220" s="110">
        <f t="shared" si="37"/>
        <v>44472</v>
      </c>
      <c r="AE220" s="13" t="e">
        <f>IF(AND(AD220&lt;=$AI$4,#REF!&lt;1),1,"")</f>
        <v>#REF!</v>
      </c>
      <c r="AF220" s="110">
        <f t="shared" ca="1" si="38"/>
        <v>44553</v>
      </c>
      <c r="AH220" s="13">
        <f t="shared" ca="1" si="39"/>
        <v>85</v>
      </c>
    </row>
    <row r="221" spans="1:34" x14ac:dyDescent="0.25">
      <c r="A221" s="13" t="s">
        <v>9</v>
      </c>
      <c r="B221" s="13" t="s">
        <v>9</v>
      </c>
      <c r="C221" s="13" t="s">
        <v>296</v>
      </c>
      <c r="D221" s="13" t="s">
        <v>741</v>
      </c>
      <c r="E221" s="13" t="s">
        <v>725</v>
      </c>
      <c r="F221" s="13">
        <v>126</v>
      </c>
      <c r="G221" s="2" t="s">
        <v>269</v>
      </c>
      <c r="H221" s="13" t="s">
        <v>1</v>
      </c>
      <c r="I221" s="13" t="s">
        <v>140</v>
      </c>
      <c r="J221" s="13" t="s">
        <v>139</v>
      </c>
      <c r="K221" s="109">
        <v>44468</v>
      </c>
      <c r="P221" s="110">
        <v>44469</v>
      </c>
      <c r="Q221" s="13" t="str">
        <f t="shared" si="30"/>
        <v>MEDECRD024352CADENASNUTRESA</v>
      </c>
      <c r="R221" s="2">
        <v>126</v>
      </c>
      <c r="S221" s="13">
        <v>126</v>
      </c>
      <c r="T221" s="123">
        <f t="shared" si="31"/>
        <v>1</v>
      </c>
      <c r="U221" s="13">
        <f t="shared" si="32"/>
        <v>0</v>
      </c>
      <c r="V221" s="123">
        <f t="shared" si="33"/>
        <v>0</v>
      </c>
      <c r="X221" s="13">
        <v>5000000</v>
      </c>
      <c r="Y221" s="13">
        <v>30000000</v>
      </c>
      <c r="Z221" s="13">
        <v>30000000</v>
      </c>
      <c r="AA221" s="13">
        <f t="shared" si="34"/>
        <v>4.5E+21</v>
      </c>
      <c r="AB221" s="13">
        <f t="shared" si="35"/>
        <v>5.6699999999999999E+23</v>
      </c>
      <c r="AC221" s="13">
        <f t="shared" si="36"/>
        <v>3.9375E+17</v>
      </c>
      <c r="AD221" s="110">
        <f t="shared" si="37"/>
        <v>44472</v>
      </c>
      <c r="AE221" s="13" t="e">
        <f>IF(AND(AD221&lt;=$AI$4,#REF!&lt;1),1,"")</f>
        <v>#REF!</v>
      </c>
      <c r="AF221" s="110">
        <f t="shared" ca="1" si="38"/>
        <v>44553</v>
      </c>
      <c r="AH221" s="13">
        <f t="shared" ca="1" si="39"/>
        <v>85</v>
      </c>
    </row>
    <row r="222" spans="1:34" x14ac:dyDescent="0.25">
      <c r="A222" s="13" t="s">
        <v>4</v>
      </c>
      <c r="B222" s="13" t="s">
        <v>4</v>
      </c>
      <c r="C222" s="13" t="s">
        <v>297</v>
      </c>
      <c r="D222" s="13" t="s">
        <v>298</v>
      </c>
      <c r="E222" s="13" t="s">
        <v>725</v>
      </c>
      <c r="F222" s="13">
        <v>5</v>
      </c>
      <c r="G222" s="2" t="s">
        <v>269</v>
      </c>
      <c r="H222" s="13" t="s">
        <v>1</v>
      </c>
      <c r="I222" s="13" t="s">
        <v>140</v>
      </c>
      <c r="J222" s="13" t="s">
        <v>139</v>
      </c>
      <c r="K222" s="109">
        <v>44468</v>
      </c>
      <c r="P222" s="110">
        <v>44504</v>
      </c>
      <c r="Q222" s="13" t="str">
        <f t="shared" si="30"/>
        <v>BGTACRD024353CADENASNUTRESA</v>
      </c>
      <c r="R222" s="2">
        <v>5</v>
      </c>
      <c r="S222" s="13">
        <v>3</v>
      </c>
      <c r="T222" s="123">
        <f t="shared" si="31"/>
        <v>1</v>
      </c>
      <c r="U222" s="13">
        <f t="shared" si="32"/>
        <v>2</v>
      </c>
      <c r="V222" s="123">
        <f t="shared" si="33"/>
        <v>0.4</v>
      </c>
      <c r="X222" s="13">
        <v>35000000</v>
      </c>
      <c r="Y222" s="13">
        <v>100000000</v>
      </c>
      <c r="Z222" s="13">
        <v>100000000</v>
      </c>
      <c r="AA222" s="13">
        <f t="shared" si="34"/>
        <v>3.5000000000000002E+23</v>
      </c>
      <c r="AB222" s="13">
        <f t="shared" si="35"/>
        <v>1.7500000000000001E+24</v>
      </c>
      <c r="AC222" s="13">
        <f t="shared" si="36"/>
        <v>1.2152777777777779E+18</v>
      </c>
      <c r="AD222" s="110">
        <f t="shared" si="37"/>
        <v>44472</v>
      </c>
      <c r="AE222" s="13" t="e">
        <f>IF(AND(AD222&lt;=$AI$4,#REF!&lt;1),1,"")</f>
        <v>#REF!</v>
      </c>
      <c r="AF222" s="110">
        <f t="shared" ca="1" si="38"/>
        <v>44553</v>
      </c>
      <c r="AH222" s="13">
        <f t="shared" ca="1" si="39"/>
        <v>85</v>
      </c>
    </row>
    <row r="223" spans="1:34" x14ac:dyDescent="0.25">
      <c r="A223" s="13" t="s">
        <v>5</v>
      </c>
      <c r="B223" s="13" t="s">
        <v>5</v>
      </c>
      <c r="C223" s="13" t="s">
        <v>297</v>
      </c>
      <c r="D223" s="13" t="s">
        <v>298</v>
      </c>
      <c r="E223" s="13" t="s">
        <v>725</v>
      </c>
      <c r="F223" s="13">
        <v>1</v>
      </c>
      <c r="G223" s="2" t="s">
        <v>269</v>
      </c>
      <c r="H223" s="13" t="s">
        <v>1</v>
      </c>
      <c r="I223" s="13" t="s">
        <v>140</v>
      </c>
      <c r="J223" s="13" t="s">
        <v>139</v>
      </c>
      <c r="K223" s="109">
        <v>44468</v>
      </c>
      <c r="P223" s="110">
        <v>44504</v>
      </c>
      <c r="Q223" s="13" t="str">
        <f t="shared" si="30"/>
        <v>BUCACRD024353CADENASNUTRESA</v>
      </c>
      <c r="R223" s="2">
        <v>1</v>
      </c>
      <c r="S223" s="13">
        <v>1</v>
      </c>
      <c r="T223" s="123">
        <f t="shared" si="31"/>
        <v>1</v>
      </c>
      <c r="U223" s="13">
        <f t="shared" si="32"/>
        <v>0</v>
      </c>
      <c r="V223" s="123">
        <f t="shared" si="33"/>
        <v>0</v>
      </c>
      <c r="X223" s="13">
        <v>35000000</v>
      </c>
      <c r="Y223" s="13">
        <v>100000000</v>
      </c>
      <c r="Z223" s="13">
        <v>100000000</v>
      </c>
      <c r="AA223" s="13">
        <f t="shared" si="34"/>
        <v>3.5000000000000002E+23</v>
      </c>
      <c r="AB223" s="13">
        <f t="shared" si="35"/>
        <v>3.5000000000000002E+23</v>
      </c>
      <c r="AC223" s="13">
        <f t="shared" si="36"/>
        <v>2.4305555555555558E+17</v>
      </c>
      <c r="AD223" s="110">
        <f t="shared" si="37"/>
        <v>44472</v>
      </c>
      <c r="AE223" s="13" t="e">
        <f>IF(AND(AD223&lt;=$AI$4,#REF!&lt;1),1,"")</f>
        <v>#REF!</v>
      </c>
      <c r="AF223" s="110">
        <f t="shared" ca="1" si="38"/>
        <v>44553</v>
      </c>
      <c r="AH223" s="13">
        <f t="shared" ca="1" si="39"/>
        <v>85</v>
      </c>
    </row>
    <row r="224" spans="1:34" x14ac:dyDescent="0.25">
      <c r="A224" s="13" t="s">
        <v>8</v>
      </c>
      <c r="B224" s="13" t="s">
        <v>8</v>
      </c>
      <c r="C224" s="13" t="s">
        <v>297</v>
      </c>
      <c r="D224" s="13" t="s">
        <v>298</v>
      </c>
      <c r="E224" s="13" t="s">
        <v>725</v>
      </c>
      <c r="F224" s="13">
        <v>2</v>
      </c>
      <c r="G224" s="2" t="s">
        <v>269</v>
      </c>
      <c r="H224" s="13" t="s">
        <v>1</v>
      </c>
      <c r="I224" s="13" t="s">
        <v>140</v>
      </c>
      <c r="J224" s="13" t="s">
        <v>139</v>
      </c>
      <c r="K224" s="109">
        <v>44468</v>
      </c>
      <c r="P224" s="110">
        <v>44504</v>
      </c>
      <c r="Q224" s="13" t="str">
        <f t="shared" si="30"/>
        <v>IBA1CRD024353CADENASNUTRESA</v>
      </c>
      <c r="R224" s="2">
        <v>2</v>
      </c>
      <c r="S224" s="13">
        <v>2</v>
      </c>
      <c r="T224" s="123">
        <f t="shared" si="31"/>
        <v>1</v>
      </c>
      <c r="U224" s="13">
        <f t="shared" si="32"/>
        <v>0</v>
      </c>
      <c r="V224" s="123">
        <f t="shared" si="33"/>
        <v>0</v>
      </c>
      <c r="X224" s="13">
        <v>35000000</v>
      </c>
      <c r="Y224" s="13">
        <v>100000000</v>
      </c>
      <c r="Z224" s="13">
        <v>100000000</v>
      </c>
      <c r="AA224" s="13">
        <f t="shared" si="34"/>
        <v>3.5000000000000002E+23</v>
      </c>
      <c r="AB224" s="13">
        <f t="shared" si="35"/>
        <v>7.0000000000000004E+23</v>
      </c>
      <c r="AC224" s="13">
        <f t="shared" si="36"/>
        <v>4.8611111111111117E+17</v>
      </c>
      <c r="AD224" s="110">
        <f t="shared" si="37"/>
        <v>44472</v>
      </c>
      <c r="AE224" s="13" t="e">
        <f>IF(AND(AD224&lt;=$AI$4,#REF!&lt;1),1,"")</f>
        <v>#REF!</v>
      </c>
      <c r="AF224" s="110">
        <f t="shared" ca="1" si="38"/>
        <v>44553</v>
      </c>
      <c r="AH224" s="13">
        <f t="shared" ca="1" si="39"/>
        <v>85</v>
      </c>
    </row>
    <row r="225" spans="1:34" x14ac:dyDescent="0.25">
      <c r="A225" s="13" t="s">
        <v>9</v>
      </c>
      <c r="B225" s="13" t="s">
        <v>9</v>
      </c>
      <c r="C225" s="13" t="s">
        <v>297</v>
      </c>
      <c r="D225" s="13" t="s">
        <v>298</v>
      </c>
      <c r="E225" s="13" t="s">
        <v>725</v>
      </c>
      <c r="F225" s="13">
        <v>4</v>
      </c>
      <c r="G225" s="2" t="s">
        <v>269</v>
      </c>
      <c r="H225" s="13" t="s">
        <v>1</v>
      </c>
      <c r="I225" s="13" t="s">
        <v>140</v>
      </c>
      <c r="J225" s="13" t="s">
        <v>139</v>
      </c>
      <c r="K225" s="109">
        <v>44468</v>
      </c>
      <c r="Q225" s="13" t="str">
        <f t="shared" si="30"/>
        <v>MEDECRD024353CADENASNUTRESA</v>
      </c>
      <c r="T225" s="123">
        <f t="shared" si="31"/>
        <v>0</v>
      </c>
      <c r="U225" s="13">
        <f t="shared" si="32"/>
        <v>0</v>
      </c>
      <c r="V225" s="123">
        <f t="shared" si="33"/>
        <v>0</v>
      </c>
      <c r="X225" s="13">
        <v>35000000</v>
      </c>
      <c r="Y225" s="13">
        <v>100000000</v>
      </c>
      <c r="Z225" s="13">
        <v>100000000</v>
      </c>
      <c r="AA225" s="13">
        <f t="shared" si="34"/>
        <v>3.5000000000000002E+23</v>
      </c>
      <c r="AB225" s="13">
        <f t="shared" si="35"/>
        <v>1.4000000000000001E+24</v>
      </c>
      <c r="AC225" s="13">
        <f t="shared" si="36"/>
        <v>9.7222222222222234E+17</v>
      </c>
      <c r="AD225" s="110">
        <f t="shared" si="37"/>
        <v>44472</v>
      </c>
      <c r="AE225" s="13" t="e">
        <f>IF(AND(AD225&lt;=$AI$4,#REF!&lt;1),1,"")</f>
        <v>#REF!</v>
      </c>
      <c r="AF225" s="110">
        <f t="shared" ca="1" si="38"/>
        <v>44553</v>
      </c>
      <c r="AH225" s="13">
        <f t="shared" ca="1" si="39"/>
        <v>85</v>
      </c>
    </row>
    <row r="226" spans="1:34" x14ac:dyDescent="0.25">
      <c r="A226" s="13" t="s">
        <v>150</v>
      </c>
      <c r="B226" s="13" t="s">
        <v>150</v>
      </c>
      <c r="C226" s="13" t="s">
        <v>297</v>
      </c>
      <c r="D226" s="13" t="s">
        <v>298</v>
      </c>
      <c r="E226" s="13" t="s">
        <v>725</v>
      </c>
      <c r="F226" s="13">
        <v>1</v>
      </c>
      <c r="G226" s="2" t="s">
        <v>269</v>
      </c>
      <c r="H226" s="13" t="s">
        <v>1</v>
      </c>
      <c r="I226" s="13" t="s">
        <v>140</v>
      </c>
      <c r="J226" s="13" t="s">
        <v>139</v>
      </c>
      <c r="K226" s="109">
        <v>44468</v>
      </c>
      <c r="P226" s="110">
        <v>44504</v>
      </c>
      <c r="Q226" s="13" t="str">
        <f t="shared" si="30"/>
        <v>VILACRD024353CADENASNUTRESA</v>
      </c>
      <c r="R226" s="2">
        <v>1</v>
      </c>
      <c r="S226" s="13">
        <v>1</v>
      </c>
      <c r="T226" s="123">
        <f t="shared" si="31"/>
        <v>1</v>
      </c>
      <c r="U226" s="13">
        <f t="shared" si="32"/>
        <v>0</v>
      </c>
      <c r="V226" s="123">
        <f t="shared" si="33"/>
        <v>0</v>
      </c>
      <c r="X226" s="13">
        <v>35000000</v>
      </c>
      <c r="Y226" s="13">
        <v>100000000</v>
      </c>
      <c r="Z226" s="13">
        <v>100000000</v>
      </c>
      <c r="AA226" s="13">
        <f t="shared" si="34"/>
        <v>3.5000000000000002E+23</v>
      </c>
      <c r="AB226" s="13">
        <f t="shared" si="35"/>
        <v>3.5000000000000002E+23</v>
      </c>
      <c r="AC226" s="13">
        <f t="shared" si="36"/>
        <v>2.4305555555555558E+17</v>
      </c>
      <c r="AD226" s="110">
        <f t="shared" si="37"/>
        <v>44472</v>
      </c>
      <c r="AE226" s="13" t="e">
        <f>IF(AND(AD226&lt;=$AI$4,#REF!&lt;1),1,"")</f>
        <v>#REF!</v>
      </c>
      <c r="AF226" s="110">
        <f t="shared" ca="1" si="38"/>
        <v>44553</v>
      </c>
      <c r="AH226" s="13">
        <f t="shared" ca="1" si="39"/>
        <v>85</v>
      </c>
    </row>
    <row r="227" spans="1:34" x14ac:dyDescent="0.25">
      <c r="A227" s="13" t="s">
        <v>4</v>
      </c>
      <c r="B227" s="13" t="s">
        <v>4</v>
      </c>
      <c r="C227" s="13" t="s">
        <v>299</v>
      </c>
      <c r="D227" s="13" t="s">
        <v>300</v>
      </c>
      <c r="E227" s="13" t="s">
        <v>725</v>
      </c>
      <c r="F227" s="13">
        <v>2</v>
      </c>
      <c r="G227" s="2" t="s">
        <v>269</v>
      </c>
      <c r="H227" s="13" t="s">
        <v>1</v>
      </c>
      <c r="I227" s="13" t="s">
        <v>140</v>
      </c>
      <c r="J227" s="13" t="s">
        <v>139</v>
      </c>
      <c r="K227" s="109">
        <v>44468</v>
      </c>
      <c r="P227" s="110">
        <v>44504</v>
      </c>
      <c r="Q227" s="13" t="str">
        <f t="shared" si="30"/>
        <v>BGTACRD024354CADENASNUTRESA</v>
      </c>
      <c r="R227" s="2">
        <v>2</v>
      </c>
      <c r="S227" s="13">
        <v>1</v>
      </c>
      <c r="T227" s="123">
        <f t="shared" si="31"/>
        <v>1</v>
      </c>
      <c r="U227" s="13">
        <f t="shared" si="32"/>
        <v>1</v>
      </c>
      <c r="V227" s="123">
        <f t="shared" si="33"/>
        <v>0.5</v>
      </c>
      <c r="X227" s="13">
        <v>172000000</v>
      </c>
      <c r="Y227" s="13">
        <v>172000000</v>
      </c>
      <c r="Z227" s="13">
        <v>172000000</v>
      </c>
      <c r="AA227" s="13">
        <f t="shared" si="34"/>
        <v>5.0884479999999995E+24</v>
      </c>
      <c r="AB227" s="13">
        <f t="shared" si="35"/>
        <v>1.0176895999999999E+25</v>
      </c>
      <c r="AC227" s="13">
        <f t="shared" si="36"/>
        <v>7.0672888888888883E+18</v>
      </c>
      <c r="AD227" s="110">
        <f t="shared" si="37"/>
        <v>44472</v>
      </c>
      <c r="AE227" s="13" t="e">
        <f>IF(AND(AD227&lt;=$AI$4,#REF!&lt;1),1,"")</f>
        <v>#REF!</v>
      </c>
      <c r="AF227" s="110">
        <f t="shared" ca="1" si="38"/>
        <v>44553</v>
      </c>
      <c r="AH227" s="13">
        <f t="shared" ca="1" si="39"/>
        <v>85</v>
      </c>
    </row>
    <row r="228" spans="1:34" x14ac:dyDescent="0.25">
      <c r="A228" s="13" t="s">
        <v>6</v>
      </c>
      <c r="B228" s="13" t="s">
        <v>6</v>
      </c>
      <c r="C228" s="13" t="s">
        <v>299</v>
      </c>
      <c r="D228" s="13" t="s">
        <v>300</v>
      </c>
      <c r="E228" s="13" t="s">
        <v>725</v>
      </c>
      <c r="F228" s="13">
        <v>1</v>
      </c>
      <c r="G228" s="2" t="s">
        <v>269</v>
      </c>
      <c r="H228" s="13" t="s">
        <v>1</v>
      </c>
      <c r="I228" s="13" t="s">
        <v>140</v>
      </c>
      <c r="J228" s="13" t="s">
        <v>139</v>
      </c>
      <c r="K228" s="109">
        <v>44468</v>
      </c>
      <c r="P228" s="110">
        <v>44504</v>
      </c>
      <c r="Q228" s="13" t="str">
        <f t="shared" si="30"/>
        <v>CALICRD024354CADENASNUTRESA</v>
      </c>
      <c r="R228" s="2">
        <v>1</v>
      </c>
      <c r="S228" s="13">
        <v>1</v>
      </c>
      <c r="T228" s="123">
        <f t="shared" si="31"/>
        <v>1</v>
      </c>
      <c r="U228" s="13">
        <f t="shared" si="32"/>
        <v>0</v>
      </c>
      <c r="V228" s="123">
        <f t="shared" si="33"/>
        <v>0</v>
      </c>
      <c r="X228" s="13">
        <v>172000000</v>
      </c>
      <c r="Y228" s="13">
        <v>172000000</v>
      </c>
      <c r="Z228" s="13">
        <v>172000000</v>
      </c>
      <c r="AA228" s="13">
        <f t="shared" si="34"/>
        <v>5.0884479999999995E+24</v>
      </c>
      <c r="AB228" s="13">
        <f t="shared" si="35"/>
        <v>5.0884479999999995E+24</v>
      </c>
      <c r="AC228" s="13">
        <f t="shared" si="36"/>
        <v>3.5336444444444442E+18</v>
      </c>
      <c r="AD228" s="110">
        <f t="shared" si="37"/>
        <v>44472</v>
      </c>
      <c r="AE228" s="13" t="e">
        <f>IF(AND(AD228&lt;=$AI$4,#REF!&lt;1),1,"")</f>
        <v>#REF!</v>
      </c>
      <c r="AF228" s="110">
        <f t="shared" ca="1" si="38"/>
        <v>44553</v>
      </c>
      <c r="AH228" s="13">
        <f t="shared" ca="1" si="39"/>
        <v>85</v>
      </c>
    </row>
    <row r="229" spans="1:34" x14ac:dyDescent="0.25">
      <c r="A229" s="13" t="s">
        <v>9</v>
      </c>
      <c r="B229" s="13" t="s">
        <v>9</v>
      </c>
      <c r="C229" s="13" t="s">
        <v>299</v>
      </c>
      <c r="D229" s="13" t="s">
        <v>300</v>
      </c>
      <c r="E229" s="13" t="s">
        <v>725</v>
      </c>
      <c r="F229" s="13">
        <v>4</v>
      </c>
      <c r="G229" s="2" t="s">
        <v>269</v>
      </c>
      <c r="H229" s="13" t="s">
        <v>1</v>
      </c>
      <c r="I229" s="13" t="s">
        <v>140</v>
      </c>
      <c r="J229" s="13" t="s">
        <v>139</v>
      </c>
      <c r="K229" s="109">
        <v>44468</v>
      </c>
      <c r="Q229" s="13" t="str">
        <f t="shared" si="30"/>
        <v>MEDECRD024354CADENASNUTRESA</v>
      </c>
      <c r="T229" s="123">
        <f t="shared" si="31"/>
        <v>0</v>
      </c>
      <c r="U229" s="13">
        <f t="shared" si="32"/>
        <v>0</v>
      </c>
      <c r="V229" s="123">
        <f t="shared" si="33"/>
        <v>0</v>
      </c>
      <c r="X229" s="13">
        <v>172000000</v>
      </c>
      <c r="Y229" s="13">
        <v>172000000</v>
      </c>
      <c r="Z229" s="13">
        <v>172000000</v>
      </c>
      <c r="AA229" s="13">
        <f t="shared" si="34"/>
        <v>5.0884479999999995E+24</v>
      </c>
      <c r="AB229" s="13">
        <f t="shared" si="35"/>
        <v>2.0353791999999998E+25</v>
      </c>
      <c r="AC229" s="13">
        <f t="shared" si="36"/>
        <v>1.4134577777777777E+19</v>
      </c>
      <c r="AD229" s="110">
        <f t="shared" si="37"/>
        <v>44472</v>
      </c>
      <c r="AE229" s="13" t="e">
        <f>IF(AND(AD229&lt;=$AI$4,#REF!&lt;1),1,"")</f>
        <v>#REF!</v>
      </c>
      <c r="AF229" s="110">
        <f t="shared" ca="1" si="38"/>
        <v>44553</v>
      </c>
      <c r="AH229" s="13">
        <f t="shared" ca="1" si="39"/>
        <v>85</v>
      </c>
    </row>
    <row r="230" spans="1:34" x14ac:dyDescent="0.25">
      <c r="A230" s="13" t="s">
        <v>10</v>
      </c>
      <c r="B230" s="13" t="s">
        <v>10</v>
      </c>
      <c r="C230" s="13" t="s">
        <v>299</v>
      </c>
      <c r="D230" s="13" t="s">
        <v>300</v>
      </c>
      <c r="E230" s="13" t="s">
        <v>725</v>
      </c>
      <c r="F230" s="13">
        <v>1</v>
      </c>
      <c r="G230" s="2" t="s">
        <v>269</v>
      </c>
      <c r="H230" s="13" t="s">
        <v>1</v>
      </c>
      <c r="I230" s="13" t="s">
        <v>140</v>
      </c>
      <c r="J230" s="13" t="s">
        <v>139</v>
      </c>
      <c r="K230" s="109">
        <v>44468</v>
      </c>
      <c r="P230" s="110">
        <v>44504</v>
      </c>
      <c r="Q230" s="13" t="str">
        <f t="shared" si="30"/>
        <v>PERECRD024354CADENASNUTRESA</v>
      </c>
      <c r="R230" s="2">
        <v>1</v>
      </c>
      <c r="S230" s="13">
        <v>1</v>
      </c>
      <c r="T230" s="123">
        <f t="shared" si="31"/>
        <v>1</v>
      </c>
      <c r="U230" s="13">
        <f t="shared" si="32"/>
        <v>0</v>
      </c>
      <c r="V230" s="123">
        <f t="shared" si="33"/>
        <v>0</v>
      </c>
      <c r="X230" s="13">
        <v>172000000</v>
      </c>
      <c r="Y230" s="13">
        <v>172000000</v>
      </c>
      <c r="Z230" s="13">
        <v>172000000</v>
      </c>
      <c r="AA230" s="13">
        <f t="shared" si="34"/>
        <v>5.0884479999999995E+24</v>
      </c>
      <c r="AB230" s="13">
        <f t="shared" si="35"/>
        <v>5.0884479999999995E+24</v>
      </c>
      <c r="AC230" s="13">
        <f t="shared" si="36"/>
        <v>3.5336444444444442E+18</v>
      </c>
      <c r="AD230" s="110">
        <f t="shared" si="37"/>
        <v>44472</v>
      </c>
      <c r="AE230" s="13" t="e">
        <f>IF(AND(AD230&lt;=$AI$4,#REF!&lt;1),1,"")</f>
        <v>#REF!</v>
      </c>
      <c r="AF230" s="110">
        <f t="shared" ca="1" si="38"/>
        <v>44553</v>
      </c>
      <c r="AH230" s="13">
        <f t="shared" ca="1" si="39"/>
        <v>85</v>
      </c>
    </row>
    <row r="231" spans="1:34" x14ac:dyDescent="0.25">
      <c r="A231" s="13" t="s">
        <v>5</v>
      </c>
      <c r="B231" s="13" t="s">
        <v>5</v>
      </c>
      <c r="C231" s="13" t="s">
        <v>1182</v>
      </c>
      <c r="D231" s="13" t="s">
        <v>742</v>
      </c>
      <c r="E231" s="13" t="s">
        <v>728</v>
      </c>
      <c r="F231" s="13">
        <v>40</v>
      </c>
      <c r="G231" s="2" t="s">
        <v>390</v>
      </c>
      <c r="H231" s="13" t="s">
        <v>0</v>
      </c>
      <c r="I231" s="13" t="s">
        <v>140</v>
      </c>
      <c r="J231" s="13" t="s">
        <v>46</v>
      </c>
      <c r="K231" s="109">
        <v>44505</v>
      </c>
      <c r="L231" s="109">
        <v>44515</v>
      </c>
      <c r="Q231" s="13" t="str">
        <f t="shared" si="30"/>
        <v>BUCACRD023562AUTOSERVICIONUTRESA</v>
      </c>
      <c r="T231" s="123">
        <f t="shared" si="31"/>
        <v>0</v>
      </c>
      <c r="U231" s="13">
        <f t="shared" si="32"/>
        <v>0</v>
      </c>
      <c r="V231" s="123">
        <f t="shared" si="33"/>
        <v>0</v>
      </c>
      <c r="X231" s="13">
        <v>1000000</v>
      </c>
      <c r="Y231" s="13">
        <v>57000000</v>
      </c>
      <c r="Z231" s="13">
        <v>57000000</v>
      </c>
      <c r="AA231" s="13">
        <f t="shared" si="34"/>
        <v>3.2489999999999997E+21</v>
      </c>
      <c r="AB231" s="13">
        <f t="shared" si="35"/>
        <v>1.2995999999999999E+23</v>
      </c>
      <c r="AC231" s="13">
        <f t="shared" si="36"/>
        <v>9.025E+16</v>
      </c>
      <c r="AD231" s="110">
        <f t="shared" si="37"/>
        <v>44509</v>
      </c>
      <c r="AE231" s="13" t="e">
        <f>IF(AND(AD231&lt;=$AI$4,#REF!&lt;1),1,"")</f>
        <v>#REF!</v>
      </c>
      <c r="AF231" s="110">
        <f t="shared" ca="1" si="38"/>
        <v>44553</v>
      </c>
      <c r="AH231" s="13">
        <f t="shared" ca="1" si="39"/>
        <v>48</v>
      </c>
    </row>
    <row r="232" spans="1:34" x14ac:dyDescent="0.25">
      <c r="A232" s="13" t="s">
        <v>8</v>
      </c>
      <c r="B232" s="13" t="s">
        <v>8</v>
      </c>
      <c r="C232" s="13" t="s">
        <v>1182</v>
      </c>
      <c r="D232" s="13" t="s">
        <v>742</v>
      </c>
      <c r="E232" s="13" t="s">
        <v>728</v>
      </c>
      <c r="F232" s="13">
        <v>16</v>
      </c>
      <c r="G232" s="2" t="s">
        <v>390</v>
      </c>
      <c r="H232" s="13" t="s">
        <v>0</v>
      </c>
      <c r="I232" s="13" t="s">
        <v>140</v>
      </c>
      <c r="J232" s="13" t="s">
        <v>46</v>
      </c>
      <c r="K232" s="109">
        <v>44505</v>
      </c>
      <c r="L232" s="109">
        <v>44515</v>
      </c>
      <c r="Q232" s="13" t="str">
        <f t="shared" si="30"/>
        <v>IBA1CRD023562AUTOSERVICIONUTRESA</v>
      </c>
      <c r="T232" s="123">
        <f t="shared" si="31"/>
        <v>0</v>
      </c>
      <c r="U232" s="13">
        <f t="shared" si="32"/>
        <v>0</v>
      </c>
      <c r="V232" s="123">
        <f t="shared" si="33"/>
        <v>0</v>
      </c>
      <c r="X232" s="13">
        <v>1000000</v>
      </c>
      <c r="Y232" s="13">
        <v>57000000</v>
      </c>
      <c r="Z232" s="13">
        <v>57000000</v>
      </c>
      <c r="AA232" s="13">
        <f t="shared" si="34"/>
        <v>3.2489999999999997E+21</v>
      </c>
      <c r="AB232" s="13">
        <f t="shared" si="35"/>
        <v>5.1983999999999996E+22</v>
      </c>
      <c r="AC232" s="13">
        <f t="shared" si="36"/>
        <v>3.61E+16</v>
      </c>
      <c r="AD232" s="110">
        <f t="shared" si="37"/>
        <v>44509</v>
      </c>
      <c r="AE232" s="13" t="e">
        <f>IF(AND(AD232&lt;=$AI$4,#REF!&lt;1),1,"")</f>
        <v>#REF!</v>
      </c>
      <c r="AF232" s="110">
        <f t="shared" ca="1" si="38"/>
        <v>44553</v>
      </c>
      <c r="AH232" s="13">
        <f t="shared" ca="1" si="39"/>
        <v>48</v>
      </c>
    </row>
    <row r="233" spans="1:34" x14ac:dyDescent="0.25">
      <c r="A233" s="13" t="s">
        <v>5</v>
      </c>
      <c r="B233" s="13" t="s">
        <v>5</v>
      </c>
      <c r="C233" s="13" t="s">
        <v>245</v>
      </c>
      <c r="D233" s="13" t="s">
        <v>743</v>
      </c>
      <c r="E233" s="13" t="s">
        <v>1183</v>
      </c>
      <c r="F233" s="13">
        <v>40</v>
      </c>
      <c r="G233" s="2" t="s">
        <v>390</v>
      </c>
      <c r="H233" s="13" t="s">
        <v>0</v>
      </c>
      <c r="I233" s="13" t="s">
        <v>140</v>
      </c>
      <c r="J233" s="13" t="s">
        <v>46</v>
      </c>
      <c r="K233" s="109">
        <v>44518</v>
      </c>
      <c r="L233" s="109">
        <v>44515</v>
      </c>
      <c r="Q233" s="13" t="str">
        <f t="shared" si="30"/>
        <v>BUCACRD023535AUTOSERVICIONUTRESA</v>
      </c>
      <c r="T233" s="123">
        <f t="shared" si="31"/>
        <v>0</v>
      </c>
      <c r="U233" s="13">
        <f t="shared" si="32"/>
        <v>0</v>
      </c>
      <c r="V233" s="123">
        <f t="shared" si="33"/>
        <v>0</v>
      </c>
      <c r="X233" s="13">
        <v>19000000</v>
      </c>
      <c r="Y233" s="13">
        <v>32000000</v>
      </c>
      <c r="Z233" s="13">
        <v>32000000</v>
      </c>
      <c r="AA233" s="13">
        <f t="shared" si="34"/>
        <v>1.9456E+22</v>
      </c>
      <c r="AB233" s="13">
        <f t="shared" si="35"/>
        <v>7.7824E+23</v>
      </c>
      <c r="AC233" s="13">
        <f t="shared" si="36"/>
        <v>5.4044444444444442E+17</v>
      </c>
      <c r="AD233" s="110">
        <f t="shared" si="37"/>
        <v>44522</v>
      </c>
      <c r="AE233" s="13" t="e">
        <f>IF(AND(AD233&lt;=$AI$4,#REF!&lt;1),1,"")</f>
        <v>#REF!</v>
      </c>
      <c r="AF233" s="110">
        <f t="shared" ca="1" si="38"/>
        <v>44553</v>
      </c>
      <c r="AH233" s="13">
        <f t="shared" ca="1" si="39"/>
        <v>35</v>
      </c>
    </row>
    <row r="234" spans="1:34" x14ac:dyDescent="0.25">
      <c r="A234" s="13" t="s">
        <v>6</v>
      </c>
      <c r="B234" s="13" t="s">
        <v>6</v>
      </c>
      <c r="C234" s="13" t="s">
        <v>245</v>
      </c>
      <c r="D234" s="13" t="s">
        <v>743</v>
      </c>
      <c r="E234" s="13" t="s">
        <v>1183</v>
      </c>
      <c r="F234" s="13">
        <v>2</v>
      </c>
      <c r="G234" s="2" t="s">
        <v>390</v>
      </c>
      <c r="H234" s="13" t="s">
        <v>0</v>
      </c>
      <c r="I234" s="13" t="s">
        <v>140</v>
      </c>
      <c r="J234" s="13" t="s">
        <v>46</v>
      </c>
      <c r="K234" s="109">
        <v>44518</v>
      </c>
      <c r="L234" s="109">
        <v>44515</v>
      </c>
      <c r="Q234" s="13" t="str">
        <f t="shared" si="30"/>
        <v>CALICRD023535AUTOSERVICIONUTRESA</v>
      </c>
      <c r="T234" s="123">
        <f t="shared" si="31"/>
        <v>0</v>
      </c>
      <c r="U234" s="13">
        <f t="shared" si="32"/>
        <v>0</v>
      </c>
      <c r="V234" s="123">
        <f t="shared" si="33"/>
        <v>0</v>
      </c>
      <c r="X234" s="13">
        <v>19000000</v>
      </c>
      <c r="Y234" s="13">
        <v>32000000</v>
      </c>
      <c r="Z234" s="13">
        <v>32000000</v>
      </c>
      <c r="AA234" s="13">
        <f t="shared" si="34"/>
        <v>1.9456E+22</v>
      </c>
      <c r="AB234" s="13">
        <f t="shared" si="35"/>
        <v>3.8912E+22</v>
      </c>
      <c r="AC234" s="13">
        <f t="shared" si="36"/>
        <v>2.7022222222222224E+16</v>
      </c>
      <c r="AD234" s="110">
        <f t="shared" si="37"/>
        <v>44522</v>
      </c>
      <c r="AE234" s="13" t="e">
        <f>IF(AND(AD234&lt;=$AI$4,#REF!&lt;1),1,"")</f>
        <v>#REF!</v>
      </c>
      <c r="AF234" s="110">
        <f t="shared" ca="1" si="38"/>
        <v>44553</v>
      </c>
      <c r="AH234" s="13">
        <f t="shared" ca="1" si="39"/>
        <v>35</v>
      </c>
    </row>
    <row r="235" spans="1:34" x14ac:dyDescent="0.25">
      <c r="A235" s="13" t="s">
        <v>8</v>
      </c>
      <c r="B235" s="13" t="s">
        <v>8</v>
      </c>
      <c r="C235" s="13" t="s">
        <v>245</v>
      </c>
      <c r="D235" s="13" t="s">
        <v>743</v>
      </c>
      <c r="E235" s="13" t="s">
        <v>1183</v>
      </c>
      <c r="F235" s="13">
        <v>2</v>
      </c>
      <c r="G235" s="2" t="s">
        <v>390</v>
      </c>
      <c r="H235" s="13" t="s">
        <v>0</v>
      </c>
      <c r="I235" s="13" t="s">
        <v>140</v>
      </c>
      <c r="J235" s="13" t="s">
        <v>46</v>
      </c>
      <c r="K235" s="109">
        <v>44518</v>
      </c>
      <c r="L235" s="109">
        <v>44515</v>
      </c>
      <c r="Q235" s="13" t="str">
        <f t="shared" si="30"/>
        <v>IBA1CRD023535AUTOSERVICIONUTRESA</v>
      </c>
      <c r="T235" s="123">
        <f t="shared" si="31"/>
        <v>0</v>
      </c>
      <c r="U235" s="13">
        <f t="shared" si="32"/>
        <v>0</v>
      </c>
      <c r="V235" s="123">
        <f t="shared" si="33"/>
        <v>0</v>
      </c>
      <c r="X235" s="13">
        <v>19000000</v>
      </c>
      <c r="Y235" s="13">
        <v>32000000</v>
      </c>
      <c r="Z235" s="13">
        <v>32000000</v>
      </c>
      <c r="AA235" s="13">
        <f t="shared" si="34"/>
        <v>1.9456E+22</v>
      </c>
      <c r="AB235" s="13">
        <f t="shared" si="35"/>
        <v>3.8912E+22</v>
      </c>
      <c r="AC235" s="13">
        <f t="shared" si="36"/>
        <v>2.7022222222222224E+16</v>
      </c>
      <c r="AD235" s="110">
        <f t="shared" si="37"/>
        <v>44522</v>
      </c>
      <c r="AE235" s="13" t="e">
        <f>IF(AND(AD235&lt;=$AI$4,#REF!&lt;1),1,"")</f>
        <v>#REF!</v>
      </c>
      <c r="AF235" s="110">
        <f t="shared" ca="1" si="38"/>
        <v>44553</v>
      </c>
      <c r="AH235" s="13">
        <f t="shared" ca="1" si="39"/>
        <v>35</v>
      </c>
    </row>
    <row r="236" spans="1:34" x14ac:dyDescent="0.25">
      <c r="A236" s="13" t="s">
        <v>8</v>
      </c>
      <c r="B236" s="13" t="s">
        <v>8</v>
      </c>
      <c r="C236" s="13" t="s">
        <v>244</v>
      </c>
      <c r="D236" s="13" t="s">
        <v>744</v>
      </c>
      <c r="E236" s="13" t="s">
        <v>1183</v>
      </c>
      <c r="F236" s="13">
        <v>2</v>
      </c>
      <c r="G236" s="2" t="s">
        <v>390</v>
      </c>
      <c r="H236" s="13" t="s">
        <v>0</v>
      </c>
      <c r="I236" s="13" t="s">
        <v>140</v>
      </c>
      <c r="J236" s="13" t="s">
        <v>46</v>
      </c>
      <c r="K236" s="109">
        <v>44518</v>
      </c>
      <c r="L236" s="109">
        <v>44515</v>
      </c>
      <c r="Q236" s="13" t="str">
        <f t="shared" si="30"/>
        <v>IBA1CRD023531AUTOSERVICIONUTRESA</v>
      </c>
      <c r="T236" s="123">
        <f t="shared" si="31"/>
        <v>0</v>
      </c>
      <c r="U236" s="13">
        <f t="shared" si="32"/>
        <v>0</v>
      </c>
      <c r="V236" s="123">
        <f t="shared" si="33"/>
        <v>0</v>
      </c>
      <c r="X236" s="13">
        <v>19000000</v>
      </c>
      <c r="Y236" s="13">
        <v>32000000</v>
      </c>
      <c r="Z236" s="13">
        <v>32000000</v>
      </c>
      <c r="AA236" s="13">
        <f t="shared" si="34"/>
        <v>1.9456E+22</v>
      </c>
      <c r="AB236" s="13">
        <f t="shared" si="35"/>
        <v>3.8912E+22</v>
      </c>
      <c r="AC236" s="13">
        <f t="shared" si="36"/>
        <v>2.7022222222222224E+16</v>
      </c>
      <c r="AD236" s="110">
        <f t="shared" si="37"/>
        <v>44522</v>
      </c>
      <c r="AE236" s="13" t="e">
        <f>IF(AND(AD236&lt;=$AI$4,#REF!&lt;1),1,"")</f>
        <v>#REF!</v>
      </c>
      <c r="AF236" s="110">
        <f t="shared" ca="1" si="38"/>
        <v>44553</v>
      </c>
      <c r="AH236" s="13">
        <f t="shared" ca="1" si="39"/>
        <v>35</v>
      </c>
    </row>
    <row r="237" spans="1:34" x14ac:dyDescent="0.25">
      <c r="A237" s="13" t="s">
        <v>4</v>
      </c>
      <c r="B237" s="13" t="s">
        <v>4</v>
      </c>
      <c r="C237" s="13" t="s">
        <v>391</v>
      </c>
      <c r="D237" s="13" t="s">
        <v>745</v>
      </c>
      <c r="E237" s="13" t="s">
        <v>727</v>
      </c>
      <c r="F237" s="13">
        <v>1</v>
      </c>
      <c r="G237" s="2" t="s">
        <v>390</v>
      </c>
      <c r="H237" s="13" t="s">
        <v>0</v>
      </c>
      <c r="I237" s="13" t="s">
        <v>140</v>
      </c>
      <c r="J237" s="13" t="s">
        <v>46</v>
      </c>
      <c r="K237" s="109">
        <v>44513</v>
      </c>
      <c r="L237" s="109">
        <v>44515</v>
      </c>
      <c r="Q237" s="13" t="str">
        <f t="shared" si="30"/>
        <v>BGTAACT000484AUTOSERVICIONUTRESA</v>
      </c>
      <c r="T237" s="123">
        <f t="shared" si="31"/>
        <v>0</v>
      </c>
      <c r="U237" s="13">
        <f t="shared" si="32"/>
        <v>0</v>
      </c>
      <c r="V237" s="123">
        <f t="shared" si="33"/>
        <v>0</v>
      </c>
      <c r="X237" s="13">
        <v>60000000</v>
      </c>
      <c r="Y237" s="13">
        <v>60000000</v>
      </c>
      <c r="Z237" s="13">
        <v>60000000</v>
      </c>
      <c r="AA237" s="13">
        <f t="shared" si="34"/>
        <v>2.1600000000000002E+23</v>
      </c>
      <c r="AB237" s="13">
        <f t="shared" si="35"/>
        <v>2.1600000000000002E+23</v>
      </c>
      <c r="AC237" s="13">
        <f t="shared" si="36"/>
        <v>1.5E+17</v>
      </c>
      <c r="AD237" s="110">
        <f t="shared" si="37"/>
        <v>44517</v>
      </c>
      <c r="AE237" s="13" t="e">
        <f>IF(AND(AD237&lt;=$AI$4,#REF!&lt;1),1,"")</f>
        <v>#REF!</v>
      </c>
      <c r="AF237" s="110">
        <f t="shared" ca="1" si="38"/>
        <v>44553</v>
      </c>
      <c r="AH237" s="13">
        <f t="shared" ca="1" si="39"/>
        <v>40</v>
      </c>
    </row>
    <row r="238" spans="1:34" x14ac:dyDescent="0.25">
      <c r="A238" s="13" t="s">
        <v>6</v>
      </c>
      <c r="B238" s="13" t="s">
        <v>6</v>
      </c>
      <c r="C238" s="13" t="s">
        <v>391</v>
      </c>
      <c r="D238" s="13" t="s">
        <v>745</v>
      </c>
      <c r="E238" s="13" t="s">
        <v>727</v>
      </c>
      <c r="F238" s="13">
        <v>3</v>
      </c>
      <c r="G238" s="2" t="s">
        <v>390</v>
      </c>
      <c r="H238" s="13" t="s">
        <v>0</v>
      </c>
      <c r="I238" s="13" t="s">
        <v>140</v>
      </c>
      <c r="J238" s="13" t="s">
        <v>46</v>
      </c>
      <c r="K238" s="109">
        <v>44513</v>
      </c>
      <c r="L238" s="109">
        <v>44515</v>
      </c>
      <c r="Q238" s="13" t="str">
        <f t="shared" si="30"/>
        <v>CALIACT000484AUTOSERVICIONUTRESA</v>
      </c>
      <c r="T238" s="123">
        <f t="shared" si="31"/>
        <v>0</v>
      </c>
      <c r="U238" s="13">
        <f t="shared" si="32"/>
        <v>0</v>
      </c>
      <c r="V238" s="123">
        <f t="shared" si="33"/>
        <v>0</v>
      </c>
      <c r="X238" s="13">
        <v>60000000</v>
      </c>
      <c r="Y238" s="13">
        <v>60000000</v>
      </c>
      <c r="Z238" s="13">
        <v>60000000</v>
      </c>
      <c r="AA238" s="13">
        <f t="shared" si="34"/>
        <v>2.1600000000000002E+23</v>
      </c>
      <c r="AB238" s="13">
        <f t="shared" si="35"/>
        <v>6.4800000000000005E+23</v>
      </c>
      <c r="AC238" s="13">
        <f t="shared" si="36"/>
        <v>4.5000000000000006E+17</v>
      </c>
      <c r="AD238" s="110">
        <f t="shared" si="37"/>
        <v>44517</v>
      </c>
      <c r="AE238" s="13" t="e">
        <f>IF(AND(AD238&lt;=$AI$4,#REF!&lt;1),1,"")</f>
        <v>#REF!</v>
      </c>
      <c r="AF238" s="110">
        <f t="shared" ca="1" si="38"/>
        <v>44553</v>
      </c>
      <c r="AH238" s="13">
        <f t="shared" ca="1" si="39"/>
        <v>40</v>
      </c>
    </row>
    <row r="239" spans="1:34" x14ac:dyDescent="0.25">
      <c r="A239" s="13" t="s">
        <v>8</v>
      </c>
      <c r="B239" s="13" t="s">
        <v>8</v>
      </c>
      <c r="C239" s="13" t="s">
        <v>391</v>
      </c>
      <c r="D239" s="13" t="s">
        <v>745</v>
      </c>
      <c r="E239" s="13" t="s">
        <v>727</v>
      </c>
      <c r="F239" s="13">
        <v>2</v>
      </c>
      <c r="G239" s="2" t="s">
        <v>390</v>
      </c>
      <c r="H239" s="13" t="s">
        <v>0</v>
      </c>
      <c r="I239" s="13" t="s">
        <v>140</v>
      </c>
      <c r="J239" s="13" t="s">
        <v>46</v>
      </c>
      <c r="K239" s="109">
        <v>44513</v>
      </c>
      <c r="L239" s="109">
        <v>44515</v>
      </c>
      <c r="Q239" s="13" t="str">
        <f t="shared" si="30"/>
        <v>IBA1ACT000484AUTOSERVICIONUTRESA</v>
      </c>
      <c r="T239" s="123">
        <f t="shared" si="31"/>
        <v>0</v>
      </c>
      <c r="U239" s="13">
        <f t="shared" si="32"/>
        <v>0</v>
      </c>
      <c r="V239" s="123">
        <f t="shared" si="33"/>
        <v>0</v>
      </c>
      <c r="X239" s="13">
        <v>60000000</v>
      </c>
      <c r="Y239" s="13">
        <v>60000000</v>
      </c>
      <c r="Z239" s="13">
        <v>60000000</v>
      </c>
      <c r="AA239" s="13">
        <f t="shared" si="34"/>
        <v>2.1600000000000002E+23</v>
      </c>
      <c r="AB239" s="13">
        <f t="shared" si="35"/>
        <v>4.3200000000000003E+23</v>
      </c>
      <c r="AC239" s="13">
        <f t="shared" si="36"/>
        <v>3E+17</v>
      </c>
      <c r="AD239" s="110">
        <f t="shared" si="37"/>
        <v>44517</v>
      </c>
      <c r="AE239" s="13" t="e">
        <f>IF(AND(AD239&lt;=$AI$4,#REF!&lt;1),1,"")</f>
        <v>#REF!</v>
      </c>
      <c r="AF239" s="110">
        <f t="shared" ca="1" si="38"/>
        <v>44553</v>
      </c>
      <c r="AH239" s="13">
        <f t="shared" ca="1" si="39"/>
        <v>40</v>
      </c>
    </row>
    <row r="240" spans="1:34" x14ac:dyDescent="0.25">
      <c r="A240" s="13" t="s">
        <v>10</v>
      </c>
      <c r="B240" s="13" t="s">
        <v>10</v>
      </c>
      <c r="C240" s="13" t="s">
        <v>391</v>
      </c>
      <c r="D240" s="13" t="s">
        <v>745</v>
      </c>
      <c r="E240" s="13" t="s">
        <v>727</v>
      </c>
      <c r="F240" s="13">
        <v>2</v>
      </c>
      <c r="G240" s="2" t="s">
        <v>390</v>
      </c>
      <c r="H240" s="13" t="s">
        <v>0</v>
      </c>
      <c r="I240" s="13" t="s">
        <v>140</v>
      </c>
      <c r="J240" s="13" t="s">
        <v>46</v>
      </c>
      <c r="K240" s="109">
        <v>44513</v>
      </c>
      <c r="L240" s="109">
        <v>44515</v>
      </c>
      <c r="Q240" s="13" t="str">
        <f t="shared" si="30"/>
        <v>PEREACT000484AUTOSERVICIONUTRESA</v>
      </c>
      <c r="T240" s="123">
        <f t="shared" si="31"/>
        <v>0</v>
      </c>
      <c r="U240" s="13">
        <f t="shared" si="32"/>
        <v>0</v>
      </c>
      <c r="V240" s="123">
        <f t="shared" si="33"/>
        <v>0</v>
      </c>
      <c r="X240" s="13">
        <v>60000000</v>
      </c>
      <c r="Y240" s="13">
        <v>60000000</v>
      </c>
      <c r="Z240" s="13">
        <v>60000000</v>
      </c>
      <c r="AA240" s="13">
        <f t="shared" si="34"/>
        <v>2.1600000000000002E+23</v>
      </c>
      <c r="AB240" s="13">
        <f t="shared" si="35"/>
        <v>4.3200000000000003E+23</v>
      </c>
      <c r="AC240" s="13">
        <f t="shared" si="36"/>
        <v>3E+17</v>
      </c>
      <c r="AD240" s="110">
        <f t="shared" si="37"/>
        <v>44517</v>
      </c>
      <c r="AE240" s="13" t="e">
        <f>IF(AND(AD240&lt;=$AI$4,#REF!&lt;1),1,"")</f>
        <v>#REF!</v>
      </c>
      <c r="AF240" s="110">
        <f t="shared" ca="1" si="38"/>
        <v>44553</v>
      </c>
      <c r="AH240" s="13">
        <f t="shared" ca="1" si="39"/>
        <v>40</v>
      </c>
    </row>
    <row r="241" spans="1:34" x14ac:dyDescent="0.25">
      <c r="A241" s="13" t="s">
        <v>10</v>
      </c>
      <c r="B241" s="13" t="s">
        <v>10</v>
      </c>
      <c r="C241" s="13" t="s">
        <v>1184</v>
      </c>
      <c r="D241" s="13" t="s">
        <v>746</v>
      </c>
      <c r="E241" s="13" t="s">
        <v>727</v>
      </c>
      <c r="F241" s="13">
        <v>2</v>
      </c>
      <c r="G241" s="2" t="s">
        <v>390</v>
      </c>
      <c r="H241" s="13" t="s">
        <v>0</v>
      </c>
      <c r="I241" s="13" t="s">
        <v>140</v>
      </c>
      <c r="J241" s="13" t="s">
        <v>46</v>
      </c>
      <c r="K241" s="109">
        <v>44513</v>
      </c>
      <c r="L241" s="109">
        <v>44515</v>
      </c>
      <c r="Q241" s="13" t="str">
        <f t="shared" si="30"/>
        <v>PEREACT000481AUTOSERVICIONUTRESA</v>
      </c>
      <c r="T241" s="123">
        <f t="shared" si="31"/>
        <v>0</v>
      </c>
      <c r="U241" s="13">
        <f t="shared" si="32"/>
        <v>0</v>
      </c>
      <c r="V241" s="123">
        <f t="shared" si="33"/>
        <v>0</v>
      </c>
      <c r="X241" s="13">
        <v>60000000</v>
      </c>
      <c r="Y241" s="13">
        <v>60000000</v>
      </c>
      <c r="Z241" s="13">
        <v>60000000</v>
      </c>
      <c r="AA241" s="13">
        <f t="shared" si="34"/>
        <v>2.1600000000000002E+23</v>
      </c>
      <c r="AB241" s="13">
        <f t="shared" si="35"/>
        <v>4.3200000000000003E+23</v>
      </c>
      <c r="AC241" s="13">
        <f t="shared" si="36"/>
        <v>3E+17</v>
      </c>
      <c r="AD241" s="110">
        <f t="shared" si="37"/>
        <v>44517</v>
      </c>
      <c r="AE241" s="13" t="e">
        <f>IF(AND(AD241&lt;=$AI$4,#REF!&lt;1),1,"")</f>
        <v>#REF!</v>
      </c>
      <c r="AF241" s="110">
        <f t="shared" ca="1" si="38"/>
        <v>44553</v>
      </c>
      <c r="AH241" s="13">
        <f t="shared" ca="1" si="39"/>
        <v>40</v>
      </c>
    </row>
    <row r="242" spans="1:34" x14ac:dyDescent="0.25">
      <c r="A242" s="13" t="s">
        <v>6</v>
      </c>
      <c r="B242" s="13" t="s">
        <v>6</v>
      </c>
      <c r="C242" s="13" t="s">
        <v>1185</v>
      </c>
      <c r="D242" s="13" t="s">
        <v>747</v>
      </c>
      <c r="E242" s="13" t="s">
        <v>727</v>
      </c>
      <c r="F242" s="13">
        <v>1</v>
      </c>
      <c r="G242" s="2" t="s">
        <v>390</v>
      </c>
      <c r="H242" s="13" t="s">
        <v>0</v>
      </c>
      <c r="I242" s="13" t="s">
        <v>140</v>
      </c>
      <c r="J242" s="13" t="s">
        <v>46</v>
      </c>
      <c r="K242" s="109">
        <v>44513</v>
      </c>
      <c r="L242" s="109">
        <v>44515</v>
      </c>
      <c r="Q242" s="13" t="str">
        <f t="shared" si="30"/>
        <v>CALIACT000489AUTOSERVICIONUTRESA</v>
      </c>
      <c r="T242" s="123">
        <f t="shared" si="31"/>
        <v>0</v>
      </c>
      <c r="U242" s="13">
        <f t="shared" si="32"/>
        <v>0</v>
      </c>
      <c r="V242" s="123">
        <f t="shared" si="33"/>
        <v>0</v>
      </c>
      <c r="X242" s="13">
        <v>40000000</v>
      </c>
      <c r="Y242" s="13">
        <v>94000000</v>
      </c>
      <c r="Z242" s="13">
        <v>94000000</v>
      </c>
      <c r="AA242" s="13">
        <f t="shared" si="34"/>
        <v>3.5344000000000003E+23</v>
      </c>
      <c r="AB242" s="13">
        <f t="shared" si="35"/>
        <v>3.5344000000000003E+23</v>
      </c>
      <c r="AC242" s="13">
        <f t="shared" si="36"/>
        <v>2.4544444444444445E+17</v>
      </c>
      <c r="AD242" s="110">
        <f t="shared" si="37"/>
        <v>44517</v>
      </c>
      <c r="AE242" s="13" t="e">
        <f>IF(AND(AD242&lt;=$AI$4,#REF!&lt;1),1,"")</f>
        <v>#REF!</v>
      </c>
      <c r="AF242" s="110">
        <f t="shared" ca="1" si="38"/>
        <v>44553</v>
      </c>
      <c r="AH242" s="13">
        <f t="shared" ca="1" si="39"/>
        <v>40</v>
      </c>
    </row>
    <row r="243" spans="1:34" x14ac:dyDescent="0.25">
      <c r="A243" s="13" t="s">
        <v>8</v>
      </c>
      <c r="B243" s="13" t="s">
        <v>8</v>
      </c>
      <c r="C243" s="13" t="s">
        <v>1186</v>
      </c>
      <c r="D243" s="13" t="s">
        <v>748</v>
      </c>
      <c r="E243" s="13" t="s">
        <v>727</v>
      </c>
      <c r="F243" s="13">
        <v>1</v>
      </c>
      <c r="G243" s="2" t="s">
        <v>390</v>
      </c>
      <c r="H243" s="13" t="s">
        <v>0</v>
      </c>
      <c r="I243" s="13" t="s">
        <v>140</v>
      </c>
      <c r="J243" s="13" t="s">
        <v>46</v>
      </c>
      <c r="K243" s="109">
        <v>44513</v>
      </c>
      <c r="L243" s="109">
        <v>44515</v>
      </c>
      <c r="Q243" s="13" t="str">
        <f t="shared" si="30"/>
        <v>IBA1ACT000549AUTOSERVICIONUTRESA</v>
      </c>
      <c r="T243" s="123">
        <f t="shared" si="31"/>
        <v>0</v>
      </c>
      <c r="U243" s="13">
        <f t="shared" si="32"/>
        <v>0</v>
      </c>
      <c r="V243" s="123">
        <f t="shared" si="33"/>
        <v>0</v>
      </c>
      <c r="X243" s="13">
        <v>40000000</v>
      </c>
      <c r="Y243" s="13">
        <v>94000000</v>
      </c>
      <c r="Z243" s="13">
        <v>94000000</v>
      </c>
      <c r="AA243" s="13">
        <f t="shared" si="34"/>
        <v>3.5344000000000003E+23</v>
      </c>
      <c r="AB243" s="13">
        <f t="shared" si="35"/>
        <v>3.5344000000000003E+23</v>
      </c>
      <c r="AC243" s="13">
        <f t="shared" si="36"/>
        <v>2.4544444444444445E+17</v>
      </c>
      <c r="AD243" s="110">
        <f t="shared" si="37"/>
        <v>44517</v>
      </c>
      <c r="AE243" s="13" t="e">
        <f>IF(AND(AD243&lt;=$AI$4,#REF!&lt;1),1,"")</f>
        <v>#REF!</v>
      </c>
      <c r="AF243" s="110">
        <f t="shared" ca="1" si="38"/>
        <v>44553</v>
      </c>
      <c r="AH243" s="13">
        <f t="shared" ca="1" si="39"/>
        <v>40</v>
      </c>
    </row>
    <row r="244" spans="1:34" x14ac:dyDescent="0.25">
      <c r="A244" s="13" t="s">
        <v>6</v>
      </c>
      <c r="B244" s="13" t="s">
        <v>6</v>
      </c>
      <c r="C244" s="13" t="s">
        <v>392</v>
      </c>
      <c r="D244" s="13" t="s">
        <v>393</v>
      </c>
      <c r="E244" s="13" t="s">
        <v>725</v>
      </c>
      <c r="F244" s="13">
        <v>1</v>
      </c>
      <c r="G244" s="2" t="s">
        <v>390</v>
      </c>
      <c r="H244" s="13" t="s">
        <v>0</v>
      </c>
      <c r="I244" s="13" t="s">
        <v>140</v>
      </c>
      <c r="J244" s="13" t="s">
        <v>46</v>
      </c>
      <c r="K244" s="109">
        <v>44505</v>
      </c>
      <c r="L244" s="109">
        <v>44515</v>
      </c>
      <c r="Q244" s="13" t="str">
        <f t="shared" si="30"/>
        <v>CALIACT000550AUTOSERVICIONUTRESA</v>
      </c>
      <c r="T244" s="123">
        <f t="shared" si="31"/>
        <v>0</v>
      </c>
      <c r="U244" s="13">
        <f t="shared" si="32"/>
        <v>0</v>
      </c>
      <c r="V244" s="123">
        <f t="shared" si="33"/>
        <v>0</v>
      </c>
      <c r="X244" s="13">
        <v>50000000</v>
      </c>
      <c r="Y244" s="13">
        <v>50000000</v>
      </c>
      <c r="Z244" s="13">
        <v>50000000</v>
      </c>
      <c r="AA244" s="13">
        <f t="shared" si="34"/>
        <v>1.25E+23</v>
      </c>
      <c r="AB244" s="13">
        <f t="shared" si="35"/>
        <v>1.25E+23</v>
      </c>
      <c r="AC244" s="13">
        <f t="shared" si="36"/>
        <v>8.6805555555555552E+16</v>
      </c>
      <c r="AD244" s="110">
        <f t="shared" si="37"/>
        <v>44509</v>
      </c>
      <c r="AE244" s="13" t="e">
        <f>IF(AND(AD244&lt;=$AI$4,#REF!&lt;1),1,"")</f>
        <v>#REF!</v>
      </c>
      <c r="AF244" s="110">
        <f t="shared" ca="1" si="38"/>
        <v>44553</v>
      </c>
      <c r="AH244" s="13">
        <f t="shared" ca="1" si="39"/>
        <v>48</v>
      </c>
    </row>
    <row r="245" spans="1:34" x14ac:dyDescent="0.25">
      <c r="A245" s="13" t="s">
        <v>10</v>
      </c>
      <c r="B245" s="13" t="s">
        <v>10</v>
      </c>
      <c r="C245" s="13" t="s">
        <v>392</v>
      </c>
      <c r="D245" s="13" t="s">
        <v>393</v>
      </c>
      <c r="E245" s="13" t="s">
        <v>725</v>
      </c>
      <c r="F245" s="13">
        <v>1</v>
      </c>
      <c r="G245" s="2" t="s">
        <v>390</v>
      </c>
      <c r="H245" s="13" t="s">
        <v>0</v>
      </c>
      <c r="I245" s="13" t="s">
        <v>140</v>
      </c>
      <c r="J245" s="13" t="s">
        <v>46</v>
      </c>
      <c r="K245" s="109">
        <v>44505</v>
      </c>
      <c r="L245" s="109">
        <v>44515</v>
      </c>
      <c r="Q245" s="13" t="str">
        <f t="shared" si="30"/>
        <v>PEREACT000550AUTOSERVICIONUTRESA</v>
      </c>
      <c r="T245" s="123">
        <f t="shared" si="31"/>
        <v>0</v>
      </c>
      <c r="U245" s="13">
        <f t="shared" si="32"/>
        <v>0</v>
      </c>
      <c r="V245" s="123">
        <f t="shared" si="33"/>
        <v>0</v>
      </c>
      <c r="X245" s="13">
        <v>50000000</v>
      </c>
      <c r="Y245" s="13">
        <v>50000000</v>
      </c>
      <c r="Z245" s="13">
        <v>50000000</v>
      </c>
      <c r="AA245" s="13">
        <f t="shared" si="34"/>
        <v>1.25E+23</v>
      </c>
      <c r="AB245" s="13">
        <f t="shared" si="35"/>
        <v>1.25E+23</v>
      </c>
      <c r="AC245" s="13">
        <f t="shared" si="36"/>
        <v>8.6805555555555552E+16</v>
      </c>
      <c r="AD245" s="110">
        <f t="shared" si="37"/>
        <v>44509</v>
      </c>
      <c r="AE245" s="13" t="e">
        <f>IF(AND(AD245&lt;=$AI$4,#REF!&lt;1),1,"")</f>
        <v>#REF!</v>
      </c>
      <c r="AF245" s="110">
        <f t="shared" ca="1" si="38"/>
        <v>44553</v>
      </c>
      <c r="AH245" s="13">
        <f t="shared" ca="1" si="39"/>
        <v>48</v>
      </c>
    </row>
    <row r="246" spans="1:34" x14ac:dyDescent="0.25">
      <c r="A246" s="13" t="s">
        <v>8</v>
      </c>
      <c r="B246" s="13" t="s">
        <v>8</v>
      </c>
      <c r="C246" s="13" t="s">
        <v>1187</v>
      </c>
      <c r="D246" s="13" t="s">
        <v>749</v>
      </c>
      <c r="E246" s="13" t="s">
        <v>723</v>
      </c>
      <c r="F246" s="13">
        <v>2</v>
      </c>
      <c r="G246" s="2" t="s">
        <v>390</v>
      </c>
      <c r="H246" s="13" t="s">
        <v>0</v>
      </c>
      <c r="I246" s="13" t="s">
        <v>140</v>
      </c>
      <c r="J246" s="13" t="s">
        <v>46</v>
      </c>
      <c r="K246" s="109">
        <v>44517</v>
      </c>
      <c r="L246" s="109">
        <v>44515</v>
      </c>
      <c r="Q246" s="13" t="str">
        <f t="shared" si="30"/>
        <v>IBA1ACT000460AUTOSERVICIONUTRESA</v>
      </c>
      <c r="T246" s="123">
        <f t="shared" si="31"/>
        <v>0</v>
      </c>
      <c r="U246" s="13">
        <f t="shared" si="32"/>
        <v>0</v>
      </c>
      <c r="V246" s="123">
        <f t="shared" si="33"/>
        <v>0</v>
      </c>
      <c r="X246" s="13">
        <v>70000000</v>
      </c>
      <c r="Y246" s="13">
        <v>135000000</v>
      </c>
      <c r="Z246" s="13">
        <v>135000000</v>
      </c>
      <c r="AA246" s="13">
        <f t="shared" si="34"/>
        <v>1.27575E+24</v>
      </c>
      <c r="AB246" s="13">
        <f t="shared" si="35"/>
        <v>2.5515000000000001E+24</v>
      </c>
      <c r="AC246" s="13">
        <f t="shared" si="36"/>
        <v>1.771875E+18</v>
      </c>
      <c r="AD246" s="110">
        <f t="shared" si="37"/>
        <v>44521</v>
      </c>
      <c r="AE246" s="13" t="e">
        <f>IF(AND(AD246&lt;=$AI$4,#REF!&lt;1),1,"")</f>
        <v>#REF!</v>
      </c>
      <c r="AF246" s="110">
        <f t="shared" ca="1" si="38"/>
        <v>44553</v>
      </c>
      <c r="AH246" s="13">
        <f t="shared" ca="1" si="39"/>
        <v>36</v>
      </c>
    </row>
    <row r="247" spans="1:34" x14ac:dyDescent="0.25">
      <c r="A247" s="13" t="s">
        <v>6</v>
      </c>
      <c r="B247" s="13" t="s">
        <v>6</v>
      </c>
      <c r="C247" s="13" t="s">
        <v>243</v>
      </c>
      <c r="D247" s="13" t="s">
        <v>750</v>
      </c>
      <c r="E247" s="13" t="s">
        <v>723</v>
      </c>
      <c r="F247" s="13">
        <v>1</v>
      </c>
      <c r="G247" s="2" t="s">
        <v>390</v>
      </c>
      <c r="H247" s="13" t="s">
        <v>0</v>
      </c>
      <c r="I247" s="13" t="s">
        <v>140</v>
      </c>
      <c r="J247" s="13" t="s">
        <v>46</v>
      </c>
      <c r="K247" s="109">
        <v>44517</v>
      </c>
      <c r="L247" s="109">
        <v>44515</v>
      </c>
      <c r="Q247" s="13" t="str">
        <f t="shared" si="30"/>
        <v>CALIACT000466AUTOSERVICIONUTRESA</v>
      </c>
      <c r="T247" s="123">
        <f t="shared" si="31"/>
        <v>0</v>
      </c>
      <c r="U247" s="13">
        <f t="shared" si="32"/>
        <v>0</v>
      </c>
      <c r="V247" s="123">
        <f t="shared" si="33"/>
        <v>0</v>
      </c>
      <c r="X247" s="13">
        <v>70000000</v>
      </c>
      <c r="Y247" s="13">
        <v>135000000</v>
      </c>
      <c r="Z247" s="13">
        <v>135000000</v>
      </c>
      <c r="AA247" s="13">
        <f t="shared" si="34"/>
        <v>1.27575E+24</v>
      </c>
      <c r="AB247" s="13">
        <f t="shared" si="35"/>
        <v>1.27575E+24</v>
      </c>
      <c r="AC247" s="13">
        <f t="shared" si="36"/>
        <v>8.859375E+17</v>
      </c>
      <c r="AD247" s="110">
        <f t="shared" si="37"/>
        <v>44521</v>
      </c>
      <c r="AE247" s="13" t="e">
        <f>IF(AND(AD247&lt;=$AI$4,#REF!&lt;1),1,"")</f>
        <v>#REF!</v>
      </c>
      <c r="AF247" s="110">
        <f t="shared" ca="1" si="38"/>
        <v>44553</v>
      </c>
      <c r="AH247" s="13">
        <f t="shared" ca="1" si="39"/>
        <v>36</v>
      </c>
    </row>
    <row r="248" spans="1:34" x14ac:dyDescent="0.25">
      <c r="A248" s="13" t="s">
        <v>8</v>
      </c>
      <c r="B248" s="13" t="s">
        <v>8</v>
      </c>
      <c r="C248" s="13" t="s">
        <v>243</v>
      </c>
      <c r="D248" s="13" t="s">
        <v>750</v>
      </c>
      <c r="E248" s="13" t="s">
        <v>723</v>
      </c>
      <c r="F248" s="13">
        <v>4</v>
      </c>
      <c r="G248" s="2" t="s">
        <v>390</v>
      </c>
      <c r="H248" s="13" t="s">
        <v>0</v>
      </c>
      <c r="I248" s="13" t="s">
        <v>140</v>
      </c>
      <c r="J248" s="13" t="s">
        <v>46</v>
      </c>
      <c r="K248" s="109">
        <v>44517</v>
      </c>
      <c r="L248" s="109">
        <v>44515</v>
      </c>
      <c r="Q248" s="13" t="str">
        <f t="shared" si="30"/>
        <v>IBA1ACT000466AUTOSERVICIONUTRESA</v>
      </c>
      <c r="T248" s="123">
        <f t="shared" si="31"/>
        <v>0</v>
      </c>
      <c r="U248" s="13">
        <f t="shared" si="32"/>
        <v>0</v>
      </c>
      <c r="V248" s="123">
        <f t="shared" si="33"/>
        <v>0</v>
      </c>
      <c r="X248" s="13">
        <v>70000000</v>
      </c>
      <c r="Y248" s="13">
        <v>135000000</v>
      </c>
      <c r="Z248" s="13">
        <v>135000000</v>
      </c>
      <c r="AA248" s="13">
        <f t="shared" si="34"/>
        <v>1.27575E+24</v>
      </c>
      <c r="AB248" s="13">
        <f t="shared" si="35"/>
        <v>5.1030000000000001E+24</v>
      </c>
      <c r="AC248" s="13">
        <f t="shared" si="36"/>
        <v>3.54375E+18</v>
      </c>
      <c r="AD248" s="110">
        <f t="shared" si="37"/>
        <v>44521</v>
      </c>
      <c r="AE248" s="13" t="e">
        <f>IF(AND(AD248&lt;=$AI$4,#REF!&lt;1),1,"")</f>
        <v>#REF!</v>
      </c>
      <c r="AF248" s="110">
        <f t="shared" ca="1" si="38"/>
        <v>44553</v>
      </c>
      <c r="AH248" s="13">
        <f t="shared" ca="1" si="39"/>
        <v>36</v>
      </c>
    </row>
    <row r="249" spans="1:34" x14ac:dyDescent="0.25">
      <c r="A249" s="13" t="s">
        <v>10</v>
      </c>
      <c r="B249" s="13" t="s">
        <v>10</v>
      </c>
      <c r="C249" s="13" t="s">
        <v>243</v>
      </c>
      <c r="D249" s="13" t="s">
        <v>750</v>
      </c>
      <c r="E249" s="13" t="s">
        <v>723</v>
      </c>
      <c r="F249" s="13">
        <v>6</v>
      </c>
      <c r="G249" s="2" t="s">
        <v>390</v>
      </c>
      <c r="H249" s="13" t="s">
        <v>0</v>
      </c>
      <c r="I249" s="13" t="s">
        <v>140</v>
      </c>
      <c r="J249" s="13" t="s">
        <v>46</v>
      </c>
      <c r="K249" s="109">
        <v>44517</v>
      </c>
      <c r="L249" s="109">
        <v>44515</v>
      </c>
      <c r="Q249" s="13" t="str">
        <f t="shared" si="30"/>
        <v>PEREACT000466AUTOSERVICIONUTRESA</v>
      </c>
      <c r="T249" s="123">
        <f t="shared" si="31"/>
        <v>0</v>
      </c>
      <c r="U249" s="13">
        <f t="shared" si="32"/>
        <v>0</v>
      </c>
      <c r="V249" s="123">
        <f t="shared" si="33"/>
        <v>0</v>
      </c>
      <c r="X249" s="13">
        <v>70000000</v>
      </c>
      <c r="Y249" s="13">
        <v>135000000</v>
      </c>
      <c r="Z249" s="13">
        <v>135000000</v>
      </c>
      <c r="AA249" s="13">
        <f t="shared" si="34"/>
        <v>1.27575E+24</v>
      </c>
      <c r="AB249" s="13">
        <f t="shared" si="35"/>
        <v>7.6544999999999997E+24</v>
      </c>
      <c r="AC249" s="13">
        <f t="shared" si="36"/>
        <v>5.315625E+18</v>
      </c>
      <c r="AD249" s="110">
        <f t="shared" si="37"/>
        <v>44521</v>
      </c>
      <c r="AE249" s="13" t="e">
        <f>IF(AND(AD249&lt;=$AI$4,#REF!&lt;1),1,"")</f>
        <v>#REF!</v>
      </c>
      <c r="AF249" s="110">
        <f t="shared" ca="1" si="38"/>
        <v>44553</v>
      </c>
      <c r="AH249" s="13">
        <f t="shared" ca="1" si="39"/>
        <v>36</v>
      </c>
    </row>
    <row r="250" spans="1:34" x14ac:dyDescent="0.25">
      <c r="A250" s="13" t="s">
        <v>8</v>
      </c>
      <c r="B250" s="13" t="s">
        <v>8</v>
      </c>
      <c r="C250" s="13" t="s">
        <v>1188</v>
      </c>
      <c r="D250" s="13" t="s">
        <v>751</v>
      </c>
      <c r="E250" s="13" t="s">
        <v>723</v>
      </c>
      <c r="F250" s="13">
        <v>2</v>
      </c>
      <c r="G250" s="2" t="s">
        <v>390</v>
      </c>
      <c r="H250" s="13" t="s">
        <v>0</v>
      </c>
      <c r="I250" s="13" t="s">
        <v>140</v>
      </c>
      <c r="J250" s="13" t="s">
        <v>46</v>
      </c>
      <c r="K250" s="109">
        <v>44517</v>
      </c>
      <c r="L250" s="109">
        <v>44515</v>
      </c>
      <c r="Q250" s="13" t="str">
        <f t="shared" si="30"/>
        <v>IBA1ACT000465AUTOSERVICIONUTRESA</v>
      </c>
      <c r="T250" s="123">
        <f t="shared" si="31"/>
        <v>0</v>
      </c>
      <c r="U250" s="13">
        <f t="shared" si="32"/>
        <v>0</v>
      </c>
      <c r="V250" s="123">
        <f t="shared" si="33"/>
        <v>0</v>
      </c>
      <c r="X250" s="13">
        <v>70000000</v>
      </c>
      <c r="Y250" s="13">
        <v>98000000</v>
      </c>
      <c r="Z250" s="13">
        <v>98000000</v>
      </c>
      <c r="AA250" s="13">
        <f t="shared" si="34"/>
        <v>6.7227999999999998E+23</v>
      </c>
      <c r="AB250" s="13">
        <f t="shared" si="35"/>
        <v>1.34456E+24</v>
      </c>
      <c r="AC250" s="13">
        <f t="shared" si="36"/>
        <v>9.3372222222222221E+17</v>
      </c>
      <c r="AD250" s="110">
        <f t="shared" si="37"/>
        <v>44521</v>
      </c>
      <c r="AE250" s="13" t="e">
        <f>IF(AND(AD250&lt;=$AI$4,#REF!&lt;1),1,"")</f>
        <v>#REF!</v>
      </c>
      <c r="AF250" s="110">
        <f t="shared" ca="1" si="38"/>
        <v>44553</v>
      </c>
      <c r="AH250" s="13">
        <f t="shared" ca="1" si="39"/>
        <v>36</v>
      </c>
    </row>
    <row r="251" spans="1:34" x14ac:dyDescent="0.25">
      <c r="A251" s="13" t="s">
        <v>6</v>
      </c>
      <c r="B251" s="13" t="s">
        <v>6</v>
      </c>
      <c r="C251" s="13" t="s">
        <v>1189</v>
      </c>
      <c r="D251" s="13" t="s">
        <v>752</v>
      </c>
      <c r="E251" s="13" t="s">
        <v>723</v>
      </c>
      <c r="F251" s="13">
        <v>7</v>
      </c>
      <c r="G251" s="2" t="s">
        <v>390</v>
      </c>
      <c r="H251" s="13" t="s">
        <v>0</v>
      </c>
      <c r="I251" s="13" t="s">
        <v>140</v>
      </c>
      <c r="J251" s="13" t="s">
        <v>46</v>
      </c>
      <c r="K251" s="109">
        <v>44517</v>
      </c>
      <c r="L251" s="109">
        <v>44515</v>
      </c>
      <c r="Q251" s="13" t="str">
        <f t="shared" si="30"/>
        <v>CALIACT000467AUTOSERVICIONUTRESA</v>
      </c>
      <c r="T251" s="123">
        <f t="shared" si="31"/>
        <v>0</v>
      </c>
      <c r="U251" s="13">
        <f t="shared" si="32"/>
        <v>0</v>
      </c>
      <c r="V251" s="123">
        <f t="shared" si="33"/>
        <v>0</v>
      </c>
      <c r="X251" s="13">
        <v>70000000</v>
      </c>
      <c r="Y251" s="13">
        <v>98000000</v>
      </c>
      <c r="Z251" s="13">
        <v>98000000</v>
      </c>
      <c r="AA251" s="13">
        <f t="shared" si="34"/>
        <v>6.7227999999999998E+23</v>
      </c>
      <c r="AB251" s="13">
        <f t="shared" si="35"/>
        <v>4.7059599999999997E+24</v>
      </c>
      <c r="AC251" s="13">
        <f t="shared" si="36"/>
        <v>3.2680277777777777E+18</v>
      </c>
      <c r="AD251" s="110">
        <f t="shared" si="37"/>
        <v>44521</v>
      </c>
      <c r="AE251" s="13" t="e">
        <f>IF(AND(AD251&lt;=$AI$4,#REF!&lt;1),1,"")</f>
        <v>#REF!</v>
      </c>
      <c r="AF251" s="110">
        <f t="shared" ca="1" si="38"/>
        <v>44553</v>
      </c>
      <c r="AH251" s="13">
        <f t="shared" ca="1" si="39"/>
        <v>36</v>
      </c>
    </row>
    <row r="252" spans="1:34" x14ac:dyDescent="0.25">
      <c r="A252" s="13" t="s">
        <v>8</v>
      </c>
      <c r="B252" s="13" t="s">
        <v>8</v>
      </c>
      <c r="C252" s="13" t="s">
        <v>1189</v>
      </c>
      <c r="D252" s="13" t="s">
        <v>752</v>
      </c>
      <c r="E252" s="13" t="s">
        <v>723</v>
      </c>
      <c r="F252" s="13">
        <v>1</v>
      </c>
      <c r="G252" s="2" t="s">
        <v>390</v>
      </c>
      <c r="H252" s="13" t="s">
        <v>0</v>
      </c>
      <c r="I252" s="13" t="s">
        <v>140</v>
      </c>
      <c r="J252" s="13" t="s">
        <v>46</v>
      </c>
      <c r="K252" s="109">
        <v>44517</v>
      </c>
      <c r="L252" s="109">
        <v>44515</v>
      </c>
      <c r="Q252" s="13" t="str">
        <f t="shared" si="30"/>
        <v>IBA1ACT000467AUTOSERVICIONUTRESA</v>
      </c>
      <c r="T252" s="123">
        <f t="shared" si="31"/>
        <v>0</v>
      </c>
      <c r="U252" s="13">
        <f t="shared" si="32"/>
        <v>0</v>
      </c>
      <c r="V252" s="123">
        <f t="shared" si="33"/>
        <v>0</v>
      </c>
      <c r="X252" s="13">
        <v>70000000</v>
      </c>
      <c r="Y252" s="13">
        <v>98000000</v>
      </c>
      <c r="Z252" s="13">
        <v>98000000</v>
      </c>
      <c r="AA252" s="13">
        <f t="shared" si="34"/>
        <v>6.7227999999999998E+23</v>
      </c>
      <c r="AB252" s="13">
        <f t="shared" si="35"/>
        <v>6.7227999999999998E+23</v>
      </c>
      <c r="AC252" s="13">
        <f t="shared" si="36"/>
        <v>4.668611111111111E+17</v>
      </c>
      <c r="AD252" s="110">
        <f t="shared" si="37"/>
        <v>44521</v>
      </c>
      <c r="AE252" s="13" t="e">
        <f>IF(AND(AD252&lt;=$AI$4,#REF!&lt;1),1,"")</f>
        <v>#REF!</v>
      </c>
      <c r="AF252" s="110">
        <f t="shared" ca="1" si="38"/>
        <v>44553</v>
      </c>
      <c r="AH252" s="13">
        <f t="shared" ca="1" si="39"/>
        <v>36</v>
      </c>
    </row>
    <row r="253" spans="1:34" x14ac:dyDescent="0.25">
      <c r="A253" s="13" t="s">
        <v>4</v>
      </c>
      <c r="B253" s="13" t="s">
        <v>4</v>
      </c>
      <c r="C253" s="13" t="s">
        <v>240</v>
      </c>
      <c r="D253" s="13" t="s">
        <v>753</v>
      </c>
      <c r="E253" s="13" t="s">
        <v>1179</v>
      </c>
      <c r="F253" s="13">
        <v>1</v>
      </c>
      <c r="G253" s="2" t="s">
        <v>390</v>
      </c>
      <c r="H253" s="13" t="s">
        <v>0</v>
      </c>
      <c r="I253" s="13" t="s">
        <v>140</v>
      </c>
      <c r="J253" s="13" t="s">
        <v>46</v>
      </c>
      <c r="K253" s="109">
        <v>44517</v>
      </c>
      <c r="L253" s="109">
        <v>44515</v>
      </c>
      <c r="Q253" s="13" t="str">
        <f t="shared" si="30"/>
        <v>BGTAACT000502AUTOSERVICIONUTRESA</v>
      </c>
      <c r="T253" s="123">
        <f t="shared" si="31"/>
        <v>0</v>
      </c>
      <c r="U253" s="13">
        <f t="shared" si="32"/>
        <v>0</v>
      </c>
      <c r="V253" s="123">
        <f t="shared" si="33"/>
        <v>0</v>
      </c>
      <c r="X253" s="13">
        <v>37000000</v>
      </c>
      <c r="Y253" s="13">
        <v>49000000</v>
      </c>
      <c r="Z253" s="13">
        <v>49000000</v>
      </c>
      <c r="AA253" s="13">
        <f t="shared" si="34"/>
        <v>8.8837000000000001E+22</v>
      </c>
      <c r="AB253" s="13">
        <f t="shared" si="35"/>
        <v>8.8837000000000001E+22</v>
      </c>
      <c r="AC253" s="13">
        <f t="shared" si="36"/>
        <v>6.1692361111111112E+16</v>
      </c>
      <c r="AD253" s="110">
        <f t="shared" si="37"/>
        <v>44521</v>
      </c>
      <c r="AE253" s="13" t="e">
        <f>IF(AND(AD253&lt;=$AI$4,#REF!&lt;1),1,"")</f>
        <v>#REF!</v>
      </c>
      <c r="AF253" s="110">
        <f t="shared" ca="1" si="38"/>
        <v>44553</v>
      </c>
      <c r="AH253" s="13">
        <f t="shared" ca="1" si="39"/>
        <v>36</v>
      </c>
    </row>
    <row r="254" spans="1:34" x14ac:dyDescent="0.25">
      <c r="A254" s="13" t="s">
        <v>5</v>
      </c>
      <c r="B254" s="13" t="s">
        <v>5</v>
      </c>
      <c r="C254" s="13" t="s">
        <v>240</v>
      </c>
      <c r="D254" s="13" t="s">
        <v>753</v>
      </c>
      <c r="E254" s="13" t="s">
        <v>1179</v>
      </c>
      <c r="F254" s="13">
        <v>6</v>
      </c>
      <c r="G254" s="2" t="s">
        <v>390</v>
      </c>
      <c r="H254" s="13" t="s">
        <v>0</v>
      </c>
      <c r="I254" s="13" t="s">
        <v>140</v>
      </c>
      <c r="J254" s="13" t="s">
        <v>46</v>
      </c>
      <c r="K254" s="109">
        <v>44517</v>
      </c>
      <c r="L254" s="109">
        <v>44515</v>
      </c>
      <c r="Q254" s="13" t="str">
        <f t="shared" si="30"/>
        <v>BUCAACT000502AUTOSERVICIONUTRESA</v>
      </c>
      <c r="T254" s="123">
        <f t="shared" si="31"/>
        <v>0</v>
      </c>
      <c r="U254" s="13">
        <f t="shared" si="32"/>
        <v>0</v>
      </c>
      <c r="V254" s="123">
        <f t="shared" si="33"/>
        <v>0</v>
      </c>
      <c r="X254" s="13">
        <v>37000000</v>
      </c>
      <c r="Y254" s="13">
        <v>49000000</v>
      </c>
      <c r="Z254" s="13">
        <v>49000000</v>
      </c>
      <c r="AA254" s="13">
        <f t="shared" si="34"/>
        <v>8.8837000000000001E+22</v>
      </c>
      <c r="AB254" s="13">
        <f t="shared" si="35"/>
        <v>5.3302200000000004E+23</v>
      </c>
      <c r="AC254" s="13">
        <f t="shared" si="36"/>
        <v>3.7015416666666669E+17</v>
      </c>
      <c r="AD254" s="110">
        <f t="shared" si="37"/>
        <v>44521</v>
      </c>
      <c r="AE254" s="13" t="e">
        <f>IF(AND(AD254&lt;=$AI$4,#REF!&lt;1),1,"")</f>
        <v>#REF!</v>
      </c>
      <c r="AF254" s="110">
        <f t="shared" ca="1" si="38"/>
        <v>44553</v>
      </c>
      <c r="AH254" s="13">
        <f t="shared" ca="1" si="39"/>
        <v>36</v>
      </c>
    </row>
    <row r="255" spans="1:34" x14ac:dyDescent="0.25">
      <c r="A255" s="13" t="s">
        <v>8</v>
      </c>
      <c r="B255" s="13" t="s">
        <v>8</v>
      </c>
      <c r="C255" s="13" t="s">
        <v>240</v>
      </c>
      <c r="D255" s="13" t="s">
        <v>753</v>
      </c>
      <c r="E255" s="13" t="s">
        <v>1179</v>
      </c>
      <c r="F255" s="13">
        <v>1</v>
      </c>
      <c r="G255" s="2" t="s">
        <v>390</v>
      </c>
      <c r="H255" s="13" t="s">
        <v>0</v>
      </c>
      <c r="I255" s="13" t="s">
        <v>140</v>
      </c>
      <c r="J255" s="13" t="s">
        <v>46</v>
      </c>
      <c r="K255" s="109">
        <v>44517</v>
      </c>
      <c r="L255" s="109">
        <v>44515</v>
      </c>
      <c r="P255" s="110">
        <v>44511</v>
      </c>
      <c r="Q255" s="13" t="str">
        <f t="shared" si="30"/>
        <v>IBA1ACT000502AUTOSERVICIONUTRESA</v>
      </c>
      <c r="R255" s="2">
        <v>1</v>
      </c>
      <c r="S255" s="13">
        <v>1</v>
      </c>
      <c r="T255" s="123">
        <f t="shared" si="31"/>
        <v>1</v>
      </c>
      <c r="U255" s="13">
        <f t="shared" si="32"/>
        <v>0</v>
      </c>
      <c r="V255" s="123">
        <f t="shared" si="33"/>
        <v>0</v>
      </c>
      <c r="X255" s="13">
        <v>37000000</v>
      </c>
      <c r="Y255" s="13">
        <v>49000000</v>
      </c>
      <c r="Z255" s="13">
        <v>49000000</v>
      </c>
      <c r="AA255" s="13">
        <f t="shared" si="34"/>
        <v>8.8837000000000001E+22</v>
      </c>
      <c r="AB255" s="13">
        <f t="shared" si="35"/>
        <v>8.8837000000000001E+22</v>
      </c>
      <c r="AC255" s="13">
        <f t="shared" si="36"/>
        <v>6.1692361111111112E+16</v>
      </c>
      <c r="AD255" s="110">
        <f t="shared" si="37"/>
        <v>44521</v>
      </c>
      <c r="AE255" s="13" t="e">
        <f>IF(AND(AD255&lt;=$AI$4,#REF!&lt;1),1,"")</f>
        <v>#REF!</v>
      </c>
      <c r="AF255" s="110">
        <f t="shared" ca="1" si="38"/>
        <v>44553</v>
      </c>
      <c r="AH255" s="13">
        <f t="shared" ca="1" si="39"/>
        <v>36</v>
      </c>
    </row>
    <row r="256" spans="1:34" x14ac:dyDescent="0.25">
      <c r="A256" s="13" t="s">
        <v>6</v>
      </c>
      <c r="B256" s="13" t="s">
        <v>6</v>
      </c>
      <c r="C256" s="13" t="s">
        <v>240</v>
      </c>
      <c r="D256" s="13" t="s">
        <v>753</v>
      </c>
      <c r="E256" s="13" t="s">
        <v>1179</v>
      </c>
      <c r="F256" s="13">
        <v>8</v>
      </c>
      <c r="G256" s="2" t="s">
        <v>390</v>
      </c>
      <c r="H256" s="13" t="s">
        <v>0</v>
      </c>
      <c r="I256" s="13" t="s">
        <v>140</v>
      </c>
      <c r="J256" s="13" t="s">
        <v>46</v>
      </c>
      <c r="K256" s="109">
        <v>44517</v>
      </c>
      <c r="L256" s="109">
        <v>44515</v>
      </c>
      <c r="Q256" s="13" t="str">
        <f t="shared" si="30"/>
        <v>CALIACT000502AUTOSERVICIONUTRESA</v>
      </c>
      <c r="T256" s="123">
        <f t="shared" si="31"/>
        <v>0</v>
      </c>
      <c r="U256" s="13">
        <f t="shared" si="32"/>
        <v>0</v>
      </c>
      <c r="V256" s="123">
        <f t="shared" si="33"/>
        <v>0</v>
      </c>
      <c r="X256" s="13">
        <v>37000000</v>
      </c>
      <c r="Y256" s="13">
        <v>49000000</v>
      </c>
      <c r="Z256" s="13">
        <v>49000000</v>
      </c>
      <c r="AA256" s="13">
        <f t="shared" si="34"/>
        <v>8.8837000000000001E+22</v>
      </c>
      <c r="AB256" s="13">
        <f t="shared" si="35"/>
        <v>7.1069600000000001E+23</v>
      </c>
      <c r="AC256" s="13">
        <f t="shared" si="36"/>
        <v>4.935388888888889E+17</v>
      </c>
      <c r="AD256" s="110">
        <f t="shared" si="37"/>
        <v>44521</v>
      </c>
      <c r="AE256" s="13" t="e">
        <f>IF(AND(AD256&lt;=$AI$4,#REF!&lt;1),1,"")</f>
        <v>#REF!</v>
      </c>
      <c r="AF256" s="110">
        <f t="shared" ca="1" si="38"/>
        <v>44553</v>
      </c>
      <c r="AH256" s="13">
        <f t="shared" ca="1" si="39"/>
        <v>36</v>
      </c>
    </row>
    <row r="257" spans="1:34" x14ac:dyDescent="0.25">
      <c r="A257" s="13" t="s">
        <v>4</v>
      </c>
      <c r="B257" s="13" t="s">
        <v>4</v>
      </c>
      <c r="C257" s="13" t="s">
        <v>238</v>
      </c>
      <c r="D257" s="13" t="s">
        <v>754</v>
      </c>
      <c r="E257" s="13" t="s">
        <v>1179</v>
      </c>
      <c r="F257" s="13">
        <v>1</v>
      </c>
      <c r="G257" s="2" t="s">
        <v>390</v>
      </c>
      <c r="H257" s="13" t="s">
        <v>0</v>
      </c>
      <c r="I257" s="13" t="s">
        <v>140</v>
      </c>
      <c r="J257" s="13" t="s">
        <v>46</v>
      </c>
      <c r="K257" s="109">
        <v>44517</v>
      </c>
      <c r="L257" s="109">
        <v>44515</v>
      </c>
      <c r="Q257" s="13" t="str">
        <f t="shared" si="30"/>
        <v>BGTAACT000496AUTOSERVICIONUTRESA</v>
      </c>
      <c r="T257" s="123">
        <f t="shared" si="31"/>
        <v>0</v>
      </c>
      <c r="U257" s="13">
        <f t="shared" si="32"/>
        <v>0</v>
      </c>
      <c r="V257" s="123">
        <f t="shared" si="33"/>
        <v>0</v>
      </c>
      <c r="X257" s="13">
        <v>110000000</v>
      </c>
      <c r="Y257" s="13">
        <v>105000000</v>
      </c>
      <c r="Z257" s="13">
        <v>105000000</v>
      </c>
      <c r="AA257" s="13">
        <f t="shared" si="34"/>
        <v>1.2127499999999999E+24</v>
      </c>
      <c r="AB257" s="13">
        <f t="shared" si="35"/>
        <v>1.2127499999999999E+24</v>
      </c>
      <c r="AC257" s="13">
        <f t="shared" si="36"/>
        <v>8.421875E+17</v>
      </c>
      <c r="AD257" s="110">
        <f t="shared" si="37"/>
        <v>44521</v>
      </c>
      <c r="AE257" s="13" t="e">
        <f>IF(AND(AD257&lt;=$AI$4,#REF!&lt;1),1,"")</f>
        <v>#REF!</v>
      </c>
      <c r="AF257" s="110">
        <f t="shared" ca="1" si="38"/>
        <v>44553</v>
      </c>
      <c r="AH257" s="13">
        <f t="shared" ca="1" si="39"/>
        <v>36</v>
      </c>
    </row>
    <row r="258" spans="1:34" x14ac:dyDescent="0.25">
      <c r="A258" s="13" t="s">
        <v>5</v>
      </c>
      <c r="B258" s="13" t="s">
        <v>5</v>
      </c>
      <c r="C258" s="13" t="s">
        <v>238</v>
      </c>
      <c r="D258" s="13" t="s">
        <v>754</v>
      </c>
      <c r="E258" s="13" t="s">
        <v>1179</v>
      </c>
      <c r="F258" s="13">
        <v>4</v>
      </c>
      <c r="G258" s="2" t="s">
        <v>390</v>
      </c>
      <c r="H258" s="13" t="s">
        <v>0</v>
      </c>
      <c r="I258" s="13" t="s">
        <v>140</v>
      </c>
      <c r="J258" s="13" t="s">
        <v>46</v>
      </c>
      <c r="K258" s="109">
        <v>44517</v>
      </c>
      <c r="L258" s="109">
        <v>44515</v>
      </c>
      <c r="Q258" s="13" t="str">
        <f t="shared" si="30"/>
        <v>BUCAACT000496AUTOSERVICIONUTRESA</v>
      </c>
      <c r="T258" s="123">
        <f t="shared" si="31"/>
        <v>0</v>
      </c>
      <c r="U258" s="13">
        <f t="shared" si="32"/>
        <v>0</v>
      </c>
      <c r="V258" s="123">
        <f t="shared" si="33"/>
        <v>0</v>
      </c>
      <c r="X258" s="13">
        <v>110000000</v>
      </c>
      <c r="Y258" s="13">
        <v>105000000</v>
      </c>
      <c r="Z258" s="13">
        <v>105000000</v>
      </c>
      <c r="AA258" s="13">
        <f t="shared" si="34"/>
        <v>1.2127499999999999E+24</v>
      </c>
      <c r="AB258" s="13">
        <f t="shared" si="35"/>
        <v>4.8509999999999997E+24</v>
      </c>
      <c r="AC258" s="13">
        <f t="shared" si="36"/>
        <v>3.36875E+18</v>
      </c>
      <c r="AD258" s="110">
        <f t="shared" si="37"/>
        <v>44521</v>
      </c>
      <c r="AE258" s="13" t="e">
        <f>IF(AND(AD258&lt;=$AI$4,#REF!&lt;1),1,"")</f>
        <v>#REF!</v>
      </c>
      <c r="AF258" s="110">
        <f t="shared" ca="1" si="38"/>
        <v>44553</v>
      </c>
      <c r="AH258" s="13">
        <f t="shared" ca="1" si="39"/>
        <v>36</v>
      </c>
    </row>
    <row r="259" spans="1:34" x14ac:dyDescent="0.25">
      <c r="A259" s="13" t="s">
        <v>6</v>
      </c>
      <c r="B259" s="13" t="s">
        <v>6</v>
      </c>
      <c r="C259" s="13" t="s">
        <v>238</v>
      </c>
      <c r="D259" s="13" t="s">
        <v>754</v>
      </c>
      <c r="E259" s="13" t="s">
        <v>1179</v>
      </c>
      <c r="F259" s="13">
        <v>6</v>
      </c>
      <c r="G259" s="2" t="s">
        <v>390</v>
      </c>
      <c r="H259" s="13" t="s">
        <v>0</v>
      </c>
      <c r="I259" s="13" t="s">
        <v>140</v>
      </c>
      <c r="J259" s="13" t="s">
        <v>46</v>
      </c>
      <c r="K259" s="109">
        <v>44517</v>
      </c>
      <c r="L259" s="109">
        <v>44515</v>
      </c>
      <c r="Q259" s="13" t="str">
        <f t="shared" ref="Q259:Q322" si="40">+CONCATENATE(B259,C259,H259,I259)</f>
        <v>CALIACT000496AUTOSERVICIONUTRESA</v>
      </c>
      <c r="T259" s="123">
        <f t="shared" ref="T259:T322" si="41">IFERROR(R259/F259,0)</f>
        <v>0</v>
      </c>
      <c r="U259" s="13">
        <f t="shared" ref="U259:U322" si="42">R259-S259</f>
        <v>0</v>
      </c>
      <c r="V259" s="123">
        <f t="shared" ref="V259:V322" si="43">IFERROR(U259/R259,0)</f>
        <v>0</v>
      </c>
      <c r="X259" s="13">
        <v>110000000</v>
      </c>
      <c r="Y259" s="13">
        <v>105000000</v>
      </c>
      <c r="Z259" s="13">
        <v>105000000</v>
      </c>
      <c r="AA259" s="13">
        <f t="shared" ref="AA259:AA322" si="44">X259*Y259*Z259</f>
        <v>1.2127499999999999E+24</v>
      </c>
      <c r="AB259" s="13">
        <f t="shared" ref="AB259:AB322" si="45">AA259*F259</f>
        <v>7.2764999999999996E+24</v>
      </c>
      <c r="AC259" s="13">
        <f t="shared" ref="AC259:AC322" si="46">AB259/1440000</f>
        <v>5.053125E+18</v>
      </c>
      <c r="AD259" s="110">
        <f t="shared" ref="AD259:AD322" si="47">K259+4</f>
        <v>44521</v>
      </c>
      <c r="AE259" s="13" t="e">
        <f>IF(AND(AD259&lt;=$AI$4,#REF!&lt;1),1,"")</f>
        <v>#REF!</v>
      </c>
      <c r="AF259" s="110">
        <f t="shared" ref="AF259:AF322" ca="1" si="48">TODAY()</f>
        <v>44553</v>
      </c>
      <c r="AH259" s="13">
        <f t="shared" ref="AH259:AH322" ca="1" si="49">AF259-K259</f>
        <v>36</v>
      </c>
    </row>
    <row r="260" spans="1:34" x14ac:dyDescent="0.25">
      <c r="A260" s="13" t="s">
        <v>6</v>
      </c>
      <c r="B260" s="13" t="s">
        <v>6</v>
      </c>
      <c r="C260" s="13" t="s">
        <v>394</v>
      </c>
      <c r="D260" s="13" t="s">
        <v>755</v>
      </c>
      <c r="E260" s="13" t="s">
        <v>1179</v>
      </c>
      <c r="F260" s="13">
        <v>2</v>
      </c>
      <c r="G260" s="2" t="s">
        <v>390</v>
      </c>
      <c r="H260" s="13" t="s">
        <v>0</v>
      </c>
      <c r="I260" s="13" t="s">
        <v>140</v>
      </c>
      <c r="J260" s="13" t="s">
        <v>46</v>
      </c>
      <c r="K260" s="109">
        <v>44517</v>
      </c>
      <c r="L260" s="109">
        <v>44515</v>
      </c>
      <c r="Q260" s="13" t="str">
        <f t="shared" si="40"/>
        <v>CALICRD023546AUTOSERVICIONUTRESA</v>
      </c>
      <c r="T260" s="123">
        <f t="shared" si="41"/>
        <v>0</v>
      </c>
      <c r="U260" s="13">
        <f t="shared" si="42"/>
        <v>0</v>
      </c>
      <c r="V260" s="123">
        <f t="shared" si="43"/>
        <v>0</v>
      </c>
      <c r="X260" s="13">
        <v>42000000</v>
      </c>
      <c r="Y260" s="13">
        <v>64000000</v>
      </c>
      <c r="Z260" s="13">
        <v>64000000</v>
      </c>
      <c r="AA260" s="13">
        <f t="shared" si="44"/>
        <v>1.72032E+23</v>
      </c>
      <c r="AB260" s="13">
        <f t="shared" si="45"/>
        <v>3.44064E+23</v>
      </c>
      <c r="AC260" s="13">
        <f t="shared" si="46"/>
        <v>2.3893333333333334E+17</v>
      </c>
      <c r="AD260" s="110">
        <f t="shared" si="47"/>
        <v>44521</v>
      </c>
      <c r="AE260" s="13" t="e">
        <f>IF(AND(AD260&lt;=$AI$4,#REF!&lt;1),1,"")</f>
        <v>#REF!</v>
      </c>
      <c r="AF260" s="110">
        <f t="shared" ca="1" si="48"/>
        <v>44553</v>
      </c>
      <c r="AH260" s="13">
        <f t="shared" ca="1" si="49"/>
        <v>36</v>
      </c>
    </row>
    <row r="261" spans="1:34" x14ac:dyDescent="0.25">
      <c r="A261" s="13" t="s">
        <v>3</v>
      </c>
      <c r="B261" s="13" t="s">
        <v>3</v>
      </c>
      <c r="C261" s="13" t="s">
        <v>1169</v>
      </c>
      <c r="D261" s="13" t="s">
        <v>1170</v>
      </c>
      <c r="E261" s="13" t="s">
        <v>727</v>
      </c>
      <c r="F261" s="13">
        <v>8</v>
      </c>
      <c r="G261" s="2" t="s">
        <v>329</v>
      </c>
      <c r="H261" s="13" t="s">
        <v>0</v>
      </c>
      <c r="I261" s="13" t="s">
        <v>140</v>
      </c>
      <c r="J261" s="13" t="s">
        <v>46</v>
      </c>
      <c r="K261" s="109">
        <v>44512</v>
      </c>
      <c r="L261" s="109">
        <v>44531</v>
      </c>
      <c r="Q261" s="13" t="str">
        <f t="shared" si="40"/>
        <v>BARRCRD024492AUTOSERVICIONUTRESA</v>
      </c>
      <c r="T261" s="123">
        <f t="shared" si="41"/>
        <v>0</v>
      </c>
      <c r="U261" s="13">
        <f t="shared" si="42"/>
        <v>0</v>
      </c>
      <c r="V261" s="123">
        <f t="shared" si="43"/>
        <v>0</v>
      </c>
      <c r="X261" s="13">
        <v>13000000</v>
      </c>
      <c r="Y261" s="13">
        <v>25000000</v>
      </c>
      <c r="Z261" s="13">
        <v>25000000</v>
      </c>
      <c r="AA261" s="13">
        <f t="shared" si="44"/>
        <v>8.1249999999999997E+21</v>
      </c>
      <c r="AB261" s="13">
        <f t="shared" si="45"/>
        <v>6.4999999999999998E+22</v>
      </c>
      <c r="AC261" s="13">
        <f t="shared" si="46"/>
        <v>4.5138888888888888E+16</v>
      </c>
      <c r="AD261" s="110">
        <f t="shared" si="47"/>
        <v>44516</v>
      </c>
      <c r="AE261" s="13" t="e">
        <f>IF(AND(AD261&lt;=$AI$4,#REF!&lt;1),1,"")</f>
        <v>#REF!</v>
      </c>
      <c r="AF261" s="110">
        <f t="shared" ca="1" si="48"/>
        <v>44553</v>
      </c>
      <c r="AH261" s="13">
        <f t="shared" ca="1" si="49"/>
        <v>41</v>
      </c>
    </row>
    <row r="262" spans="1:34" x14ac:dyDescent="0.25">
      <c r="A262" s="13" t="s">
        <v>4</v>
      </c>
      <c r="B262" s="13" t="s">
        <v>4</v>
      </c>
      <c r="C262" s="13" t="s">
        <v>1169</v>
      </c>
      <c r="D262" s="13" t="s">
        <v>1170</v>
      </c>
      <c r="E262" s="13" t="s">
        <v>727</v>
      </c>
      <c r="F262" s="13">
        <v>76</v>
      </c>
      <c r="G262" s="2" t="s">
        <v>329</v>
      </c>
      <c r="H262" s="13" t="s">
        <v>0</v>
      </c>
      <c r="I262" s="13" t="s">
        <v>140</v>
      </c>
      <c r="J262" s="13" t="s">
        <v>46</v>
      </c>
      <c r="K262" s="109">
        <v>44512</v>
      </c>
      <c r="L262" s="109">
        <v>44531</v>
      </c>
      <c r="P262" s="110">
        <v>44511</v>
      </c>
      <c r="Q262" s="13" t="str">
        <f t="shared" si="40"/>
        <v>BGTACRD024492AUTOSERVICIONUTRESA</v>
      </c>
      <c r="R262" s="2">
        <v>76</v>
      </c>
      <c r="S262" s="13">
        <v>76</v>
      </c>
      <c r="T262" s="123">
        <f t="shared" si="41"/>
        <v>1</v>
      </c>
      <c r="U262" s="13">
        <f t="shared" si="42"/>
        <v>0</v>
      </c>
      <c r="V262" s="123">
        <f t="shared" si="43"/>
        <v>0</v>
      </c>
      <c r="X262" s="13">
        <v>13000000</v>
      </c>
      <c r="Y262" s="13">
        <v>25000000</v>
      </c>
      <c r="Z262" s="13">
        <v>25000000</v>
      </c>
      <c r="AA262" s="13">
        <f t="shared" si="44"/>
        <v>8.1249999999999997E+21</v>
      </c>
      <c r="AB262" s="13">
        <f t="shared" si="45"/>
        <v>6.1750000000000002E+23</v>
      </c>
      <c r="AC262" s="13">
        <f t="shared" si="46"/>
        <v>4.2881944444444448E+17</v>
      </c>
      <c r="AD262" s="110">
        <f t="shared" si="47"/>
        <v>44516</v>
      </c>
      <c r="AE262" s="13" t="e">
        <f>IF(AND(AD262&lt;=$AI$4,#REF!&lt;1),1,"")</f>
        <v>#REF!</v>
      </c>
      <c r="AF262" s="110">
        <f t="shared" ca="1" si="48"/>
        <v>44553</v>
      </c>
      <c r="AH262" s="13">
        <f t="shared" ca="1" si="49"/>
        <v>41</v>
      </c>
    </row>
    <row r="263" spans="1:34" x14ac:dyDescent="0.25">
      <c r="A263" s="13" t="s">
        <v>724</v>
      </c>
      <c r="B263" s="13" t="s">
        <v>4</v>
      </c>
      <c r="C263" s="13" t="s">
        <v>1169</v>
      </c>
      <c r="D263" s="13" t="s">
        <v>1170</v>
      </c>
      <c r="E263" s="13" t="s">
        <v>727</v>
      </c>
      <c r="F263" s="13">
        <v>24</v>
      </c>
      <c r="G263" s="2" t="s">
        <v>329</v>
      </c>
      <c r="H263" s="13" t="s">
        <v>0</v>
      </c>
      <c r="I263" s="13" t="s">
        <v>145</v>
      </c>
      <c r="J263" s="13" t="s">
        <v>46</v>
      </c>
      <c r="K263" s="109">
        <v>44512</v>
      </c>
      <c r="L263" s="109">
        <v>44531</v>
      </c>
      <c r="P263" s="110">
        <v>44511</v>
      </c>
      <c r="Q263" s="13" t="str">
        <f t="shared" si="40"/>
        <v>BGTACRD024492AUTOSERVICIOALTILLANO</v>
      </c>
      <c r="R263" s="2">
        <v>24</v>
      </c>
      <c r="S263" s="13">
        <v>24</v>
      </c>
      <c r="T263" s="123">
        <f t="shared" si="41"/>
        <v>1</v>
      </c>
      <c r="U263" s="13">
        <f t="shared" si="42"/>
        <v>0</v>
      </c>
      <c r="V263" s="123">
        <f t="shared" si="43"/>
        <v>0</v>
      </c>
      <c r="X263" s="13">
        <v>13000000</v>
      </c>
      <c r="Y263" s="13">
        <v>25000000</v>
      </c>
      <c r="Z263" s="13">
        <v>25000000</v>
      </c>
      <c r="AA263" s="13">
        <f t="shared" si="44"/>
        <v>8.1249999999999997E+21</v>
      </c>
      <c r="AB263" s="13">
        <f t="shared" si="45"/>
        <v>1.95E+23</v>
      </c>
      <c r="AC263" s="13">
        <f t="shared" si="46"/>
        <v>1.3541666666666667E+17</v>
      </c>
      <c r="AD263" s="110">
        <f t="shared" si="47"/>
        <v>44516</v>
      </c>
      <c r="AE263" s="13" t="e">
        <f>IF(AND(AD263&lt;=$AI$4,#REF!&lt;1),1,"")</f>
        <v>#REF!</v>
      </c>
      <c r="AF263" s="110">
        <f t="shared" ca="1" si="48"/>
        <v>44553</v>
      </c>
      <c r="AH263" s="13">
        <f t="shared" ca="1" si="49"/>
        <v>41</v>
      </c>
    </row>
    <row r="264" spans="1:34" x14ac:dyDescent="0.25">
      <c r="A264" s="13" t="s">
        <v>150</v>
      </c>
      <c r="B264" s="13" t="s">
        <v>150</v>
      </c>
      <c r="C264" s="13" t="s">
        <v>1169</v>
      </c>
      <c r="D264" s="13" t="s">
        <v>1170</v>
      </c>
      <c r="E264" s="13" t="s">
        <v>727</v>
      </c>
      <c r="F264" s="13">
        <v>12</v>
      </c>
      <c r="G264" s="2" t="s">
        <v>329</v>
      </c>
      <c r="H264" s="13" t="s">
        <v>0</v>
      </c>
      <c r="I264" s="13" t="s">
        <v>140</v>
      </c>
      <c r="J264" s="13" t="s">
        <v>46</v>
      </c>
      <c r="K264" s="109">
        <v>44512</v>
      </c>
      <c r="L264" s="109">
        <v>44531</v>
      </c>
      <c r="P264" s="110">
        <v>44511</v>
      </c>
      <c r="Q264" s="13" t="str">
        <f t="shared" si="40"/>
        <v>VILACRD024492AUTOSERVICIONUTRESA</v>
      </c>
      <c r="R264" s="2">
        <v>12</v>
      </c>
      <c r="S264" s="13">
        <v>12</v>
      </c>
      <c r="T264" s="123">
        <f t="shared" si="41"/>
        <v>1</v>
      </c>
      <c r="U264" s="13">
        <f t="shared" si="42"/>
        <v>0</v>
      </c>
      <c r="V264" s="123">
        <f t="shared" si="43"/>
        <v>0</v>
      </c>
      <c r="X264" s="13">
        <v>13000000</v>
      </c>
      <c r="Y264" s="13">
        <v>25000000</v>
      </c>
      <c r="Z264" s="13">
        <v>25000000</v>
      </c>
      <c r="AA264" s="13">
        <f t="shared" si="44"/>
        <v>8.1249999999999997E+21</v>
      </c>
      <c r="AB264" s="13">
        <f t="shared" si="45"/>
        <v>9.7500000000000001E+22</v>
      </c>
      <c r="AC264" s="13">
        <f t="shared" si="46"/>
        <v>6.7708333333333336E+16</v>
      </c>
      <c r="AD264" s="110">
        <f t="shared" si="47"/>
        <v>44516</v>
      </c>
      <c r="AE264" s="13" t="e">
        <f>IF(AND(AD264&lt;=$AI$4,#REF!&lt;1),1,"")</f>
        <v>#REF!</v>
      </c>
      <c r="AF264" s="110">
        <f t="shared" ca="1" si="48"/>
        <v>44553</v>
      </c>
      <c r="AH264" s="13">
        <f t="shared" ca="1" si="49"/>
        <v>41</v>
      </c>
    </row>
    <row r="265" spans="1:34" x14ac:dyDescent="0.25">
      <c r="A265" s="13" t="s">
        <v>149</v>
      </c>
      <c r="B265" s="13" t="s">
        <v>149</v>
      </c>
      <c r="C265" s="13" t="s">
        <v>1169</v>
      </c>
      <c r="D265" s="13" t="s">
        <v>1170</v>
      </c>
      <c r="E265" s="13" t="s">
        <v>727</v>
      </c>
      <c r="F265" s="13">
        <v>36</v>
      </c>
      <c r="G265" s="2" t="s">
        <v>329</v>
      </c>
      <c r="H265" s="13" t="s">
        <v>0</v>
      </c>
      <c r="I265" s="13" t="s">
        <v>140</v>
      </c>
      <c r="J265" s="13" t="s">
        <v>46</v>
      </c>
      <c r="K265" s="109">
        <v>44512</v>
      </c>
      <c r="L265" s="109">
        <v>44531</v>
      </c>
      <c r="P265" s="110">
        <v>44511</v>
      </c>
      <c r="Q265" s="13" t="str">
        <f t="shared" si="40"/>
        <v>DUITCRD024492AUTOSERVICIONUTRESA</v>
      </c>
      <c r="R265" s="2">
        <v>36</v>
      </c>
      <c r="S265" s="13">
        <v>36</v>
      </c>
      <c r="T265" s="123">
        <f t="shared" si="41"/>
        <v>1</v>
      </c>
      <c r="U265" s="13">
        <f t="shared" si="42"/>
        <v>0</v>
      </c>
      <c r="V265" s="123">
        <f t="shared" si="43"/>
        <v>0</v>
      </c>
      <c r="X265" s="13">
        <v>13000000</v>
      </c>
      <c r="Y265" s="13">
        <v>25000000</v>
      </c>
      <c r="Z265" s="13">
        <v>25000000</v>
      </c>
      <c r="AA265" s="13">
        <f t="shared" si="44"/>
        <v>8.1249999999999997E+21</v>
      </c>
      <c r="AB265" s="13">
        <f t="shared" si="45"/>
        <v>2.925E+23</v>
      </c>
      <c r="AC265" s="13">
        <f t="shared" si="46"/>
        <v>2.03125E+17</v>
      </c>
      <c r="AD265" s="110">
        <f t="shared" si="47"/>
        <v>44516</v>
      </c>
      <c r="AE265" s="13" t="e">
        <f>IF(AND(AD265&lt;=$AI$4,#REF!&lt;1),1,"")</f>
        <v>#REF!</v>
      </c>
      <c r="AF265" s="110">
        <f t="shared" ca="1" si="48"/>
        <v>44553</v>
      </c>
      <c r="AH265" s="13">
        <f t="shared" ca="1" si="49"/>
        <v>41</v>
      </c>
    </row>
    <row r="266" spans="1:34" x14ac:dyDescent="0.25">
      <c r="A266" s="13" t="s">
        <v>5</v>
      </c>
      <c r="B266" s="13" t="s">
        <v>5</v>
      </c>
      <c r="C266" s="13" t="s">
        <v>1169</v>
      </c>
      <c r="D266" s="13" t="s">
        <v>1170</v>
      </c>
      <c r="E266" s="13" t="s">
        <v>727</v>
      </c>
      <c r="F266" s="13">
        <v>60</v>
      </c>
      <c r="G266" s="2" t="s">
        <v>329</v>
      </c>
      <c r="H266" s="13" t="s">
        <v>0</v>
      </c>
      <c r="I266" s="13" t="s">
        <v>140</v>
      </c>
      <c r="J266" s="13" t="s">
        <v>46</v>
      </c>
      <c r="K266" s="109">
        <v>44512</v>
      </c>
      <c r="L266" s="109">
        <v>44531</v>
      </c>
      <c r="Q266" s="13" t="str">
        <f t="shared" si="40"/>
        <v>BUCACRD024492AUTOSERVICIONUTRESA</v>
      </c>
      <c r="T266" s="123">
        <f t="shared" si="41"/>
        <v>0</v>
      </c>
      <c r="U266" s="13">
        <f t="shared" si="42"/>
        <v>0</v>
      </c>
      <c r="V266" s="123">
        <f t="shared" si="43"/>
        <v>0</v>
      </c>
      <c r="X266" s="13">
        <v>13000000</v>
      </c>
      <c r="Y266" s="13">
        <v>25000000</v>
      </c>
      <c r="Z266" s="13">
        <v>25000000</v>
      </c>
      <c r="AA266" s="13">
        <f t="shared" si="44"/>
        <v>8.1249999999999997E+21</v>
      </c>
      <c r="AB266" s="13">
        <f t="shared" si="45"/>
        <v>4.8749999999999997E+23</v>
      </c>
      <c r="AC266" s="13">
        <f t="shared" si="46"/>
        <v>3.3854166666666662E+17</v>
      </c>
      <c r="AD266" s="110">
        <f t="shared" si="47"/>
        <v>44516</v>
      </c>
      <c r="AE266" s="13" t="e">
        <f>IF(AND(AD266&lt;=$AI$4,#REF!&lt;1),1,"")</f>
        <v>#REF!</v>
      </c>
      <c r="AF266" s="110">
        <f t="shared" ca="1" si="48"/>
        <v>44553</v>
      </c>
      <c r="AH266" s="13">
        <f t="shared" ca="1" si="49"/>
        <v>41</v>
      </c>
    </row>
    <row r="267" spans="1:34" x14ac:dyDescent="0.25">
      <c r="A267" s="13" t="s">
        <v>6</v>
      </c>
      <c r="B267" s="13" t="s">
        <v>6</v>
      </c>
      <c r="C267" s="13" t="s">
        <v>1169</v>
      </c>
      <c r="D267" s="13" t="s">
        <v>1170</v>
      </c>
      <c r="E267" s="13" t="s">
        <v>727</v>
      </c>
      <c r="F267" s="13">
        <v>36</v>
      </c>
      <c r="G267" s="2" t="s">
        <v>329</v>
      </c>
      <c r="H267" s="13" t="s">
        <v>0</v>
      </c>
      <c r="I267" s="13" t="s">
        <v>140</v>
      </c>
      <c r="J267" s="13" t="s">
        <v>46</v>
      </c>
      <c r="K267" s="109">
        <v>44512</v>
      </c>
      <c r="L267" s="109">
        <v>44531</v>
      </c>
      <c r="Q267" s="13" t="str">
        <f t="shared" si="40"/>
        <v>CALICRD024492AUTOSERVICIONUTRESA</v>
      </c>
      <c r="T267" s="123">
        <f t="shared" si="41"/>
        <v>0</v>
      </c>
      <c r="U267" s="13">
        <f t="shared" si="42"/>
        <v>0</v>
      </c>
      <c r="V267" s="123">
        <f t="shared" si="43"/>
        <v>0</v>
      </c>
      <c r="X267" s="13">
        <v>13000000</v>
      </c>
      <c r="Y267" s="13">
        <v>25000000</v>
      </c>
      <c r="Z267" s="13">
        <v>25000000</v>
      </c>
      <c r="AA267" s="13">
        <f t="shared" si="44"/>
        <v>8.1249999999999997E+21</v>
      </c>
      <c r="AB267" s="13">
        <f t="shared" si="45"/>
        <v>2.925E+23</v>
      </c>
      <c r="AC267" s="13">
        <f t="shared" si="46"/>
        <v>2.03125E+17</v>
      </c>
      <c r="AD267" s="110">
        <f t="shared" si="47"/>
        <v>44516</v>
      </c>
      <c r="AE267" s="13" t="e">
        <f>IF(AND(AD267&lt;=$AI$4,#REF!&lt;1),1,"")</f>
        <v>#REF!</v>
      </c>
      <c r="AF267" s="110">
        <f t="shared" ca="1" si="48"/>
        <v>44553</v>
      </c>
      <c r="AH267" s="13">
        <f t="shared" ca="1" si="49"/>
        <v>41</v>
      </c>
    </row>
    <row r="268" spans="1:34" x14ac:dyDescent="0.25">
      <c r="A268" s="13" t="s">
        <v>7</v>
      </c>
      <c r="B268" s="13" t="s">
        <v>7</v>
      </c>
      <c r="C268" s="13" t="s">
        <v>1169</v>
      </c>
      <c r="D268" s="13" t="s">
        <v>1170</v>
      </c>
      <c r="E268" s="13" t="s">
        <v>727</v>
      </c>
      <c r="F268" s="13">
        <v>16</v>
      </c>
      <c r="G268" s="2" t="s">
        <v>329</v>
      </c>
      <c r="H268" s="13" t="s">
        <v>0</v>
      </c>
      <c r="I268" s="13" t="s">
        <v>140</v>
      </c>
      <c r="J268" s="13" t="s">
        <v>46</v>
      </c>
      <c r="K268" s="109">
        <v>44512</v>
      </c>
      <c r="L268" s="109">
        <v>44531</v>
      </c>
      <c r="Q268" s="13" t="str">
        <f t="shared" si="40"/>
        <v>CARTCRD024492AUTOSERVICIONUTRESA</v>
      </c>
      <c r="T268" s="123">
        <f t="shared" si="41"/>
        <v>0</v>
      </c>
      <c r="U268" s="13">
        <f t="shared" si="42"/>
        <v>0</v>
      </c>
      <c r="V268" s="123">
        <f t="shared" si="43"/>
        <v>0</v>
      </c>
      <c r="X268" s="13">
        <v>13000000</v>
      </c>
      <c r="Y268" s="13">
        <v>25000000</v>
      </c>
      <c r="Z268" s="13">
        <v>25000000</v>
      </c>
      <c r="AA268" s="13">
        <f t="shared" si="44"/>
        <v>8.1249999999999997E+21</v>
      </c>
      <c r="AB268" s="13">
        <f t="shared" si="45"/>
        <v>1.3E+23</v>
      </c>
      <c r="AC268" s="13">
        <f t="shared" si="46"/>
        <v>9.0277777777777776E+16</v>
      </c>
      <c r="AD268" s="110">
        <f t="shared" si="47"/>
        <v>44516</v>
      </c>
      <c r="AE268" s="13" t="e">
        <f>IF(AND(AD268&lt;=$AI$4,#REF!&lt;1),1,"")</f>
        <v>#REF!</v>
      </c>
      <c r="AF268" s="110">
        <f t="shared" ca="1" si="48"/>
        <v>44553</v>
      </c>
      <c r="AH268" s="13">
        <f t="shared" ca="1" si="49"/>
        <v>41</v>
      </c>
    </row>
    <row r="269" spans="1:34" x14ac:dyDescent="0.25">
      <c r="A269" s="13" t="s">
        <v>8</v>
      </c>
      <c r="B269" s="13" t="s">
        <v>8</v>
      </c>
      <c r="C269" s="13" t="s">
        <v>1169</v>
      </c>
      <c r="D269" s="13" t="s">
        <v>1170</v>
      </c>
      <c r="E269" s="13" t="s">
        <v>727</v>
      </c>
      <c r="F269" s="13">
        <v>44</v>
      </c>
      <c r="G269" s="2" t="s">
        <v>329</v>
      </c>
      <c r="H269" s="13" t="s">
        <v>0</v>
      </c>
      <c r="I269" s="13" t="s">
        <v>140</v>
      </c>
      <c r="J269" s="13" t="s">
        <v>46</v>
      </c>
      <c r="K269" s="109">
        <v>44512</v>
      </c>
      <c r="L269" s="109">
        <v>44531</v>
      </c>
      <c r="P269" s="110">
        <v>44511</v>
      </c>
      <c r="Q269" s="13" t="str">
        <f t="shared" si="40"/>
        <v>IBA1CRD024492AUTOSERVICIONUTRESA</v>
      </c>
      <c r="R269" s="2">
        <v>44</v>
      </c>
      <c r="S269" s="13">
        <v>44</v>
      </c>
      <c r="T269" s="123">
        <f t="shared" si="41"/>
        <v>1</v>
      </c>
      <c r="U269" s="13">
        <f t="shared" si="42"/>
        <v>0</v>
      </c>
      <c r="V269" s="123">
        <f t="shared" si="43"/>
        <v>0</v>
      </c>
      <c r="X269" s="13">
        <v>13000000</v>
      </c>
      <c r="Y269" s="13">
        <v>25000000</v>
      </c>
      <c r="Z269" s="13">
        <v>25000000</v>
      </c>
      <c r="AA269" s="13">
        <f t="shared" si="44"/>
        <v>8.1249999999999997E+21</v>
      </c>
      <c r="AB269" s="13">
        <f t="shared" si="45"/>
        <v>3.5749999999999999E+23</v>
      </c>
      <c r="AC269" s="13">
        <f t="shared" si="46"/>
        <v>2.482638888888889E+17</v>
      </c>
      <c r="AD269" s="110">
        <f t="shared" si="47"/>
        <v>44516</v>
      </c>
      <c r="AE269" s="13" t="e">
        <f>IF(AND(AD269&lt;=$AI$4,#REF!&lt;1),1,"")</f>
        <v>#REF!</v>
      </c>
      <c r="AF269" s="110">
        <f t="shared" ca="1" si="48"/>
        <v>44553</v>
      </c>
      <c r="AH269" s="13">
        <f t="shared" ca="1" si="49"/>
        <v>41</v>
      </c>
    </row>
    <row r="270" spans="1:34" x14ac:dyDescent="0.25">
      <c r="A270" s="13" t="s">
        <v>9</v>
      </c>
      <c r="B270" s="13" t="s">
        <v>9</v>
      </c>
      <c r="C270" s="13" t="s">
        <v>1169</v>
      </c>
      <c r="D270" s="13" t="s">
        <v>1170</v>
      </c>
      <c r="E270" s="13" t="s">
        <v>727</v>
      </c>
      <c r="F270" s="13">
        <v>60</v>
      </c>
      <c r="G270" s="2" t="s">
        <v>329</v>
      </c>
      <c r="H270" s="13" t="s">
        <v>0</v>
      </c>
      <c r="I270" s="13" t="s">
        <v>140</v>
      </c>
      <c r="J270" s="13" t="s">
        <v>46</v>
      </c>
      <c r="K270" s="109">
        <v>44512</v>
      </c>
      <c r="L270" s="109">
        <v>44531</v>
      </c>
      <c r="Q270" s="13" t="str">
        <f t="shared" si="40"/>
        <v>MEDECRD024492AUTOSERVICIONUTRESA</v>
      </c>
      <c r="T270" s="123">
        <f t="shared" si="41"/>
        <v>0</v>
      </c>
      <c r="U270" s="13">
        <f t="shared" si="42"/>
        <v>0</v>
      </c>
      <c r="V270" s="123">
        <f t="shared" si="43"/>
        <v>0</v>
      </c>
      <c r="X270" s="13">
        <v>13000000</v>
      </c>
      <c r="Y270" s="13">
        <v>25000000</v>
      </c>
      <c r="Z270" s="13">
        <v>25000000</v>
      </c>
      <c r="AA270" s="13">
        <f t="shared" si="44"/>
        <v>8.1249999999999997E+21</v>
      </c>
      <c r="AB270" s="13">
        <f t="shared" si="45"/>
        <v>4.8749999999999997E+23</v>
      </c>
      <c r="AC270" s="13">
        <f t="shared" si="46"/>
        <v>3.3854166666666662E+17</v>
      </c>
      <c r="AD270" s="110">
        <f t="shared" si="47"/>
        <v>44516</v>
      </c>
      <c r="AE270" s="13" t="e">
        <f>IF(AND(AD270&lt;=$AI$4,#REF!&lt;1),1,"")</f>
        <v>#REF!</v>
      </c>
      <c r="AF270" s="110">
        <f t="shared" ca="1" si="48"/>
        <v>44553</v>
      </c>
      <c r="AH270" s="13">
        <f t="shared" ca="1" si="49"/>
        <v>41</v>
      </c>
    </row>
    <row r="271" spans="1:34" x14ac:dyDescent="0.25">
      <c r="A271" s="13" t="s">
        <v>10</v>
      </c>
      <c r="B271" s="13" t="s">
        <v>10</v>
      </c>
      <c r="C271" s="13" t="s">
        <v>1169</v>
      </c>
      <c r="D271" s="13" t="s">
        <v>1170</v>
      </c>
      <c r="E271" s="13" t="s">
        <v>727</v>
      </c>
      <c r="F271" s="13">
        <v>28</v>
      </c>
      <c r="G271" s="2" t="s">
        <v>329</v>
      </c>
      <c r="H271" s="13" t="s">
        <v>0</v>
      </c>
      <c r="I271" s="13" t="s">
        <v>140</v>
      </c>
      <c r="J271" s="13" t="s">
        <v>46</v>
      </c>
      <c r="K271" s="109">
        <v>44512</v>
      </c>
      <c r="L271" s="109">
        <v>44531</v>
      </c>
      <c r="Q271" s="13" t="str">
        <f t="shared" si="40"/>
        <v>PERECRD024492AUTOSERVICIONUTRESA</v>
      </c>
      <c r="T271" s="123">
        <f t="shared" si="41"/>
        <v>0</v>
      </c>
      <c r="U271" s="13">
        <f t="shared" si="42"/>
        <v>0</v>
      </c>
      <c r="V271" s="123">
        <f t="shared" si="43"/>
        <v>0</v>
      </c>
      <c r="X271" s="13">
        <v>13000000</v>
      </c>
      <c r="Y271" s="13">
        <v>25000000</v>
      </c>
      <c r="Z271" s="13">
        <v>25000000</v>
      </c>
      <c r="AA271" s="13">
        <f t="shared" si="44"/>
        <v>8.1249999999999997E+21</v>
      </c>
      <c r="AB271" s="13">
        <f t="shared" si="45"/>
        <v>2.2749999999999998E+23</v>
      </c>
      <c r="AC271" s="13">
        <f t="shared" si="46"/>
        <v>1.579861111111111E+17</v>
      </c>
      <c r="AD271" s="110">
        <f t="shared" si="47"/>
        <v>44516</v>
      </c>
      <c r="AE271" s="13" t="e">
        <f>IF(AND(AD271&lt;=$AI$4,#REF!&lt;1),1,"")</f>
        <v>#REF!</v>
      </c>
      <c r="AF271" s="110">
        <f t="shared" ca="1" si="48"/>
        <v>44553</v>
      </c>
      <c r="AH271" s="13">
        <f t="shared" ca="1" si="49"/>
        <v>41</v>
      </c>
    </row>
    <row r="272" spans="1:34" x14ac:dyDescent="0.25">
      <c r="A272" s="13" t="s">
        <v>3</v>
      </c>
      <c r="B272" s="13" t="s">
        <v>3</v>
      </c>
      <c r="C272" s="13" t="s">
        <v>1171</v>
      </c>
      <c r="D272" s="13" t="s">
        <v>1172</v>
      </c>
      <c r="E272" s="13" t="s">
        <v>757</v>
      </c>
      <c r="F272" s="13">
        <v>510</v>
      </c>
      <c r="G272" s="2" t="s">
        <v>382</v>
      </c>
      <c r="H272" s="13" t="s">
        <v>2</v>
      </c>
      <c r="I272" s="13" t="s">
        <v>140</v>
      </c>
      <c r="J272" s="13" t="s">
        <v>139</v>
      </c>
      <c r="K272" s="109">
        <v>44512</v>
      </c>
      <c r="L272" s="109">
        <v>44525</v>
      </c>
      <c r="Q272" s="13" t="str">
        <f t="shared" si="40"/>
        <v>BARRCRD024886TRADICIONALNUTRESA</v>
      </c>
      <c r="T272" s="123">
        <f t="shared" si="41"/>
        <v>0</v>
      </c>
      <c r="U272" s="13">
        <f t="shared" si="42"/>
        <v>0</v>
      </c>
      <c r="V272" s="123">
        <f t="shared" si="43"/>
        <v>0</v>
      </c>
      <c r="X272" s="13">
        <v>0.01</v>
      </c>
      <c r="Y272" s="13">
        <v>33500000</v>
      </c>
      <c r="Z272" s="13">
        <v>33500000</v>
      </c>
      <c r="AA272" s="13">
        <f t="shared" si="44"/>
        <v>11222500000000</v>
      </c>
      <c r="AB272" s="13">
        <f t="shared" si="45"/>
        <v>5723475000000000</v>
      </c>
      <c r="AC272" s="13">
        <f t="shared" si="46"/>
        <v>3974635416.6666665</v>
      </c>
      <c r="AD272" s="110">
        <f t="shared" si="47"/>
        <v>44516</v>
      </c>
      <c r="AE272" s="13" t="e">
        <f>IF(AND(AD272&lt;=$AI$4,#REF!&lt;1),1,"")</f>
        <v>#REF!</v>
      </c>
      <c r="AF272" s="110">
        <f t="shared" ca="1" si="48"/>
        <v>44553</v>
      </c>
      <c r="AH272" s="13">
        <f t="shared" ca="1" si="49"/>
        <v>41</v>
      </c>
    </row>
    <row r="273" spans="1:34" x14ac:dyDescent="0.25">
      <c r="A273" s="13" t="s">
        <v>4</v>
      </c>
      <c r="B273" s="13" t="s">
        <v>4</v>
      </c>
      <c r="C273" s="13" t="s">
        <v>1171</v>
      </c>
      <c r="D273" s="13" t="s">
        <v>1172</v>
      </c>
      <c r="E273" s="13" t="s">
        <v>757</v>
      </c>
      <c r="F273" s="13">
        <v>1230</v>
      </c>
      <c r="G273" s="2" t="s">
        <v>382</v>
      </c>
      <c r="H273" s="13" t="s">
        <v>2</v>
      </c>
      <c r="I273" s="13" t="s">
        <v>140</v>
      </c>
      <c r="J273" s="13" t="s">
        <v>139</v>
      </c>
      <c r="K273" s="109">
        <v>44512</v>
      </c>
      <c r="L273" s="109">
        <v>44525</v>
      </c>
      <c r="Q273" s="13" t="str">
        <f t="shared" si="40"/>
        <v>BGTACRD024886TRADICIONALNUTRESA</v>
      </c>
      <c r="T273" s="123">
        <f t="shared" si="41"/>
        <v>0</v>
      </c>
      <c r="U273" s="13">
        <f t="shared" si="42"/>
        <v>0</v>
      </c>
      <c r="V273" s="123">
        <f t="shared" si="43"/>
        <v>0</v>
      </c>
      <c r="X273" s="13">
        <v>0.01</v>
      </c>
      <c r="Y273" s="13">
        <v>33500000</v>
      </c>
      <c r="Z273" s="13">
        <v>33500000</v>
      </c>
      <c r="AA273" s="13">
        <f t="shared" si="44"/>
        <v>11222500000000</v>
      </c>
      <c r="AB273" s="13">
        <f t="shared" si="45"/>
        <v>1.3803675E+16</v>
      </c>
      <c r="AC273" s="13">
        <f t="shared" si="46"/>
        <v>9585885416.666666</v>
      </c>
      <c r="AD273" s="110">
        <f t="shared" si="47"/>
        <v>44516</v>
      </c>
      <c r="AE273" s="13" t="e">
        <f>IF(AND(AD273&lt;=$AI$4,#REF!&lt;1),1,"")</f>
        <v>#REF!</v>
      </c>
      <c r="AF273" s="110">
        <f t="shared" ca="1" si="48"/>
        <v>44553</v>
      </c>
      <c r="AH273" s="13">
        <f t="shared" ca="1" si="49"/>
        <v>41</v>
      </c>
    </row>
    <row r="274" spans="1:34" x14ac:dyDescent="0.25">
      <c r="A274" s="13" t="s">
        <v>724</v>
      </c>
      <c r="B274" s="13" t="s">
        <v>4</v>
      </c>
      <c r="C274" s="13" t="s">
        <v>1171</v>
      </c>
      <c r="D274" s="13" t="s">
        <v>1172</v>
      </c>
      <c r="E274" s="13" t="s">
        <v>757</v>
      </c>
      <c r="F274" s="13">
        <v>500</v>
      </c>
      <c r="G274" s="2" t="s">
        <v>382</v>
      </c>
      <c r="H274" s="13" t="s">
        <v>2</v>
      </c>
      <c r="I274" s="13" t="s">
        <v>145</v>
      </c>
      <c r="J274" s="13" t="s">
        <v>139</v>
      </c>
      <c r="K274" s="109">
        <v>44512</v>
      </c>
      <c r="L274" s="109">
        <v>44525</v>
      </c>
      <c r="Q274" s="13" t="str">
        <f t="shared" si="40"/>
        <v>BGTACRD024886TRADICIONALALTILLANO</v>
      </c>
      <c r="T274" s="123">
        <f t="shared" si="41"/>
        <v>0</v>
      </c>
      <c r="U274" s="13">
        <f t="shared" si="42"/>
        <v>0</v>
      </c>
      <c r="V274" s="123">
        <f t="shared" si="43"/>
        <v>0</v>
      </c>
      <c r="X274" s="13">
        <v>0.01</v>
      </c>
      <c r="Y274" s="13">
        <v>33500000</v>
      </c>
      <c r="Z274" s="13">
        <v>33500000</v>
      </c>
      <c r="AA274" s="13">
        <f t="shared" si="44"/>
        <v>11222500000000</v>
      </c>
      <c r="AB274" s="13">
        <f t="shared" si="45"/>
        <v>5611250000000000</v>
      </c>
      <c r="AC274" s="13">
        <f t="shared" si="46"/>
        <v>3896701388.8888888</v>
      </c>
      <c r="AD274" s="110">
        <f t="shared" si="47"/>
        <v>44516</v>
      </c>
      <c r="AE274" s="13" t="e">
        <f>IF(AND(AD274&lt;=$AI$4,#REF!&lt;1),1,"")</f>
        <v>#REF!</v>
      </c>
      <c r="AF274" s="110">
        <f t="shared" ca="1" si="48"/>
        <v>44553</v>
      </c>
      <c r="AH274" s="13">
        <f t="shared" ca="1" si="49"/>
        <v>41</v>
      </c>
    </row>
    <row r="275" spans="1:34" x14ac:dyDescent="0.25">
      <c r="A275" s="13" t="s">
        <v>149</v>
      </c>
      <c r="B275" s="13" t="s">
        <v>149</v>
      </c>
      <c r="C275" s="13" t="s">
        <v>1171</v>
      </c>
      <c r="D275" s="13" t="s">
        <v>1172</v>
      </c>
      <c r="E275" s="13" t="s">
        <v>757</v>
      </c>
      <c r="F275" s="13">
        <v>200</v>
      </c>
      <c r="G275" s="2" t="s">
        <v>382</v>
      </c>
      <c r="H275" s="13" t="s">
        <v>2</v>
      </c>
      <c r="I275" s="13" t="s">
        <v>140</v>
      </c>
      <c r="J275" s="13" t="s">
        <v>139</v>
      </c>
      <c r="K275" s="109">
        <v>44512</v>
      </c>
      <c r="L275" s="109">
        <v>44525</v>
      </c>
      <c r="Q275" s="13" t="str">
        <f t="shared" si="40"/>
        <v>DUITCRD024886TRADICIONALNUTRESA</v>
      </c>
      <c r="T275" s="123">
        <f t="shared" si="41"/>
        <v>0</v>
      </c>
      <c r="U275" s="13">
        <f t="shared" si="42"/>
        <v>0</v>
      </c>
      <c r="V275" s="123">
        <f t="shared" si="43"/>
        <v>0</v>
      </c>
      <c r="X275" s="13">
        <v>0.01</v>
      </c>
      <c r="Y275" s="13">
        <v>33500000</v>
      </c>
      <c r="Z275" s="13">
        <v>33500000</v>
      </c>
      <c r="AA275" s="13">
        <f t="shared" si="44"/>
        <v>11222500000000</v>
      </c>
      <c r="AB275" s="13">
        <f t="shared" si="45"/>
        <v>2244500000000000</v>
      </c>
      <c r="AC275" s="13">
        <f t="shared" si="46"/>
        <v>1558680555.5555556</v>
      </c>
      <c r="AD275" s="110">
        <f t="shared" si="47"/>
        <v>44516</v>
      </c>
      <c r="AE275" s="13" t="e">
        <f>IF(AND(AD275&lt;=$AI$4,#REF!&lt;1),1,"")</f>
        <v>#REF!</v>
      </c>
      <c r="AF275" s="110">
        <f t="shared" ca="1" si="48"/>
        <v>44553</v>
      </c>
      <c r="AH275" s="13">
        <f t="shared" ca="1" si="49"/>
        <v>41</v>
      </c>
    </row>
    <row r="276" spans="1:34" x14ac:dyDescent="0.25">
      <c r="A276" s="13" t="s">
        <v>150</v>
      </c>
      <c r="B276" s="13" t="s">
        <v>150</v>
      </c>
      <c r="C276" s="13" t="s">
        <v>1171</v>
      </c>
      <c r="D276" s="13" t="s">
        <v>1172</v>
      </c>
      <c r="E276" s="13" t="s">
        <v>757</v>
      </c>
      <c r="F276" s="13">
        <v>250</v>
      </c>
      <c r="G276" s="2" t="s">
        <v>382</v>
      </c>
      <c r="H276" s="13" t="s">
        <v>2</v>
      </c>
      <c r="I276" s="13" t="s">
        <v>140</v>
      </c>
      <c r="J276" s="13" t="s">
        <v>139</v>
      </c>
      <c r="K276" s="109">
        <v>44512</v>
      </c>
      <c r="L276" s="109">
        <v>44525</v>
      </c>
      <c r="Q276" s="13" t="str">
        <f t="shared" si="40"/>
        <v>VILACRD024886TRADICIONALNUTRESA</v>
      </c>
      <c r="T276" s="123">
        <f t="shared" si="41"/>
        <v>0</v>
      </c>
      <c r="U276" s="13">
        <f t="shared" si="42"/>
        <v>0</v>
      </c>
      <c r="V276" s="123">
        <f t="shared" si="43"/>
        <v>0</v>
      </c>
      <c r="X276" s="13">
        <v>0.01</v>
      </c>
      <c r="Y276" s="13">
        <v>33500000</v>
      </c>
      <c r="Z276" s="13">
        <v>33500000</v>
      </c>
      <c r="AA276" s="13">
        <f t="shared" si="44"/>
        <v>11222500000000</v>
      </c>
      <c r="AB276" s="13">
        <f t="shared" si="45"/>
        <v>2805625000000000</v>
      </c>
      <c r="AC276" s="13">
        <f t="shared" si="46"/>
        <v>1948350694.4444444</v>
      </c>
      <c r="AD276" s="110">
        <f t="shared" si="47"/>
        <v>44516</v>
      </c>
      <c r="AE276" s="13" t="e">
        <f>IF(AND(AD276&lt;=$AI$4,#REF!&lt;1),1,"")</f>
        <v>#REF!</v>
      </c>
      <c r="AF276" s="110">
        <f t="shared" ca="1" si="48"/>
        <v>44553</v>
      </c>
      <c r="AH276" s="13">
        <f t="shared" ca="1" si="49"/>
        <v>41</v>
      </c>
    </row>
    <row r="277" spans="1:34" x14ac:dyDescent="0.25">
      <c r="A277" s="13" t="s">
        <v>5</v>
      </c>
      <c r="B277" s="13" t="s">
        <v>5</v>
      </c>
      <c r="C277" s="13" t="s">
        <v>1171</v>
      </c>
      <c r="D277" s="13" t="s">
        <v>1172</v>
      </c>
      <c r="E277" s="13" t="s">
        <v>757</v>
      </c>
      <c r="F277" s="13">
        <v>415</v>
      </c>
      <c r="G277" s="2" t="s">
        <v>382</v>
      </c>
      <c r="H277" s="13" t="s">
        <v>2</v>
      </c>
      <c r="I277" s="13" t="s">
        <v>140</v>
      </c>
      <c r="J277" s="13" t="s">
        <v>139</v>
      </c>
      <c r="K277" s="109">
        <v>44512</v>
      </c>
      <c r="L277" s="109">
        <v>44525</v>
      </c>
      <c r="Q277" s="13" t="str">
        <f t="shared" si="40"/>
        <v>BUCACRD024886TRADICIONALNUTRESA</v>
      </c>
      <c r="T277" s="123">
        <f t="shared" si="41"/>
        <v>0</v>
      </c>
      <c r="U277" s="13">
        <f t="shared" si="42"/>
        <v>0</v>
      </c>
      <c r="V277" s="123">
        <f t="shared" si="43"/>
        <v>0</v>
      </c>
      <c r="X277" s="13">
        <v>0.01</v>
      </c>
      <c r="Y277" s="13">
        <v>33500000</v>
      </c>
      <c r="Z277" s="13">
        <v>33500000</v>
      </c>
      <c r="AA277" s="13">
        <f t="shared" si="44"/>
        <v>11222500000000</v>
      </c>
      <c r="AB277" s="13">
        <f t="shared" si="45"/>
        <v>4657337500000000</v>
      </c>
      <c r="AC277" s="13">
        <f t="shared" si="46"/>
        <v>3234262152.7777777</v>
      </c>
      <c r="AD277" s="110">
        <f t="shared" si="47"/>
        <v>44516</v>
      </c>
      <c r="AE277" s="13" t="e">
        <f>IF(AND(AD277&lt;=$AI$4,#REF!&lt;1),1,"")</f>
        <v>#REF!</v>
      </c>
      <c r="AF277" s="110">
        <f t="shared" ca="1" si="48"/>
        <v>44553</v>
      </c>
      <c r="AH277" s="13">
        <f t="shared" ca="1" si="49"/>
        <v>41</v>
      </c>
    </row>
    <row r="278" spans="1:34" x14ac:dyDescent="0.25">
      <c r="A278" s="13" t="s">
        <v>6</v>
      </c>
      <c r="B278" s="13" t="s">
        <v>6</v>
      </c>
      <c r="C278" s="13" t="s">
        <v>1171</v>
      </c>
      <c r="D278" s="13" t="s">
        <v>1172</v>
      </c>
      <c r="E278" s="13" t="s">
        <v>757</v>
      </c>
      <c r="F278" s="13">
        <v>405</v>
      </c>
      <c r="G278" s="2" t="s">
        <v>382</v>
      </c>
      <c r="H278" s="13" t="s">
        <v>2</v>
      </c>
      <c r="I278" s="13" t="s">
        <v>140</v>
      </c>
      <c r="J278" s="13" t="s">
        <v>139</v>
      </c>
      <c r="K278" s="109">
        <v>44512</v>
      </c>
      <c r="L278" s="109">
        <v>44525</v>
      </c>
      <c r="Q278" s="13" t="str">
        <f t="shared" si="40"/>
        <v>CALICRD024886TRADICIONALNUTRESA</v>
      </c>
      <c r="T278" s="123">
        <f t="shared" si="41"/>
        <v>0</v>
      </c>
      <c r="U278" s="13">
        <f t="shared" si="42"/>
        <v>0</v>
      </c>
      <c r="V278" s="123">
        <f t="shared" si="43"/>
        <v>0</v>
      </c>
      <c r="X278" s="13">
        <v>0.01</v>
      </c>
      <c r="Y278" s="13">
        <v>33500000</v>
      </c>
      <c r="Z278" s="13">
        <v>33500000</v>
      </c>
      <c r="AA278" s="13">
        <f t="shared" si="44"/>
        <v>11222500000000</v>
      </c>
      <c r="AB278" s="13">
        <f t="shared" si="45"/>
        <v>4545112500000000</v>
      </c>
      <c r="AC278" s="13">
        <f t="shared" si="46"/>
        <v>3156328125</v>
      </c>
      <c r="AD278" s="110">
        <f t="shared" si="47"/>
        <v>44516</v>
      </c>
      <c r="AE278" s="13" t="e">
        <f>IF(AND(AD278&lt;=$AI$4,#REF!&lt;1),1,"")</f>
        <v>#REF!</v>
      </c>
      <c r="AF278" s="110">
        <f t="shared" ca="1" si="48"/>
        <v>44553</v>
      </c>
      <c r="AH278" s="13">
        <f t="shared" ca="1" si="49"/>
        <v>41</v>
      </c>
    </row>
    <row r="279" spans="1:34" x14ac:dyDescent="0.25">
      <c r="A279" s="13" t="s">
        <v>7</v>
      </c>
      <c r="B279" s="13" t="s">
        <v>7</v>
      </c>
      <c r="C279" s="13" t="s">
        <v>1171</v>
      </c>
      <c r="D279" s="13" t="s">
        <v>1172</v>
      </c>
      <c r="E279" s="13" t="s">
        <v>757</v>
      </c>
      <c r="F279" s="13">
        <v>340</v>
      </c>
      <c r="G279" s="2" t="s">
        <v>382</v>
      </c>
      <c r="H279" s="13" t="s">
        <v>2</v>
      </c>
      <c r="I279" s="13" t="s">
        <v>140</v>
      </c>
      <c r="J279" s="13" t="s">
        <v>139</v>
      </c>
      <c r="K279" s="109">
        <v>44512</v>
      </c>
      <c r="L279" s="109">
        <v>44525</v>
      </c>
      <c r="Q279" s="13" t="str">
        <f t="shared" si="40"/>
        <v>CARTCRD024886TRADICIONALNUTRESA</v>
      </c>
      <c r="T279" s="123">
        <f t="shared" si="41"/>
        <v>0</v>
      </c>
      <c r="U279" s="13">
        <f t="shared" si="42"/>
        <v>0</v>
      </c>
      <c r="V279" s="123">
        <f t="shared" si="43"/>
        <v>0</v>
      </c>
      <c r="X279" s="13">
        <v>0.01</v>
      </c>
      <c r="Y279" s="13">
        <v>33500000</v>
      </c>
      <c r="Z279" s="13">
        <v>33500000</v>
      </c>
      <c r="AA279" s="13">
        <f t="shared" si="44"/>
        <v>11222500000000</v>
      </c>
      <c r="AB279" s="13">
        <f t="shared" si="45"/>
        <v>3815650000000000</v>
      </c>
      <c r="AC279" s="13">
        <f t="shared" si="46"/>
        <v>2649756944.4444447</v>
      </c>
      <c r="AD279" s="110">
        <f t="shared" si="47"/>
        <v>44516</v>
      </c>
      <c r="AE279" s="13" t="e">
        <f>IF(AND(AD279&lt;=$AI$4,#REF!&lt;1),1,"")</f>
        <v>#REF!</v>
      </c>
      <c r="AF279" s="110">
        <f t="shared" ca="1" si="48"/>
        <v>44553</v>
      </c>
      <c r="AH279" s="13">
        <f t="shared" ca="1" si="49"/>
        <v>41</v>
      </c>
    </row>
    <row r="280" spans="1:34" x14ac:dyDescent="0.25">
      <c r="A280" s="13" t="s">
        <v>8</v>
      </c>
      <c r="B280" s="13" t="s">
        <v>8</v>
      </c>
      <c r="C280" s="13" t="s">
        <v>1171</v>
      </c>
      <c r="D280" s="13" t="s">
        <v>1172</v>
      </c>
      <c r="E280" s="13" t="s">
        <v>757</v>
      </c>
      <c r="F280" s="13">
        <v>375</v>
      </c>
      <c r="G280" s="2" t="s">
        <v>382</v>
      </c>
      <c r="H280" s="13" t="s">
        <v>2</v>
      </c>
      <c r="I280" s="13" t="s">
        <v>140</v>
      </c>
      <c r="J280" s="13" t="s">
        <v>139</v>
      </c>
      <c r="K280" s="109">
        <v>44512</v>
      </c>
      <c r="L280" s="109">
        <v>44525</v>
      </c>
      <c r="Q280" s="13" t="str">
        <f t="shared" si="40"/>
        <v>IBA1CRD024886TRADICIONALNUTRESA</v>
      </c>
      <c r="T280" s="123">
        <f t="shared" si="41"/>
        <v>0</v>
      </c>
      <c r="U280" s="13">
        <f t="shared" si="42"/>
        <v>0</v>
      </c>
      <c r="V280" s="123">
        <f t="shared" si="43"/>
        <v>0</v>
      </c>
      <c r="X280" s="13">
        <v>0.01</v>
      </c>
      <c r="Y280" s="13">
        <v>33500000</v>
      </c>
      <c r="Z280" s="13">
        <v>33500000</v>
      </c>
      <c r="AA280" s="13">
        <f t="shared" si="44"/>
        <v>11222500000000</v>
      </c>
      <c r="AB280" s="13">
        <f t="shared" si="45"/>
        <v>4208437500000000</v>
      </c>
      <c r="AC280" s="13">
        <f t="shared" si="46"/>
        <v>2922526041.6666665</v>
      </c>
      <c r="AD280" s="110">
        <f t="shared" si="47"/>
        <v>44516</v>
      </c>
      <c r="AE280" s="13" t="e">
        <f>IF(AND(AD280&lt;=$AI$4,#REF!&lt;1),1,"")</f>
        <v>#REF!</v>
      </c>
      <c r="AF280" s="110">
        <f t="shared" ca="1" si="48"/>
        <v>44553</v>
      </c>
      <c r="AH280" s="13">
        <f t="shared" ca="1" si="49"/>
        <v>41</v>
      </c>
    </row>
    <row r="281" spans="1:34" x14ac:dyDescent="0.25">
      <c r="A281" s="13" t="s">
        <v>10</v>
      </c>
      <c r="B281" s="13" t="s">
        <v>10</v>
      </c>
      <c r="C281" s="13" t="s">
        <v>1171</v>
      </c>
      <c r="D281" s="13" t="s">
        <v>1172</v>
      </c>
      <c r="E281" s="13" t="s">
        <v>757</v>
      </c>
      <c r="F281" s="13">
        <v>350</v>
      </c>
      <c r="G281" s="2" t="s">
        <v>382</v>
      </c>
      <c r="H281" s="13" t="s">
        <v>2</v>
      </c>
      <c r="I281" s="13" t="s">
        <v>140</v>
      </c>
      <c r="J281" s="13" t="s">
        <v>139</v>
      </c>
      <c r="K281" s="109">
        <v>44512</v>
      </c>
      <c r="L281" s="109">
        <v>44525</v>
      </c>
      <c r="Q281" s="13" t="str">
        <f t="shared" si="40"/>
        <v>PERECRD024886TRADICIONALNUTRESA</v>
      </c>
      <c r="T281" s="123">
        <f t="shared" si="41"/>
        <v>0</v>
      </c>
      <c r="U281" s="13">
        <f t="shared" si="42"/>
        <v>0</v>
      </c>
      <c r="V281" s="123">
        <f t="shared" si="43"/>
        <v>0</v>
      </c>
      <c r="X281" s="13">
        <v>0.01</v>
      </c>
      <c r="Y281" s="13">
        <v>33500000</v>
      </c>
      <c r="Z281" s="13">
        <v>33500000</v>
      </c>
      <c r="AA281" s="13">
        <f t="shared" si="44"/>
        <v>11222500000000</v>
      </c>
      <c r="AB281" s="13">
        <f t="shared" si="45"/>
        <v>3927875000000000</v>
      </c>
      <c r="AC281" s="13">
        <f t="shared" si="46"/>
        <v>2727690972.2222223</v>
      </c>
      <c r="AD281" s="110">
        <f t="shared" si="47"/>
        <v>44516</v>
      </c>
      <c r="AE281" s="13" t="e">
        <f>IF(AND(AD281&lt;=$AI$4,#REF!&lt;1),1,"")</f>
        <v>#REF!</v>
      </c>
      <c r="AF281" s="110">
        <f t="shared" ca="1" si="48"/>
        <v>44553</v>
      </c>
      <c r="AH281" s="13">
        <f t="shared" ca="1" si="49"/>
        <v>41</v>
      </c>
    </row>
    <row r="282" spans="1:34" x14ac:dyDescent="0.25">
      <c r="A282" s="13" t="s">
        <v>9</v>
      </c>
      <c r="B282" s="13" t="s">
        <v>9</v>
      </c>
      <c r="C282" s="13" t="s">
        <v>1171</v>
      </c>
      <c r="D282" s="13" t="s">
        <v>1172</v>
      </c>
      <c r="E282" s="13" t="s">
        <v>757</v>
      </c>
      <c r="F282" s="13">
        <v>845</v>
      </c>
      <c r="G282" s="2" t="s">
        <v>382</v>
      </c>
      <c r="H282" s="13" t="s">
        <v>2</v>
      </c>
      <c r="I282" s="13" t="s">
        <v>140</v>
      </c>
      <c r="J282" s="13" t="s">
        <v>139</v>
      </c>
      <c r="K282" s="109">
        <v>44512</v>
      </c>
      <c r="L282" s="109">
        <v>44525</v>
      </c>
      <c r="Q282" s="13" t="str">
        <f t="shared" si="40"/>
        <v>MEDECRD024886TRADICIONALNUTRESA</v>
      </c>
      <c r="T282" s="123">
        <f t="shared" si="41"/>
        <v>0</v>
      </c>
      <c r="U282" s="13">
        <f t="shared" si="42"/>
        <v>0</v>
      </c>
      <c r="V282" s="123">
        <f t="shared" si="43"/>
        <v>0</v>
      </c>
      <c r="X282" s="13">
        <v>0.01</v>
      </c>
      <c r="Y282" s="13">
        <v>33500000</v>
      </c>
      <c r="Z282" s="13">
        <v>33500000</v>
      </c>
      <c r="AA282" s="13">
        <f t="shared" si="44"/>
        <v>11222500000000</v>
      </c>
      <c r="AB282" s="13">
        <f t="shared" si="45"/>
        <v>9483012500000000</v>
      </c>
      <c r="AC282" s="13">
        <f t="shared" si="46"/>
        <v>6585425347.2222223</v>
      </c>
      <c r="AD282" s="110">
        <f t="shared" si="47"/>
        <v>44516</v>
      </c>
      <c r="AE282" s="13" t="e">
        <f>IF(AND(AD282&lt;=$AI$4,#REF!&lt;1),1,"")</f>
        <v>#REF!</v>
      </c>
      <c r="AF282" s="110">
        <f t="shared" ca="1" si="48"/>
        <v>44553</v>
      </c>
      <c r="AH282" s="13">
        <f t="shared" ca="1" si="49"/>
        <v>41</v>
      </c>
    </row>
    <row r="283" spans="1:34" x14ac:dyDescent="0.25">
      <c r="A283" s="13" t="s">
        <v>3</v>
      </c>
      <c r="B283" s="13" t="s">
        <v>3</v>
      </c>
      <c r="C283" s="13" t="s">
        <v>1173</v>
      </c>
      <c r="D283" s="13" t="s">
        <v>1174</v>
      </c>
      <c r="E283" s="13" t="s">
        <v>757</v>
      </c>
      <c r="F283" s="13">
        <v>3</v>
      </c>
      <c r="G283" s="2" t="s">
        <v>382</v>
      </c>
      <c r="H283" s="13" t="s">
        <v>2</v>
      </c>
      <c r="I283" s="13" t="s">
        <v>140</v>
      </c>
      <c r="J283" s="13" t="s">
        <v>139</v>
      </c>
      <c r="K283" s="109">
        <v>44512</v>
      </c>
      <c r="L283" s="109">
        <v>44525</v>
      </c>
      <c r="Q283" s="13" t="str">
        <f t="shared" si="40"/>
        <v>BARRCRD024888TRADICIONALNUTRESA</v>
      </c>
      <c r="T283" s="123">
        <f t="shared" si="41"/>
        <v>0</v>
      </c>
      <c r="U283" s="13">
        <f t="shared" si="42"/>
        <v>0</v>
      </c>
      <c r="V283" s="123">
        <f t="shared" si="43"/>
        <v>0</v>
      </c>
      <c r="X283" s="13">
        <v>0.01</v>
      </c>
      <c r="Y283" s="13">
        <v>22000000</v>
      </c>
      <c r="Z283" s="13">
        <v>22000000</v>
      </c>
      <c r="AA283" s="13">
        <f t="shared" si="44"/>
        <v>4840000000000</v>
      </c>
      <c r="AB283" s="13">
        <f t="shared" si="45"/>
        <v>14520000000000</v>
      </c>
      <c r="AC283" s="13">
        <f t="shared" si="46"/>
        <v>10083333.333333334</v>
      </c>
      <c r="AD283" s="110">
        <f t="shared" si="47"/>
        <v>44516</v>
      </c>
      <c r="AE283" s="13" t="e">
        <f>IF(AND(AD283&lt;=$AI$4,#REF!&lt;1),1,"")</f>
        <v>#REF!</v>
      </c>
      <c r="AF283" s="110">
        <f t="shared" ca="1" si="48"/>
        <v>44553</v>
      </c>
      <c r="AH283" s="13">
        <f t="shared" ca="1" si="49"/>
        <v>41</v>
      </c>
    </row>
    <row r="284" spans="1:34" x14ac:dyDescent="0.25">
      <c r="A284" s="13" t="s">
        <v>4</v>
      </c>
      <c r="B284" s="13" t="s">
        <v>4</v>
      </c>
      <c r="C284" s="13" t="s">
        <v>1173</v>
      </c>
      <c r="D284" s="13" t="s">
        <v>1174</v>
      </c>
      <c r="E284" s="13" t="s">
        <v>757</v>
      </c>
      <c r="F284" s="13">
        <v>69</v>
      </c>
      <c r="G284" s="2" t="s">
        <v>382</v>
      </c>
      <c r="H284" s="13" t="s">
        <v>2</v>
      </c>
      <c r="I284" s="13" t="s">
        <v>140</v>
      </c>
      <c r="J284" s="13" t="s">
        <v>139</v>
      </c>
      <c r="K284" s="109">
        <v>44512</v>
      </c>
      <c r="L284" s="109">
        <v>44525</v>
      </c>
      <c r="Q284" s="13" t="str">
        <f t="shared" si="40"/>
        <v>BGTACRD024888TRADICIONALNUTRESA</v>
      </c>
      <c r="T284" s="123">
        <f t="shared" si="41"/>
        <v>0</v>
      </c>
      <c r="U284" s="13">
        <f t="shared" si="42"/>
        <v>0</v>
      </c>
      <c r="V284" s="123">
        <f t="shared" si="43"/>
        <v>0</v>
      </c>
      <c r="X284" s="13">
        <v>0.01</v>
      </c>
      <c r="Y284" s="13">
        <v>22000000</v>
      </c>
      <c r="Z284" s="13">
        <v>22000000</v>
      </c>
      <c r="AA284" s="13">
        <f t="shared" si="44"/>
        <v>4840000000000</v>
      </c>
      <c r="AB284" s="13">
        <f t="shared" si="45"/>
        <v>333960000000000</v>
      </c>
      <c r="AC284" s="13">
        <f t="shared" si="46"/>
        <v>231916666.66666666</v>
      </c>
      <c r="AD284" s="110">
        <f t="shared" si="47"/>
        <v>44516</v>
      </c>
      <c r="AE284" s="13" t="e">
        <f>IF(AND(AD284&lt;=$AI$4,#REF!&lt;1),1,"")</f>
        <v>#REF!</v>
      </c>
      <c r="AF284" s="110">
        <f t="shared" ca="1" si="48"/>
        <v>44553</v>
      </c>
      <c r="AH284" s="13">
        <f t="shared" ca="1" si="49"/>
        <v>41</v>
      </c>
    </row>
    <row r="285" spans="1:34" x14ac:dyDescent="0.25">
      <c r="A285" s="13" t="s">
        <v>5</v>
      </c>
      <c r="B285" s="13" t="s">
        <v>5</v>
      </c>
      <c r="C285" s="13" t="s">
        <v>1173</v>
      </c>
      <c r="D285" s="13" t="s">
        <v>1174</v>
      </c>
      <c r="E285" s="13" t="s">
        <v>757</v>
      </c>
      <c r="F285" s="13">
        <v>12</v>
      </c>
      <c r="G285" s="2" t="s">
        <v>382</v>
      </c>
      <c r="H285" s="13" t="s">
        <v>2</v>
      </c>
      <c r="I285" s="13" t="s">
        <v>140</v>
      </c>
      <c r="J285" s="13" t="s">
        <v>139</v>
      </c>
      <c r="K285" s="109">
        <v>44512</v>
      </c>
      <c r="L285" s="109">
        <v>44525</v>
      </c>
      <c r="Q285" s="13" t="str">
        <f t="shared" si="40"/>
        <v>BUCACRD024888TRADICIONALNUTRESA</v>
      </c>
      <c r="T285" s="123">
        <f t="shared" si="41"/>
        <v>0</v>
      </c>
      <c r="U285" s="13">
        <f t="shared" si="42"/>
        <v>0</v>
      </c>
      <c r="V285" s="123">
        <f t="shared" si="43"/>
        <v>0</v>
      </c>
      <c r="X285" s="13">
        <v>0.01</v>
      </c>
      <c r="Y285" s="13">
        <v>22000000</v>
      </c>
      <c r="Z285" s="13">
        <v>22000000</v>
      </c>
      <c r="AA285" s="13">
        <f t="shared" si="44"/>
        <v>4840000000000</v>
      </c>
      <c r="AB285" s="13">
        <f t="shared" si="45"/>
        <v>58080000000000</v>
      </c>
      <c r="AC285" s="13">
        <f t="shared" si="46"/>
        <v>40333333.333333336</v>
      </c>
      <c r="AD285" s="110">
        <f t="shared" si="47"/>
        <v>44516</v>
      </c>
      <c r="AE285" s="13" t="e">
        <f>IF(AND(AD285&lt;=$AI$4,#REF!&lt;1),1,"")</f>
        <v>#REF!</v>
      </c>
      <c r="AF285" s="110">
        <f t="shared" ca="1" si="48"/>
        <v>44553</v>
      </c>
      <c r="AH285" s="13">
        <f t="shared" ca="1" si="49"/>
        <v>41</v>
      </c>
    </row>
    <row r="286" spans="1:34" x14ac:dyDescent="0.25">
      <c r="A286" s="13" t="s">
        <v>6</v>
      </c>
      <c r="B286" s="13" t="s">
        <v>6</v>
      </c>
      <c r="C286" s="13" t="s">
        <v>1173</v>
      </c>
      <c r="D286" s="13" t="s">
        <v>1174</v>
      </c>
      <c r="E286" s="13" t="s">
        <v>757</v>
      </c>
      <c r="F286" s="13">
        <v>9</v>
      </c>
      <c r="G286" s="2" t="s">
        <v>382</v>
      </c>
      <c r="H286" s="13" t="s">
        <v>2</v>
      </c>
      <c r="I286" s="13" t="s">
        <v>140</v>
      </c>
      <c r="J286" s="13" t="s">
        <v>139</v>
      </c>
      <c r="K286" s="109">
        <v>44512</v>
      </c>
      <c r="L286" s="109">
        <v>44525</v>
      </c>
      <c r="Q286" s="13" t="str">
        <f t="shared" si="40"/>
        <v>CALICRD024888TRADICIONALNUTRESA</v>
      </c>
      <c r="T286" s="123">
        <f t="shared" si="41"/>
        <v>0</v>
      </c>
      <c r="U286" s="13">
        <f t="shared" si="42"/>
        <v>0</v>
      </c>
      <c r="V286" s="123">
        <f t="shared" si="43"/>
        <v>0</v>
      </c>
      <c r="X286" s="13">
        <v>0.01</v>
      </c>
      <c r="Y286" s="13">
        <v>22000000</v>
      </c>
      <c r="Z286" s="13">
        <v>22000000</v>
      </c>
      <c r="AA286" s="13">
        <f t="shared" si="44"/>
        <v>4840000000000</v>
      </c>
      <c r="AB286" s="13">
        <f t="shared" si="45"/>
        <v>43560000000000</v>
      </c>
      <c r="AC286" s="13">
        <f t="shared" si="46"/>
        <v>30250000</v>
      </c>
      <c r="AD286" s="110">
        <f t="shared" si="47"/>
        <v>44516</v>
      </c>
      <c r="AE286" s="13" t="e">
        <f>IF(AND(AD286&lt;=$AI$4,#REF!&lt;1),1,"")</f>
        <v>#REF!</v>
      </c>
      <c r="AF286" s="110">
        <f t="shared" ca="1" si="48"/>
        <v>44553</v>
      </c>
      <c r="AH286" s="13">
        <f t="shared" ca="1" si="49"/>
        <v>41</v>
      </c>
    </row>
    <row r="287" spans="1:34" x14ac:dyDescent="0.25">
      <c r="A287" s="13" t="s">
        <v>7</v>
      </c>
      <c r="B287" s="13" t="s">
        <v>7</v>
      </c>
      <c r="C287" s="13" t="s">
        <v>1173</v>
      </c>
      <c r="D287" s="13" t="s">
        <v>1174</v>
      </c>
      <c r="E287" s="13" t="s">
        <v>757</v>
      </c>
      <c r="F287" s="13">
        <v>12</v>
      </c>
      <c r="G287" s="2" t="s">
        <v>382</v>
      </c>
      <c r="H287" s="13" t="s">
        <v>2</v>
      </c>
      <c r="I287" s="13" t="s">
        <v>140</v>
      </c>
      <c r="J287" s="13" t="s">
        <v>139</v>
      </c>
      <c r="K287" s="109">
        <v>44512</v>
      </c>
      <c r="L287" s="109">
        <v>44525</v>
      </c>
      <c r="Q287" s="13" t="str">
        <f t="shared" si="40"/>
        <v>CARTCRD024888TRADICIONALNUTRESA</v>
      </c>
      <c r="T287" s="123">
        <f t="shared" si="41"/>
        <v>0</v>
      </c>
      <c r="U287" s="13">
        <f t="shared" si="42"/>
        <v>0</v>
      </c>
      <c r="V287" s="123">
        <f t="shared" si="43"/>
        <v>0</v>
      </c>
      <c r="X287" s="13">
        <v>0.01</v>
      </c>
      <c r="Y287" s="13">
        <v>22000000</v>
      </c>
      <c r="Z287" s="13">
        <v>22000000</v>
      </c>
      <c r="AA287" s="13">
        <f t="shared" si="44"/>
        <v>4840000000000</v>
      </c>
      <c r="AB287" s="13">
        <f t="shared" si="45"/>
        <v>58080000000000</v>
      </c>
      <c r="AC287" s="13">
        <f t="shared" si="46"/>
        <v>40333333.333333336</v>
      </c>
      <c r="AD287" s="110">
        <f t="shared" si="47"/>
        <v>44516</v>
      </c>
      <c r="AE287" s="13" t="e">
        <f>IF(AND(AD287&lt;=$AI$4,#REF!&lt;1),1,"")</f>
        <v>#REF!</v>
      </c>
      <c r="AF287" s="110">
        <f t="shared" ca="1" si="48"/>
        <v>44553</v>
      </c>
      <c r="AH287" s="13">
        <f t="shared" ca="1" si="49"/>
        <v>41</v>
      </c>
    </row>
    <row r="288" spans="1:34" x14ac:dyDescent="0.25">
      <c r="A288" s="13" t="s">
        <v>9</v>
      </c>
      <c r="B288" s="13" t="s">
        <v>9</v>
      </c>
      <c r="C288" s="13" t="s">
        <v>1173</v>
      </c>
      <c r="D288" s="13" t="s">
        <v>1174</v>
      </c>
      <c r="E288" s="13" t="s">
        <v>757</v>
      </c>
      <c r="F288" s="13">
        <v>66</v>
      </c>
      <c r="G288" s="2" t="s">
        <v>382</v>
      </c>
      <c r="H288" s="13" t="s">
        <v>2</v>
      </c>
      <c r="I288" s="13" t="s">
        <v>140</v>
      </c>
      <c r="J288" s="13" t="s">
        <v>139</v>
      </c>
      <c r="K288" s="109">
        <v>44512</v>
      </c>
      <c r="L288" s="109">
        <v>44525</v>
      </c>
      <c r="Q288" s="13" t="str">
        <f t="shared" si="40"/>
        <v>MEDECRD024888TRADICIONALNUTRESA</v>
      </c>
      <c r="T288" s="123">
        <f t="shared" si="41"/>
        <v>0</v>
      </c>
      <c r="U288" s="13">
        <f t="shared" si="42"/>
        <v>0</v>
      </c>
      <c r="V288" s="123">
        <f t="shared" si="43"/>
        <v>0</v>
      </c>
      <c r="X288" s="13">
        <v>0.01</v>
      </c>
      <c r="Y288" s="13">
        <v>22000000</v>
      </c>
      <c r="Z288" s="13">
        <v>22000000</v>
      </c>
      <c r="AA288" s="13">
        <f t="shared" si="44"/>
        <v>4840000000000</v>
      </c>
      <c r="AB288" s="13">
        <f t="shared" si="45"/>
        <v>319440000000000</v>
      </c>
      <c r="AC288" s="13">
        <f t="shared" si="46"/>
        <v>221833333.33333334</v>
      </c>
      <c r="AD288" s="110">
        <f t="shared" si="47"/>
        <v>44516</v>
      </c>
      <c r="AE288" s="13" t="e">
        <f>IF(AND(AD288&lt;=$AI$4,#REF!&lt;1),1,"")</f>
        <v>#REF!</v>
      </c>
      <c r="AF288" s="110">
        <f t="shared" ca="1" si="48"/>
        <v>44553</v>
      </c>
      <c r="AH288" s="13">
        <f t="shared" ca="1" si="49"/>
        <v>41</v>
      </c>
    </row>
    <row r="289" spans="1:34" x14ac:dyDescent="0.25">
      <c r="A289" s="13" t="s">
        <v>3</v>
      </c>
      <c r="B289" s="13" t="s">
        <v>3</v>
      </c>
      <c r="C289" s="13" t="s">
        <v>433</v>
      </c>
      <c r="D289" s="13" t="s">
        <v>1175</v>
      </c>
      <c r="E289" s="13" t="s">
        <v>727</v>
      </c>
      <c r="F289" s="13">
        <v>5</v>
      </c>
      <c r="G289" s="2" t="s">
        <v>382</v>
      </c>
      <c r="H289" s="13" t="s">
        <v>0</v>
      </c>
      <c r="I289" s="13" t="s">
        <v>140</v>
      </c>
      <c r="J289" s="13" t="s">
        <v>46</v>
      </c>
      <c r="K289" s="109">
        <v>44512</v>
      </c>
      <c r="L289" s="109">
        <v>44525</v>
      </c>
      <c r="Q289" s="13" t="str">
        <f t="shared" si="40"/>
        <v>BARRCRD024883AUTOSERVICIONUTRESA</v>
      </c>
      <c r="T289" s="123">
        <f t="shared" si="41"/>
        <v>0</v>
      </c>
      <c r="U289" s="13">
        <f t="shared" si="42"/>
        <v>0</v>
      </c>
      <c r="V289" s="123">
        <f t="shared" si="43"/>
        <v>0</v>
      </c>
      <c r="X289" s="13">
        <v>14500000</v>
      </c>
      <c r="Y289" s="13">
        <v>23500000</v>
      </c>
      <c r="Z289" s="13">
        <v>23500000</v>
      </c>
      <c r="AA289" s="13">
        <f t="shared" si="44"/>
        <v>8.0076250000000004E+21</v>
      </c>
      <c r="AB289" s="13">
        <f t="shared" si="45"/>
        <v>4.0038125000000004E+22</v>
      </c>
      <c r="AC289" s="13">
        <f t="shared" si="46"/>
        <v>2.7804253472222224E+16</v>
      </c>
      <c r="AD289" s="110">
        <f t="shared" si="47"/>
        <v>44516</v>
      </c>
      <c r="AE289" s="13" t="e">
        <f>IF(AND(AD289&lt;=$AI$4,#REF!&lt;1),1,"")</f>
        <v>#REF!</v>
      </c>
      <c r="AF289" s="110">
        <f t="shared" ca="1" si="48"/>
        <v>44553</v>
      </c>
      <c r="AH289" s="13">
        <f t="shared" ca="1" si="49"/>
        <v>41</v>
      </c>
    </row>
    <row r="290" spans="1:34" x14ac:dyDescent="0.25">
      <c r="A290" s="13" t="s">
        <v>4</v>
      </c>
      <c r="B290" s="13" t="s">
        <v>4</v>
      </c>
      <c r="C290" s="13" t="s">
        <v>433</v>
      </c>
      <c r="D290" s="13" t="s">
        <v>1175</v>
      </c>
      <c r="E290" s="13" t="s">
        <v>727</v>
      </c>
      <c r="F290" s="13">
        <v>15</v>
      </c>
      <c r="G290" s="2" t="s">
        <v>382</v>
      </c>
      <c r="H290" s="13" t="s">
        <v>0</v>
      </c>
      <c r="I290" s="13" t="s">
        <v>140</v>
      </c>
      <c r="J290" s="13" t="s">
        <v>46</v>
      </c>
      <c r="K290" s="109">
        <v>44512</v>
      </c>
      <c r="L290" s="109">
        <v>44525</v>
      </c>
      <c r="Q290" s="13" t="str">
        <f t="shared" si="40"/>
        <v>BGTACRD024883AUTOSERVICIONUTRESA</v>
      </c>
      <c r="T290" s="123">
        <f t="shared" si="41"/>
        <v>0</v>
      </c>
      <c r="U290" s="13">
        <f t="shared" si="42"/>
        <v>0</v>
      </c>
      <c r="V290" s="123">
        <f t="shared" si="43"/>
        <v>0</v>
      </c>
      <c r="X290" s="13">
        <v>14500000</v>
      </c>
      <c r="Y290" s="13">
        <v>23500000</v>
      </c>
      <c r="Z290" s="13">
        <v>23500000</v>
      </c>
      <c r="AA290" s="13">
        <f t="shared" si="44"/>
        <v>8.0076250000000004E+21</v>
      </c>
      <c r="AB290" s="13">
        <f t="shared" si="45"/>
        <v>1.2011437500000001E+23</v>
      </c>
      <c r="AC290" s="13">
        <f t="shared" si="46"/>
        <v>8.3412760416666672E+16</v>
      </c>
      <c r="AD290" s="110">
        <f t="shared" si="47"/>
        <v>44516</v>
      </c>
      <c r="AE290" s="13" t="e">
        <f>IF(AND(AD290&lt;=$AI$4,#REF!&lt;1),1,"")</f>
        <v>#REF!</v>
      </c>
      <c r="AF290" s="110">
        <f t="shared" ca="1" si="48"/>
        <v>44553</v>
      </c>
      <c r="AH290" s="13">
        <f t="shared" ca="1" si="49"/>
        <v>41</v>
      </c>
    </row>
    <row r="291" spans="1:34" x14ac:dyDescent="0.25">
      <c r="A291" s="13" t="s">
        <v>724</v>
      </c>
      <c r="B291" s="13" t="s">
        <v>4</v>
      </c>
      <c r="C291" s="13" t="s">
        <v>433</v>
      </c>
      <c r="D291" s="13" t="s">
        <v>1175</v>
      </c>
      <c r="E291" s="13" t="s">
        <v>727</v>
      </c>
      <c r="F291" s="13">
        <v>30</v>
      </c>
      <c r="G291" s="2" t="s">
        <v>382</v>
      </c>
      <c r="H291" s="13" t="s">
        <v>0</v>
      </c>
      <c r="I291" s="13" t="s">
        <v>145</v>
      </c>
      <c r="J291" s="13" t="s">
        <v>46</v>
      </c>
      <c r="K291" s="109">
        <v>44512</v>
      </c>
      <c r="L291" s="109">
        <v>44525</v>
      </c>
      <c r="Q291" s="13" t="str">
        <f t="shared" si="40"/>
        <v>BGTACRD024883AUTOSERVICIOALTILLANO</v>
      </c>
      <c r="T291" s="123">
        <f t="shared" si="41"/>
        <v>0</v>
      </c>
      <c r="U291" s="13">
        <f t="shared" si="42"/>
        <v>0</v>
      </c>
      <c r="V291" s="123">
        <f t="shared" si="43"/>
        <v>0</v>
      </c>
      <c r="X291" s="13">
        <v>14500000</v>
      </c>
      <c r="Y291" s="13">
        <v>23500000</v>
      </c>
      <c r="Z291" s="13">
        <v>23500000</v>
      </c>
      <c r="AA291" s="13">
        <f t="shared" si="44"/>
        <v>8.0076250000000004E+21</v>
      </c>
      <c r="AB291" s="13">
        <f t="shared" si="45"/>
        <v>2.4022875000000002E+23</v>
      </c>
      <c r="AC291" s="13">
        <f t="shared" si="46"/>
        <v>1.6682552083333334E+17</v>
      </c>
      <c r="AD291" s="110">
        <f t="shared" si="47"/>
        <v>44516</v>
      </c>
      <c r="AE291" s="13" t="e">
        <f>IF(AND(AD291&lt;=$AI$4,#REF!&lt;1),1,"")</f>
        <v>#REF!</v>
      </c>
      <c r="AF291" s="110">
        <f t="shared" ca="1" si="48"/>
        <v>44553</v>
      </c>
      <c r="AH291" s="13">
        <f t="shared" ca="1" si="49"/>
        <v>41</v>
      </c>
    </row>
    <row r="292" spans="1:34" x14ac:dyDescent="0.25">
      <c r="A292" s="13" t="s">
        <v>149</v>
      </c>
      <c r="B292" s="13" t="s">
        <v>149</v>
      </c>
      <c r="C292" s="13" t="s">
        <v>433</v>
      </c>
      <c r="D292" s="13" t="s">
        <v>1175</v>
      </c>
      <c r="E292" s="13" t="s">
        <v>727</v>
      </c>
      <c r="F292" s="13">
        <v>30</v>
      </c>
      <c r="G292" s="2" t="s">
        <v>382</v>
      </c>
      <c r="H292" s="13" t="s">
        <v>0</v>
      </c>
      <c r="I292" s="13" t="s">
        <v>140</v>
      </c>
      <c r="J292" s="13" t="s">
        <v>46</v>
      </c>
      <c r="K292" s="109">
        <v>44512</v>
      </c>
      <c r="L292" s="109">
        <v>44525</v>
      </c>
      <c r="Q292" s="13" t="str">
        <f t="shared" si="40"/>
        <v>DUITCRD024883AUTOSERVICIONUTRESA</v>
      </c>
      <c r="T292" s="123">
        <f t="shared" si="41"/>
        <v>0</v>
      </c>
      <c r="U292" s="13">
        <f t="shared" si="42"/>
        <v>0</v>
      </c>
      <c r="V292" s="123">
        <f t="shared" si="43"/>
        <v>0</v>
      </c>
      <c r="X292" s="13">
        <v>14500000</v>
      </c>
      <c r="Y292" s="13">
        <v>23500000</v>
      </c>
      <c r="Z292" s="13">
        <v>23500000</v>
      </c>
      <c r="AA292" s="13">
        <f t="shared" si="44"/>
        <v>8.0076250000000004E+21</v>
      </c>
      <c r="AB292" s="13">
        <f t="shared" si="45"/>
        <v>2.4022875000000002E+23</v>
      </c>
      <c r="AC292" s="13">
        <f t="shared" si="46"/>
        <v>1.6682552083333334E+17</v>
      </c>
      <c r="AD292" s="110">
        <f t="shared" si="47"/>
        <v>44516</v>
      </c>
      <c r="AE292" s="13" t="e">
        <f>IF(AND(AD292&lt;=$AI$4,#REF!&lt;1),1,"")</f>
        <v>#REF!</v>
      </c>
      <c r="AF292" s="110">
        <f t="shared" ca="1" si="48"/>
        <v>44553</v>
      </c>
      <c r="AH292" s="13">
        <f t="shared" ca="1" si="49"/>
        <v>41</v>
      </c>
    </row>
    <row r="293" spans="1:34" x14ac:dyDescent="0.25">
      <c r="A293" s="13" t="s">
        <v>150</v>
      </c>
      <c r="B293" s="13" t="s">
        <v>150</v>
      </c>
      <c r="C293" s="13" t="s">
        <v>433</v>
      </c>
      <c r="D293" s="13" t="s">
        <v>1175</v>
      </c>
      <c r="E293" s="13" t="s">
        <v>727</v>
      </c>
      <c r="F293" s="13">
        <v>10</v>
      </c>
      <c r="G293" s="2" t="s">
        <v>382</v>
      </c>
      <c r="H293" s="13" t="s">
        <v>0</v>
      </c>
      <c r="I293" s="13" t="s">
        <v>140</v>
      </c>
      <c r="J293" s="13" t="s">
        <v>46</v>
      </c>
      <c r="K293" s="109">
        <v>44512</v>
      </c>
      <c r="L293" s="109">
        <v>44525</v>
      </c>
      <c r="Q293" s="13" t="str">
        <f t="shared" si="40"/>
        <v>VILACRD024883AUTOSERVICIONUTRESA</v>
      </c>
      <c r="T293" s="123">
        <f t="shared" si="41"/>
        <v>0</v>
      </c>
      <c r="U293" s="13">
        <f t="shared" si="42"/>
        <v>0</v>
      </c>
      <c r="V293" s="123">
        <f t="shared" si="43"/>
        <v>0</v>
      </c>
      <c r="X293" s="13">
        <v>14500000</v>
      </c>
      <c r="Y293" s="13">
        <v>23500000</v>
      </c>
      <c r="Z293" s="13">
        <v>23500000</v>
      </c>
      <c r="AA293" s="13">
        <f t="shared" si="44"/>
        <v>8.0076250000000004E+21</v>
      </c>
      <c r="AB293" s="13">
        <f t="shared" si="45"/>
        <v>8.0076250000000008E+22</v>
      </c>
      <c r="AC293" s="13">
        <f t="shared" si="46"/>
        <v>5.5608506944444448E+16</v>
      </c>
      <c r="AD293" s="110">
        <f t="shared" si="47"/>
        <v>44516</v>
      </c>
      <c r="AE293" s="13" t="e">
        <f>IF(AND(AD293&lt;=$AI$4,#REF!&lt;1),1,"")</f>
        <v>#REF!</v>
      </c>
      <c r="AF293" s="110">
        <f t="shared" ca="1" si="48"/>
        <v>44553</v>
      </c>
      <c r="AH293" s="13">
        <f t="shared" ca="1" si="49"/>
        <v>41</v>
      </c>
    </row>
    <row r="294" spans="1:34" x14ac:dyDescent="0.25">
      <c r="A294" s="13" t="s">
        <v>5</v>
      </c>
      <c r="B294" s="13" t="s">
        <v>5</v>
      </c>
      <c r="C294" s="13" t="s">
        <v>433</v>
      </c>
      <c r="D294" s="13" t="s">
        <v>1175</v>
      </c>
      <c r="E294" s="13" t="s">
        <v>727</v>
      </c>
      <c r="F294" s="13">
        <v>40</v>
      </c>
      <c r="G294" s="2" t="s">
        <v>382</v>
      </c>
      <c r="H294" s="13" t="s">
        <v>0</v>
      </c>
      <c r="I294" s="13" t="s">
        <v>140</v>
      </c>
      <c r="J294" s="13" t="s">
        <v>46</v>
      </c>
      <c r="K294" s="109">
        <v>44512</v>
      </c>
      <c r="L294" s="109">
        <v>44525</v>
      </c>
      <c r="Q294" s="13" t="str">
        <f t="shared" si="40"/>
        <v>BUCACRD024883AUTOSERVICIONUTRESA</v>
      </c>
      <c r="T294" s="123">
        <f t="shared" si="41"/>
        <v>0</v>
      </c>
      <c r="U294" s="13">
        <f t="shared" si="42"/>
        <v>0</v>
      </c>
      <c r="V294" s="123">
        <f t="shared" si="43"/>
        <v>0</v>
      </c>
      <c r="X294" s="13">
        <v>14500000</v>
      </c>
      <c r="Y294" s="13">
        <v>23500000</v>
      </c>
      <c r="Z294" s="13">
        <v>23500000</v>
      </c>
      <c r="AA294" s="13">
        <f t="shared" si="44"/>
        <v>8.0076250000000004E+21</v>
      </c>
      <c r="AB294" s="13">
        <f t="shared" si="45"/>
        <v>3.2030500000000003E+23</v>
      </c>
      <c r="AC294" s="13">
        <f t="shared" si="46"/>
        <v>2.2243402777777779E+17</v>
      </c>
      <c r="AD294" s="110">
        <f t="shared" si="47"/>
        <v>44516</v>
      </c>
      <c r="AE294" s="13" t="e">
        <f>IF(AND(AD294&lt;=$AI$4,#REF!&lt;1),1,"")</f>
        <v>#REF!</v>
      </c>
      <c r="AF294" s="110">
        <f t="shared" ca="1" si="48"/>
        <v>44553</v>
      </c>
      <c r="AH294" s="13">
        <f t="shared" ca="1" si="49"/>
        <v>41</v>
      </c>
    </row>
    <row r="295" spans="1:34" x14ac:dyDescent="0.25">
      <c r="A295" s="13" t="s">
        <v>6</v>
      </c>
      <c r="B295" s="13" t="s">
        <v>6</v>
      </c>
      <c r="C295" s="13" t="s">
        <v>433</v>
      </c>
      <c r="D295" s="13" t="s">
        <v>1175</v>
      </c>
      <c r="E295" s="13" t="s">
        <v>727</v>
      </c>
      <c r="F295" s="13">
        <v>30</v>
      </c>
      <c r="G295" s="2" t="s">
        <v>382</v>
      </c>
      <c r="H295" s="13" t="s">
        <v>0</v>
      </c>
      <c r="I295" s="13" t="s">
        <v>140</v>
      </c>
      <c r="J295" s="13" t="s">
        <v>46</v>
      </c>
      <c r="K295" s="109">
        <v>44512</v>
      </c>
      <c r="L295" s="109">
        <v>44525</v>
      </c>
      <c r="Q295" s="13" t="str">
        <f t="shared" si="40"/>
        <v>CALICRD024883AUTOSERVICIONUTRESA</v>
      </c>
      <c r="T295" s="123">
        <f t="shared" si="41"/>
        <v>0</v>
      </c>
      <c r="U295" s="13">
        <f t="shared" si="42"/>
        <v>0</v>
      </c>
      <c r="V295" s="123">
        <f t="shared" si="43"/>
        <v>0</v>
      </c>
      <c r="X295" s="13">
        <v>14500000</v>
      </c>
      <c r="Y295" s="13">
        <v>23500000</v>
      </c>
      <c r="Z295" s="13">
        <v>23500000</v>
      </c>
      <c r="AA295" s="13">
        <f t="shared" si="44"/>
        <v>8.0076250000000004E+21</v>
      </c>
      <c r="AB295" s="13">
        <f t="shared" si="45"/>
        <v>2.4022875000000002E+23</v>
      </c>
      <c r="AC295" s="13">
        <f t="shared" si="46"/>
        <v>1.6682552083333334E+17</v>
      </c>
      <c r="AD295" s="110">
        <f t="shared" si="47"/>
        <v>44516</v>
      </c>
      <c r="AE295" s="13" t="e">
        <f>IF(AND(AD295&lt;=$AI$4,#REF!&lt;1),1,"")</f>
        <v>#REF!</v>
      </c>
      <c r="AF295" s="110">
        <f t="shared" ca="1" si="48"/>
        <v>44553</v>
      </c>
      <c r="AH295" s="13">
        <f t="shared" ca="1" si="49"/>
        <v>41</v>
      </c>
    </row>
    <row r="296" spans="1:34" x14ac:dyDescent="0.25">
      <c r="A296" s="13" t="s">
        <v>7</v>
      </c>
      <c r="B296" s="13" t="s">
        <v>7</v>
      </c>
      <c r="C296" s="13" t="s">
        <v>433</v>
      </c>
      <c r="D296" s="13" t="s">
        <v>1175</v>
      </c>
      <c r="E296" s="13" t="s">
        <v>727</v>
      </c>
      <c r="F296" s="13">
        <v>5</v>
      </c>
      <c r="G296" s="2" t="s">
        <v>382</v>
      </c>
      <c r="H296" s="13" t="s">
        <v>0</v>
      </c>
      <c r="I296" s="13" t="s">
        <v>140</v>
      </c>
      <c r="J296" s="13" t="s">
        <v>46</v>
      </c>
      <c r="K296" s="109">
        <v>44512</v>
      </c>
      <c r="L296" s="109">
        <v>44525</v>
      </c>
      <c r="Q296" s="13" t="str">
        <f t="shared" si="40"/>
        <v>CARTCRD024883AUTOSERVICIONUTRESA</v>
      </c>
      <c r="T296" s="123">
        <f t="shared" si="41"/>
        <v>0</v>
      </c>
      <c r="U296" s="13">
        <f t="shared" si="42"/>
        <v>0</v>
      </c>
      <c r="V296" s="123">
        <f t="shared" si="43"/>
        <v>0</v>
      </c>
      <c r="X296" s="13">
        <v>14500000</v>
      </c>
      <c r="Y296" s="13">
        <v>23500000</v>
      </c>
      <c r="Z296" s="13">
        <v>23500000</v>
      </c>
      <c r="AA296" s="13">
        <f t="shared" si="44"/>
        <v>8.0076250000000004E+21</v>
      </c>
      <c r="AB296" s="13">
        <f t="shared" si="45"/>
        <v>4.0038125000000004E+22</v>
      </c>
      <c r="AC296" s="13">
        <f t="shared" si="46"/>
        <v>2.7804253472222224E+16</v>
      </c>
      <c r="AD296" s="110">
        <f t="shared" si="47"/>
        <v>44516</v>
      </c>
      <c r="AE296" s="13" t="e">
        <f>IF(AND(AD296&lt;=$AI$4,#REF!&lt;1),1,"")</f>
        <v>#REF!</v>
      </c>
      <c r="AF296" s="110">
        <f t="shared" ca="1" si="48"/>
        <v>44553</v>
      </c>
      <c r="AH296" s="13">
        <f t="shared" ca="1" si="49"/>
        <v>41</v>
      </c>
    </row>
    <row r="297" spans="1:34" x14ac:dyDescent="0.25">
      <c r="A297" s="13" t="s">
        <v>8</v>
      </c>
      <c r="B297" s="13" t="s">
        <v>8</v>
      </c>
      <c r="C297" s="13" t="s">
        <v>433</v>
      </c>
      <c r="D297" s="13" t="s">
        <v>1175</v>
      </c>
      <c r="E297" s="13" t="s">
        <v>727</v>
      </c>
      <c r="F297" s="13">
        <v>142</v>
      </c>
      <c r="G297" s="2" t="s">
        <v>382</v>
      </c>
      <c r="H297" s="13" t="s">
        <v>0</v>
      </c>
      <c r="I297" s="13" t="s">
        <v>140</v>
      </c>
      <c r="J297" s="13" t="s">
        <v>46</v>
      </c>
      <c r="K297" s="109">
        <v>44512</v>
      </c>
      <c r="L297" s="109">
        <v>44525</v>
      </c>
      <c r="Q297" s="13" t="str">
        <f t="shared" si="40"/>
        <v>IBA1CRD024883AUTOSERVICIONUTRESA</v>
      </c>
      <c r="T297" s="123">
        <f t="shared" si="41"/>
        <v>0</v>
      </c>
      <c r="U297" s="13">
        <f t="shared" si="42"/>
        <v>0</v>
      </c>
      <c r="V297" s="123">
        <f t="shared" si="43"/>
        <v>0</v>
      </c>
      <c r="X297" s="13">
        <v>14500000</v>
      </c>
      <c r="Y297" s="13">
        <v>23500000</v>
      </c>
      <c r="Z297" s="13">
        <v>23500000</v>
      </c>
      <c r="AA297" s="13">
        <f t="shared" si="44"/>
        <v>8.0076250000000004E+21</v>
      </c>
      <c r="AB297" s="13">
        <f t="shared" si="45"/>
        <v>1.13708275E+24</v>
      </c>
      <c r="AC297" s="13">
        <f t="shared" si="46"/>
        <v>7.8964079861111117E+17</v>
      </c>
      <c r="AD297" s="110">
        <f t="shared" si="47"/>
        <v>44516</v>
      </c>
      <c r="AE297" s="13" t="e">
        <f>IF(AND(AD297&lt;=$AI$4,#REF!&lt;1),1,"")</f>
        <v>#REF!</v>
      </c>
      <c r="AF297" s="110">
        <f t="shared" ca="1" si="48"/>
        <v>44553</v>
      </c>
      <c r="AH297" s="13">
        <f t="shared" ca="1" si="49"/>
        <v>41</v>
      </c>
    </row>
    <row r="298" spans="1:34" x14ac:dyDescent="0.25">
      <c r="A298" s="13" t="s">
        <v>9</v>
      </c>
      <c r="B298" s="13" t="s">
        <v>9</v>
      </c>
      <c r="C298" s="13" t="s">
        <v>433</v>
      </c>
      <c r="D298" s="13" t="s">
        <v>1175</v>
      </c>
      <c r="E298" s="13" t="s">
        <v>727</v>
      </c>
      <c r="F298" s="13">
        <v>87</v>
      </c>
      <c r="G298" s="2" t="s">
        <v>382</v>
      </c>
      <c r="H298" s="13" t="s">
        <v>0</v>
      </c>
      <c r="I298" s="13" t="s">
        <v>140</v>
      </c>
      <c r="J298" s="13" t="s">
        <v>46</v>
      </c>
      <c r="K298" s="109">
        <v>44512</v>
      </c>
      <c r="L298" s="109">
        <v>44525</v>
      </c>
      <c r="Q298" s="13" t="str">
        <f t="shared" si="40"/>
        <v>MEDECRD024883AUTOSERVICIONUTRESA</v>
      </c>
      <c r="T298" s="123">
        <f t="shared" si="41"/>
        <v>0</v>
      </c>
      <c r="U298" s="13">
        <f t="shared" si="42"/>
        <v>0</v>
      </c>
      <c r="V298" s="123">
        <f t="shared" si="43"/>
        <v>0</v>
      </c>
      <c r="X298" s="13">
        <v>14500000</v>
      </c>
      <c r="Y298" s="13">
        <v>23500000</v>
      </c>
      <c r="Z298" s="13">
        <v>23500000</v>
      </c>
      <c r="AA298" s="13">
        <f t="shared" si="44"/>
        <v>8.0076250000000004E+21</v>
      </c>
      <c r="AB298" s="13">
        <f t="shared" si="45"/>
        <v>6.9666337500000004E+23</v>
      </c>
      <c r="AC298" s="13">
        <f t="shared" si="46"/>
        <v>4.8379401041666669E+17</v>
      </c>
      <c r="AD298" s="110">
        <f t="shared" si="47"/>
        <v>44516</v>
      </c>
      <c r="AE298" s="13" t="e">
        <f>IF(AND(AD298&lt;=$AI$4,#REF!&lt;1),1,"")</f>
        <v>#REF!</v>
      </c>
      <c r="AF298" s="110">
        <f t="shared" ca="1" si="48"/>
        <v>44553</v>
      </c>
      <c r="AH298" s="13">
        <f t="shared" ca="1" si="49"/>
        <v>41</v>
      </c>
    </row>
    <row r="299" spans="1:34" x14ac:dyDescent="0.25">
      <c r="A299" s="13" t="s">
        <v>10</v>
      </c>
      <c r="B299" s="13" t="s">
        <v>10</v>
      </c>
      <c r="C299" s="13" t="s">
        <v>433</v>
      </c>
      <c r="D299" s="13" t="s">
        <v>1175</v>
      </c>
      <c r="E299" s="13" t="s">
        <v>727</v>
      </c>
      <c r="F299" s="13">
        <v>40</v>
      </c>
      <c r="G299" s="2" t="s">
        <v>382</v>
      </c>
      <c r="H299" s="13" t="s">
        <v>0</v>
      </c>
      <c r="I299" s="13" t="s">
        <v>140</v>
      </c>
      <c r="J299" s="13" t="s">
        <v>46</v>
      </c>
      <c r="K299" s="109">
        <v>44512</v>
      </c>
      <c r="L299" s="109">
        <v>44525</v>
      </c>
      <c r="Q299" s="13" t="str">
        <f t="shared" si="40"/>
        <v>PERECRD024883AUTOSERVICIONUTRESA</v>
      </c>
      <c r="T299" s="123">
        <f t="shared" si="41"/>
        <v>0</v>
      </c>
      <c r="U299" s="13">
        <f t="shared" si="42"/>
        <v>0</v>
      </c>
      <c r="V299" s="123">
        <f t="shared" si="43"/>
        <v>0</v>
      </c>
      <c r="X299" s="13">
        <v>14500000</v>
      </c>
      <c r="Y299" s="13">
        <v>23500000</v>
      </c>
      <c r="Z299" s="13">
        <v>23500000</v>
      </c>
      <c r="AA299" s="13">
        <f t="shared" si="44"/>
        <v>8.0076250000000004E+21</v>
      </c>
      <c r="AB299" s="13">
        <f t="shared" si="45"/>
        <v>3.2030500000000003E+23</v>
      </c>
      <c r="AC299" s="13">
        <f t="shared" si="46"/>
        <v>2.2243402777777779E+17</v>
      </c>
      <c r="AD299" s="110">
        <f t="shared" si="47"/>
        <v>44516</v>
      </c>
      <c r="AE299" s="13" t="e">
        <f>IF(AND(AD299&lt;=$AI$4,#REF!&lt;1),1,"")</f>
        <v>#REF!</v>
      </c>
      <c r="AF299" s="110">
        <f t="shared" ca="1" si="48"/>
        <v>44553</v>
      </c>
      <c r="AH299" s="13">
        <f t="shared" ca="1" si="49"/>
        <v>41</v>
      </c>
    </row>
    <row r="300" spans="1:34" x14ac:dyDescent="0.25">
      <c r="A300" s="13" t="s">
        <v>3</v>
      </c>
      <c r="B300" s="13" t="s">
        <v>3</v>
      </c>
      <c r="C300" s="13" t="s">
        <v>434</v>
      </c>
      <c r="D300" s="13" t="s">
        <v>435</v>
      </c>
      <c r="E300" s="13" t="s">
        <v>728</v>
      </c>
      <c r="F300" s="13">
        <v>20</v>
      </c>
      <c r="G300" s="2" t="s">
        <v>382</v>
      </c>
      <c r="H300" s="13" t="s">
        <v>0</v>
      </c>
      <c r="I300" s="13" t="s">
        <v>140</v>
      </c>
      <c r="J300" s="13" t="s">
        <v>46</v>
      </c>
      <c r="K300" s="109">
        <v>44512</v>
      </c>
      <c r="L300" s="109">
        <v>44525</v>
      </c>
      <c r="Q300" s="13" t="str">
        <f t="shared" si="40"/>
        <v>BARRCRD024884AUTOSERVICIONUTRESA</v>
      </c>
      <c r="T300" s="123">
        <f t="shared" si="41"/>
        <v>0</v>
      </c>
      <c r="U300" s="13">
        <f t="shared" si="42"/>
        <v>0</v>
      </c>
      <c r="V300" s="123">
        <f t="shared" si="43"/>
        <v>0</v>
      </c>
      <c r="X300" s="13">
        <v>0.1</v>
      </c>
      <c r="Y300" s="13">
        <v>11000000</v>
      </c>
      <c r="Z300" s="13">
        <v>11000000</v>
      </c>
      <c r="AA300" s="13">
        <f t="shared" si="44"/>
        <v>12100000000000</v>
      </c>
      <c r="AB300" s="13">
        <f t="shared" si="45"/>
        <v>242000000000000</v>
      </c>
      <c r="AC300" s="13">
        <f t="shared" si="46"/>
        <v>168055555.55555555</v>
      </c>
      <c r="AD300" s="110">
        <f t="shared" si="47"/>
        <v>44516</v>
      </c>
      <c r="AE300" s="13" t="e">
        <f>IF(AND(AD300&lt;=$AI$4,#REF!&lt;1),1,"")</f>
        <v>#REF!</v>
      </c>
      <c r="AF300" s="110">
        <f t="shared" ca="1" si="48"/>
        <v>44553</v>
      </c>
      <c r="AH300" s="13">
        <f t="shared" ca="1" si="49"/>
        <v>41</v>
      </c>
    </row>
    <row r="301" spans="1:34" x14ac:dyDescent="0.25">
      <c r="A301" s="13" t="s">
        <v>4</v>
      </c>
      <c r="B301" s="13" t="s">
        <v>4</v>
      </c>
      <c r="C301" s="13" t="s">
        <v>434</v>
      </c>
      <c r="D301" s="13" t="s">
        <v>435</v>
      </c>
      <c r="E301" s="13" t="s">
        <v>728</v>
      </c>
      <c r="F301" s="13">
        <v>50</v>
      </c>
      <c r="G301" s="2" t="s">
        <v>382</v>
      </c>
      <c r="H301" s="13" t="s">
        <v>0</v>
      </c>
      <c r="I301" s="13" t="s">
        <v>140</v>
      </c>
      <c r="J301" s="13" t="s">
        <v>46</v>
      </c>
      <c r="K301" s="109">
        <v>44512</v>
      </c>
      <c r="L301" s="109">
        <v>44525</v>
      </c>
      <c r="Q301" s="13" t="str">
        <f t="shared" si="40"/>
        <v>BGTACRD024884AUTOSERVICIONUTRESA</v>
      </c>
      <c r="T301" s="123">
        <f t="shared" si="41"/>
        <v>0</v>
      </c>
      <c r="U301" s="13">
        <f t="shared" si="42"/>
        <v>0</v>
      </c>
      <c r="V301" s="123">
        <f t="shared" si="43"/>
        <v>0</v>
      </c>
      <c r="X301" s="13">
        <v>0.1</v>
      </c>
      <c r="Y301" s="13">
        <v>11000000</v>
      </c>
      <c r="Z301" s="13">
        <v>11000000</v>
      </c>
      <c r="AA301" s="13">
        <f t="shared" si="44"/>
        <v>12100000000000</v>
      </c>
      <c r="AB301" s="13">
        <f t="shared" si="45"/>
        <v>605000000000000</v>
      </c>
      <c r="AC301" s="13">
        <f t="shared" si="46"/>
        <v>420138888.8888889</v>
      </c>
      <c r="AD301" s="110">
        <f t="shared" si="47"/>
        <v>44516</v>
      </c>
      <c r="AE301" s="13" t="e">
        <f>IF(AND(AD301&lt;=$AI$4,#REF!&lt;1),1,"")</f>
        <v>#REF!</v>
      </c>
      <c r="AF301" s="110">
        <f t="shared" ca="1" si="48"/>
        <v>44553</v>
      </c>
      <c r="AH301" s="13">
        <f t="shared" ca="1" si="49"/>
        <v>41</v>
      </c>
    </row>
    <row r="302" spans="1:34" x14ac:dyDescent="0.25">
      <c r="A302" s="13" t="s">
        <v>724</v>
      </c>
      <c r="B302" s="13" t="s">
        <v>4</v>
      </c>
      <c r="C302" s="13" t="s">
        <v>434</v>
      </c>
      <c r="D302" s="13" t="s">
        <v>435</v>
      </c>
      <c r="E302" s="13" t="s">
        <v>728</v>
      </c>
      <c r="F302" s="13">
        <v>30</v>
      </c>
      <c r="G302" s="2" t="s">
        <v>382</v>
      </c>
      <c r="H302" s="13" t="s">
        <v>0</v>
      </c>
      <c r="I302" s="13" t="s">
        <v>145</v>
      </c>
      <c r="J302" s="13" t="s">
        <v>46</v>
      </c>
      <c r="K302" s="109">
        <v>44512</v>
      </c>
      <c r="L302" s="109">
        <v>44525</v>
      </c>
      <c r="Q302" s="13" t="str">
        <f t="shared" si="40"/>
        <v>BGTACRD024884AUTOSERVICIOALTILLANO</v>
      </c>
      <c r="T302" s="123">
        <f t="shared" si="41"/>
        <v>0</v>
      </c>
      <c r="U302" s="13">
        <f t="shared" si="42"/>
        <v>0</v>
      </c>
      <c r="V302" s="123">
        <f t="shared" si="43"/>
        <v>0</v>
      </c>
      <c r="X302" s="13">
        <v>0.1</v>
      </c>
      <c r="Y302" s="13">
        <v>11000000</v>
      </c>
      <c r="Z302" s="13">
        <v>11000000</v>
      </c>
      <c r="AA302" s="13">
        <f t="shared" si="44"/>
        <v>12100000000000</v>
      </c>
      <c r="AB302" s="13">
        <f t="shared" si="45"/>
        <v>363000000000000</v>
      </c>
      <c r="AC302" s="13">
        <f t="shared" si="46"/>
        <v>252083333.33333334</v>
      </c>
      <c r="AD302" s="110">
        <f t="shared" si="47"/>
        <v>44516</v>
      </c>
      <c r="AE302" s="13" t="e">
        <f>IF(AND(AD302&lt;=$AI$4,#REF!&lt;1),1,"")</f>
        <v>#REF!</v>
      </c>
      <c r="AF302" s="110">
        <f t="shared" ca="1" si="48"/>
        <v>44553</v>
      </c>
      <c r="AH302" s="13">
        <f t="shared" ca="1" si="49"/>
        <v>41</v>
      </c>
    </row>
    <row r="303" spans="1:34" x14ac:dyDescent="0.25">
      <c r="A303" s="13" t="s">
        <v>149</v>
      </c>
      <c r="B303" s="13" t="s">
        <v>149</v>
      </c>
      <c r="C303" s="13" t="s">
        <v>434</v>
      </c>
      <c r="D303" s="13" t="s">
        <v>435</v>
      </c>
      <c r="E303" s="13" t="s">
        <v>728</v>
      </c>
      <c r="F303" s="13">
        <v>30</v>
      </c>
      <c r="G303" s="2" t="s">
        <v>382</v>
      </c>
      <c r="H303" s="13" t="s">
        <v>0</v>
      </c>
      <c r="I303" s="13" t="s">
        <v>140</v>
      </c>
      <c r="J303" s="13" t="s">
        <v>46</v>
      </c>
      <c r="K303" s="109">
        <v>44512</v>
      </c>
      <c r="L303" s="109">
        <v>44525</v>
      </c>
      <c r="Q303" s="13" t="str">
        <f t="shared" si="40"/>
        <v>DUITCRD024884AUTOSERVICIONUTRESA</v>
      </c>
      <c r="T303" s="123">
        <f t="shared" si="41"/>
        <v>0</v>
      </c>
      <c r="U303" s="13">
        <f t="shared" si="42"/>
        <v>0</v>
      </c>
      <c r="V303" s="123">
        <f t="shared" si="43"/>
        <v>0</v>
      </c>
      <c r="X303" s="13">
        <v>0.1</v>
      </c>
      <c r="Y303" s="13">
        <v>11000000</v>
      </c>
      <c r="Z303" s="13">
        <v>11000000</v>
      </c>
      <c r="AA303" s="13">
        <f t="shared" si="44"/>
        <v>12100000000000</v>
      </c>
      <c r="AB303" s="13">
        <f t="shared" si="45"/>
        <v>363000000000000</v>
      </c>
      <c r="AC303" s="13">
        <f t="shared" si="46"/>
        <v>252083333.33333334</v>
      </c>
      <c r="AD303" s="110">
        <f t="shared" si="47"/>
        <v>44516</v>
      </c>
      <c r="AE303" s="13" t="e">
        <f>IF(AND(AD303&lt;=$AI$4,#REF!&lt;1),1,"")</f>
        <v>#REF!</v>
      </c>
      <c r="AF303" s="110">
        <f t="shared" ca="1" si="48"/>
        <v>44553</v>
      </c>
      <c r="AH303" s="13">
        <f t="shared" ca="1" si="49"/>
        <v>41</v>
      </c>
    </row>
    <row r="304" spans="1:34" x14ac:dyDescent="0.25">
      <c r="A304" s="13" t="s">
        <v>150</v>
      </c>
      <c r="B304" s="13" t="s">
        <v>150</v>
      </c>
      <c r="C304" s="13" t="s">
        <v>434</v>
      </c>
      <c r="D304" s="13" t="s">
        <v>435</v>
      </c>
      <c r="E304" s="13" t="s">
        <v>728</v>
      </c>
      <c r="F304" s="13">
        <v>10</v>
      </c>
      <c r="G304" s="2" t="s">
        <v>382</v>
      </c>
      <c r="H304" s="13" t="s">
        <v>0</v>
      </c>
      <c r="I304" s="13" t="s">
        <v>140</v>
      </c>
      <c r="J304" s="13" t="s">
        <v>46</v>
      </c>
      <c r="K304" s="109">
        <v>44512</v>
      </c>
      <c r="L304" s="109">
        <v>44525</v>
      </c>
      <c r="Q304" s="13" t="str">
        <f t="shared" si="40"/>
        <v>VILACRD024884AUTOSERVICIONUTRESA</v>
      </c>
      <c r="T304" s="123">
        <f t="shared" si="41"/>
        <v>0</v>
      </c>
      <c r="U304" s="13">
        <f t="shared" si="42"/>
        <v>0</v>
      </c>
      <c r="V304" s="123">
        <f t="shared" si="43"/>
        <v>0</v>
      </c>
      <c r="X304" s="13">
        <v>0.1</v>
      </c>
      <c r="Y304" s="13">
        <v>11000000</v>
      </c>
      <c r="Z304" s="13">
        <v>11000000</v>
      </c>
      <c r="AA304" s="13">
        <f t="shared" si="44"/>
        <v>12100000000000</v>
      </c>
      <c r="AB304" s="13">
        <f t="shared" si="45"/>
        <v>121000000000000</v>
      </c>
      <c r="AC304" s="13">
        <f t="shared" si="46"/>
        <v>84027777.777777776</v>
      </c>
      <c r="AD304" s="110">
        <f t="shared" si="47"/>
        <v>44516</v>
      </c>
      <c r="AE304" s="13" t="e">
        <f>IF(AND(AD304&lt;=$AI$4,#REF!&lt;1),1,"")</f>
        <v>#REF!</v>
      </c>
      <c r="AF304" s="110">
        <f t="shared" ca="1" si="48"/>
        <v>44553</v>
      </c>
      <c r="AH304" s="13">
        <f t="shared" ca="1" si="49"/>
        <v>41</v>
      </c>
    </row>
    <row r="305" spans="1:34" x14ac:dyDescent="0.25">
      <c r="A305" s="13" t="s">
        <v>5</v>
      </c>
      <c r="B305" s="13" t="s">
        <v>5</v>
      </c>
      <c r="C305" s="13" t="s">
        <v>434</v>
      </c>
      <c r="D305" s="13" t="s">
        <v>435</v>
      </c>
      <c r="E305" s="13" t="s">
        <v>728</v>
      </c>
      <c r="F305" s="13">
        <v>60</v>
      </c>
      <c r="G305" s="2" t="s">
        <v>382</v>
      </c>
      <c r="H305" s="13" t="s">
        <v>0</v>
      </c>
      <c r="I305" s="13" t="s">
        <v>140</v>
      </c>
      <c r="J305" s="13" t="s">
        <v>46</v>
      </c>
      <c r="K305" s="109">
        <v>44512</v>
      </c>
      <c r="L305" s="109">
        <v>44525</v>
      </c>
      <c r="Q305" s="13" t="str">
        <f t="shared" si="40"/>
        <v>BUCACRD024884AUTOSERVICIONUTRESA</v>
      </c>
      <c r="T305" s="123">
        <f t="shared" si="41"/>
        <v>0</v>
      </c>
      <c r="U305" s="13">
        <f t="shared" si="42"/>
        <v>0</v>
      </c>
      <c r="V305" s="123">
        <f t="shared" si="43"/>
        <v>0</v>
      </c>
      <c r="X305" s="13">
        <v>0.1</v>
      </c>
      <c r="Y305" s="13">
        <v>11000000</v>
      </c>
      <c r="Z305" s="13">
        <v>11000000</v>
      </c>
      <c r="AA305" s="13">
        <f t="shared" si="44"/>
        <v>12100000000000</v>
      </c>
      <c r="AB305" s="13">
        <f t="shared" si="45"/>
        <v>726000000000000</v>
      </c>
      <c r="AC305" s="13">
        <f t="shared" si="46"/>
        <v>504166666.66666669</v>
      </c>
      <c r="AD305" s="110">
        <f t="shared" si="47"/>
        <v>44516</v>
      </c>
      <c r="AE305" s="13" t="e">
        <f>IF(AND(AD305&lt;=$AI$4,#REF!&lt;1),1,"")</f>
        <v>#REF!</v>
      </c>
      <c r="AF305" s="110">
        <f t="shared" ca="1" si="48"/>
        <v>44553</v>
      </c>
      <c r="AH305" s="13">
        <f t="shared" ca="1" si="49"/>
        <v>41</v>
      </c>
    </row>
    <row r="306" spans="1:34" x14ac:dyDescent="0.25">
      <c r="A306" s="13" t="s">
        <v>6</v>
      </c>
      <c r="B306" s="13" t="s">
        <v>6</v>
      </c>
      <c r="C306" s="13" t="s">
        <v>434</v>
      </c>
      <c r="D306" s="13" t="s">
        <v>435</v>
      </c>
      <c r="E306" s="13" t="s">
        <v>728</v>
      </c>
      <c r="F306" s="13">
        <v>30</v>
      </c>
      <c r="G306" s="2" t="s">
        <v>382</v>
      </c>
      <c r="H306" s="13" t="s">
        <v>0</v>
      </c>
      <c r="I306" s="13" t="s">
        <v>140</v>
      </c>
      <c r="J306" s="13" t="s">
        <v>46</v>
      </c>
      <c r="K306" s="109">
        <v>44512</v>
      </c>
      <c r="L306" s="109">
        <v>44525</v>
      </c>
      <c r="Q306" s="13" t="str">
        <f t="shared" si="40"/>
        <v>CALICRD024884AUTOSERVICIONUTRESA</v>
      </c>
      <c r="T306" s="123">
        <f t="shared" si="41"/>
        <v>0</v>
      </c>
      <c r="U306" s="13">
        <f t="shared" si="42"/>
        <v>0</v>
      </c>
      <c r="V306" s="123">
        <f t="shared" si="43"/>
        <v>0</v>
      </c>
      <c r="X306" s="13">
        <v>0.1</v>
      </c>
      <c r="Y306" s="13">
        <v>11000000</v>
      </c>
      <c r="Z306" s="13">
        <v>11000000</v>
      </c>
      <c r="AA306" s="13">
        <f t="shared" si="44"/>
        <v>12100000000000</v>
      </c>
      <c r="AB306" s="13">
        <f t="shared" si="45"/>
        <v>363000000000000</v>
      </c>
      <c r="AC306" s="13">
        <f t="shared" si="46"/>
        <v>252083333.33333334</v>
      </c>
      <c r="AD306" s="110">
        <f t="shared" si="47"/>
        <v>44516</v>
      </c>
      <c r="AE306" s="13" t="e">
        <f>IF(AND(AD306&lt;=$AI$4,#REF!&lt;1),1,"")</f>
        <v>#REF!</v>
      </c>
      <c r="AF306" s="110">
        <f t="shared" ca="1" si="48"/>
        <v>44553</v>
      </c>
      <c r="AH306" s="13">
        <f t="shared" ca="1" si="49"/>
        <v>41</v>
      </c>
    </row>
    <row r="307" spans="1:34" x14ac:dyDescent="0.25">
      <c r="A307" s="13" t="s">
        <v>7</v>
      </c>
      <c r="B307" s="13" t="s">
        <v>7</v>
      </c>
      <c r="C307" s="13" t="s">
        <v>434</v>
      </c>
      <c r="D307" s="13" t="s">
        <v>435</v>
      </c>
      <c r="E307" s="13" t="s">
        <v>728</v>
      </c>
      <c r="F307" s="13">
        <v>20</v>
      </c>
      <c r="G307" s="2" t="s">
        <v>382</v>
      </c>
      <c r="H307" s="13" t="s">
        <v>0</v>
      </c>
      <c r="I307" s="13" t="s">
        <v>140</v>
      </c>
      <c r="J307" s="13" t="s">
        <v>46</v>
      </c>
      <c r="K307" s="109">
        <v>44512</v>
      </c>
      <c r="L307" s="109">
        <v>44525</v>
      </c>
      <c r="Q307" s="13" t="str">
        <f t="shared" si="40"/>
        <v>CARTCRD024884AUTOSERVICIONUTRESA</v>
      </c>
      <c r="T307" s="123">
        <f t="shared" si="41"/>
        <v>0</v>
      </c>
      <c r="U307" s="13">
        <f t="shared" si="42"/>
        <v>0</v>
      </c>
      <c r="V307" s="123">
        <f t="shared" si="43"/>
        <v>0</v>
      </c>
      <c r="X307" s="13">
        <v>0.1</v>
      </c>
      <c r="Y307" s="13">
        <v>11000000</v>
      </c>
      <c r="Z307" s="13">
        <v>11000000</v>
      </c>
      <c r="AA307" s="13">
        <f t="shared" si="44"/>
        <v>12100000000000</v>
      </c>
      <c r="AB307" s="13">
        <f t="shared" si="45"/>
        <v>242000000000000</v>
      </c>
      <c r="AC307" s="13">
        <f t="shared" si="46"/>
        <v>168055555.55555555</v>
      </c>
      <c r="AD307" s="110">
        <f t="shared" si="47"/>
        <v>44516</v>
      </c>
      <c r="AE307" s="13" t="e">
        <f>IF(AND(AD307&lt;=$AI$4,#REF!&lt;1),1,"")</f>
        <v>#REF!</v>
      </c>
      <c r="AF307" s="110">
        <f t="shared" ca="1" si="48"/>
        <v>44553</v>
      </c>
      <c r="AH307" s="13">
        <f t="shared" ca="1" si="49"/>
        <v>41</v>
      </c>
    </row>
    <row r="308" spans="1:34" x14ac:dyDescent="0.25">
      <c r="A308" s="13" t="s">
        <v>8</v>
      </c>
      <c r="B308" s="13" t="s">
        <v>8</v>
      </c>
      <c r="C308" s="13" t="s">
        <v>434</v>
      </c>
      <c r="D308" s="13" t="s">
        <v>435</v>
      </c>
      <c r="E308" s="13" t="s">
        <v>728</v>
      </c>
      <c r="F308" s="13">
        <v>167</v>
      </c>
      <c r="G308" s="2" t="s">
        <v>382</v>
      </c>
      <c r="H308" s="13" t="s">
        <v>0</v>
      </c>
      <c r="I308" s="13" t="s">
        <v>140</v>
      </c>
      <c r="J308" s="13" t="s">
        <v>46</v>
      </c>
      <c r="K308" s="109">
        <v>44512</v>
      </c>
      <c r="L308" s="109">
        <v>44525</v>
      </c>
      <c r="Q308" s="13" t="str">
        <f t="shared" si="40"/>
        <v>IBA1CRD024884AUTOSERVICIONUTRESA</v>
      </c>
      <c r="T308" s="123">
        <f t="shared" si="41"/>
        <v>0</v>
      </c>
      <c r="U308" s="13">
        <f t="shared" si="42"/>
        <v>0</v>
      </c>
      <c r="V308" s="123">
        <f t="shared" si="43"/>
        <v>0</v>
      </c>
      <c r="X308" s="13">
        <v>0.1</v>
      </c>
      <c r="Y308" s="13">
        <v>11000000</v>
      </c>
      <c r="Z308" s="13">
        <v>11000000</v>
      </c>
      <c r="AA308" s="13">
        <f t="shared" si="44"/>
        <v>12100000000000</v>
      </c>
      <c r="AB308" s="13">
        <f t="shared" si="45"/>
        <v>2020700000000000</v>
      </c>
      <c r="AC308" s="13">
        <f t="shared" si="46"/>
        <v>1403263888.8888888</v>
      </c>
      <c r="AD308" s="110">
        <f t="shared" si="47"/>
        <v>44516</v>
      </c>
      <c r="AE308" s="13" t="e">
        <f>IF(AND(AD308&lt;=$AI$4,#REF!&lt;1),1,"")</f>
        <v>#REF!</v>
      </c>
      <c r="AF308" s="110">
        <f t="shared" ca="1" si="48"/>
        <v>44553</v>
      </c>
      <c r="AH308" s="13">
        <f t="shared" ca="1" si="49"/>
        <v>41</v>
      </c>
    </row>
    <row r="309" spans="1:34" x14ac:dyDescent="0.25">
      <c r="A309" s="13" t="s">
        <v>9</v>
      </c>
      <c r="B309" s="13" t="s">
        <v>9</v>
      </c>
      <c r="C309" s="13" t="s">
        <v>434</v>
      </c>
      <c r="D309" s="13" t="s">
        <v>435</v>
      </c>
      <c r="E309" s="13" t="s">
        <v>728</v>
      </c>
      <c r="F309" s="13">
        <v>83</v>
      </c>
      <c r="G309" s="2" t="s">
        <v>382</v>
      </c>
      <c r="H309" s="13" t="s">
        <v>0</v>
      </c>
      <c r="I309" s="13" t="s">
        <v>140</v>
      </c>
      <c r="J309" s="13" t="s">
        <v>46</v>
      </c>
      <c r="K309" s="109">
        <v>44512</v>
      </c>
      <c r="L309" s="109">
        <v>44525</v>
      </c>
      <c r="Q309" s="13" t="str">
        <f t="shared" si="40"/>
        <v>MEDECRD024884AUTOSERVICIONUTRESA</v>
      </c>
      <c r="T309" s="123">
        <f t="shared" si="41"/>
        <v>0</v>
      </c>
      <c r="U309" s="13">
        <f t="shared" si="42"/>
        <v>0</v>
      </c>
      <c r="V309" s="123">
        <f t="shared" si="43"/>
        <v>0</v>
      </c>
      <c r="X309" s="13">
        <v>0.1</v>
      </c>
      <c r="Y309" s="13">
        <v>11000000</v>
      </c>
      <c r="Z309" s="13">
        <v>11000000</v>
      </c>
      <c r="AA309" s="13">
        <f t="shared" si="44"/>
        <v>12100000000000</v>
      </c>
      <c r="AB309" s="13">
        <f t="shared" si="45"/>
        <v>1004300000000000</v>
      </c>
      <c r="AC309" s="13">
        <f t="shared" si="46"/>
        <v>697430555.55555558</v>
      </c>
      <c r="AD309" s="110">
        <f t="shared" si="47"/>
        <v>44516</v>
      </c>
      <c r="AE309" s="13" t="e">
        <f>IF(AND(AD309&lt;=$AI$4,#REF!&lt;1),1,"")</f>
        <v>#REF!</v>
      </c>
      <c r="AF309" s="110">
        <f t="shared" ca="1" si="48"/>
        <v>44553</v>
      </c>
      <c r="AH309" s="13">
        <f t="shared" ca="1" si="49"/>
        <v>41</v>
      </c>
    </row>
    <row r="310" spans="1:34" x14ac:dyDescent="0.25">
      <c r="A310" s="13" t="s">
        <v>10</v>
      </c>
      <c r="B310" s="13" t="s">
        <v>10</v>
      </c>
      <c r="C310" s="13" t="s">
        <v>434</v>
      </c>
      <c r="D310" s="13" t="s">
        <v>435</v>
      </c>
      <c r="E310" s="13" t="s">
        <v>728</v>
      </c>
      <c r="F310" s="13">
        <v>60</v>
      </c>
      <c r="G310" s="2" t="s">
        <v>382</v>
      </c>
      <c r="H310" s="13" t="s">
        <v>0</v>
      </c>
      <c r="I310" s="13" t="s">
        <v>140</v>
      </c>
      <c r="J310" s="13" t="s">
        <v>46</v>
      </c>
      <c r="K310" s="109">
        <v>44512</v>
      </c>
      <c r="L310" s="109">
        <v>44525</v>
      </c>
      <c r="Q310" s="13" t="str">
        <f t="shared" si="40"/>
        <v>PERECRD024884AUTOSERVICIONUTRESA</v>
      </c>
      <c r="T310" s="123">
        <f t="shared" si="41"/>
        <v>0</v>
      </c>
      <c r="U310" s="13">
        <f t="shared" si="42"/>
        <v>0</v>
      </c>
      <c r="V310" s="123">
        <f t="shared" si="43"/>
        <v>0</v>
      </c>
      <c r="X310" s="13">
        <v>0.1</v>
      </c>
      <c r="Y310" s="13">
        <v>11000000</v>
      </c>
      <c r="Z310" s="13">
        <v>11000000</v>
      </c>
      <c r="AA310" s="13">
        <f t="shared" si="44"/>
        <v>12100000000000</v>
      </c>
      <c r="AB310" s="13">
        <f t="shared" si="45"/>
        <v>726000000000000</v>
      </c>
      <c r="AC310" s="13">
        <f t="shared" si="46"/>
        <v>504166666.66666669</v>
      </c>
      <c r="AD310" s="110">
        <f t="shared" si="47"/>
        <v>44516</v>
      </c>
      <c r="AE310" s="13" t="e">
        <f>IF(AND(AD310&lt;=$AI$4,#REF!&lt;1),1,"")</f>
        <v>#REF!</v>
      </c>
      <c r="AF310" s="110">
        <f t="shared" ca="1" si="48"/>
        <v>44553</v>
      </c>
      <c r="AH310" s="13">
        <f t="shared" ca="1" si="49"/>
        <v>41</v>
      </c>
    </row>
    <row r="311" spans="1:34" x14ac:dyDescent="0.25">
      <c r="A311" s="13" t="s">
        <v>3</v>
      </c>
      <c r="B311" s="13" t="s">
        <v>3</v>
      </c>
      <c r="C311" s="13" t="s">
        <v>436</v>
      </c>
      <c r="D311" s="13" t="s">
        <v>437</v>
      </c>
      <c r="E311" s="13" t="s">
        <v>729</v>
      </c>
      <c r="F311" s="13">
        <v>30</v>
      </c>
      <c r="G311" s="2" t="s">
        <v>382</v>
      </c>
      <c r="H311" s="13" t="s">
        <v>0</v>
      </c>
      <c r="I311" s="13" t="s">
        <v>140</v>
      </c>
      <c r="J311" s="13" t="s">
        <v>139</v>
      </c>
      <c r="K311" s="109">
        <v>44512</v>
      </c>
      <c r="L311" s="109">
        <v>44525</v>
      </c>
      <c r="Q311" s="13" t="str">
        <f t="shared" si="40"/>
        <v>BARRCRD024885AUTOSERVICIONUTRESA</v>
      </c>
      <c r="T311" s="123">
        <f t="shared" si="41"/>
        <v>0</v>
      </c>
      <c r="U311" s="13">
        <f t="shared" si="42"/>
        <v>0</v>
      </c>
      <c r="V311" s="123">
        <f t="shared" si="43"/>
        <v>0</v>
      </c>
      <c r="X311" s="13">
        <v>14000000</v>
      </c>
      <c r="Y311" s="13">
        <v>11000000</v>
      </c>
      <c r="Z311" s="13">
        <v>11000000</v>
      </c>
      <c r="AA311" s="13">
        <f t="shared" si="44"/>
        <v>1.694E+21</v>
      </c>
      <c r="AB311" s="13">
        <f t="shared" si="45"/>
        <v>5.0819999999999999E+22</v>
      </c>
      <c r="AC311" s="13">
        <f t="shared" si="46"/>
        <v>3.5291666666666664E+16</v>
      </c>
      <c r="AD311" s="110">
        <f t="shared" si="47"/>
        <v>44516</v>
      </c>
      <c r="AE311" s="13" t="e">
        <f>IF(AND(AD311&lt;=$AI$4,#REF!&lt;1),1,"")</f>
        <v>#REF!</v>
      </c>
      <c r="AF311" s="110">
        <f t="shared" ca="1" si="48"/>
        <v>44553</v>
      </c>
      <c r="AH311" s="13">
        <f t="shared" ca="1" si="49"/>
        <v>41</v>
      </c>
    </row>
    <row r="312" spans="1:34" x14ac:dyDescent="0.25">
      <c r="A312" s="13" t="s">
        <v>4</v>
      </c>
      <c r="B312" s="13" t="s">
        <v>4</v>
      </c>
      <c r="C312" s="13" t="s">
        <v>436</v>
      </c>
      <c r="D312" s="13" t="s">
        <v>437</v>
      </c>
      <c r="E312" s="13" t="s">
        <v>729</v>
      </c>
      <c r="F312" s="13">
        <v>200</v>
      </c>
      <c r="G312" s="2" t="s">
        <v>382</v>
      </c>
      <c r="H312" s="13" t="s">
        <v>0</v>
      </c>
      <c r="I312" s="13" t="s">
        <v>140</v>
      </c>
      <c r="J312" s="13" t="s">
        <v>139</v>
      </c>
      <c r="K312" s="109">
        <v>44512</v>
      </c>
      <c r="L312" s="109">
        <v>44525</v>
      </c>
      <c r="Q312" s="13" t="str">
        <f t="shared" si="40"/>
        <v>BGTACRD024885AUTOSERVICIONUTRESA</v>
      </c>
      <c r="T312" s="123">
        <f t="shared" si="41"/>
        <v>0</v>
      </c>
      <c r="U312" s="13">
        <f t="shared" si="42"/>
        <v>0</v>
      </c>
      <c r="V312" s="123">
        <f t="shared" si="43"/>
        <v>0</v>
      </c>
      <c r="X312" s="13">
        <v>14000000</v>
      </c>
      <c r="Y312" s="13">
        <v>11000000</v>
      </c>
      <c r="Z312" s="13">
        <v>11000000</v>
      </c>
      <c r="AA312" s="13">
        <f t="shared" si="44"/>
        <v>1.694E+21</v>
      </c>
      <c r="AB312" s="13">
        <f t="shared" si="45"/>
        <v>3.388E+23</v>
      </c>
      <c r="AC312" s="13">
        <f t="shared" si="46"/>
        <v>2.3527777777777779E+17</v>
      </c>
      <c r="AD312" s="110">
        <f t="shared" si="47"/>
        <v>44516</v>
      </c>
      <c r="AE312" s="13" t="e">
        <f>IF(AND(AD312&lt;=$AI$4,#REF!&lt;1),1,"")</f>
        <v>#REF!</v>
      </c>
      <c r="AF312" s="110">
        <f t="shared" ca="1" si="48"/>
        <v>44553</v>
      </c>
      <c r="AH312" s="13">
        <f t="shared" ca="1" si="49"/>
        <v>41</v>
      </c>
    </row>
    <row r="313" spans="1:34" x14ac:dyDescent="0.25">
      <c r="A313" s="13" t="s">
        <v>724</v>
      </c>
      <c r="B313" s="13" t="s">
        <v>4</v>
      </c>
      <c r="C313" s="13" t="s">
        <v>436</v>
      </c>
      <c r="D313" s="13" t="s">
        <v>437</v>
      </c>
      <c r="E313" s="13" t="s">
        <v>729</v>
      </c>
      <c r="F313" s="13">
        <v>150</v>
      </c>
      <c r="G313" s="2" t="s">
        <v>382</v>
      </c>
      <c r="H313" s="13" t="s">
        <v>0</v>
      </c>
      <c r="I313" s="13" t="s">
        <v>145</v>
      </c>
      <c r="J313" s="13" t="s">
        <v>139</v>
      </c>
      <c r="K313" s="109">
        <v>44512</v>
      </c>
      <c r="L313" s="109">
        <v>44525</v>
      </c>
      <c r="Q313" s="13" t="str">
        <f t="shared" si="40"/>
        <v>BGTACRD024885AUTOSERVICIOALTILLANO</v>
      </c>
      <c r="T313" s="123">
        <f t="shared" si="41"/>
        <v>0</v>
      </c>
      <c r="U313" s="13">
        <f t="shared" si="42"/>
        <v>0</v>
      </c>
      <c r="V313" s="123">
        <f t="shared" si="43"/>
        <v>0</v>
      </c>
      <c r="X313" s="13">
        <v>14000000</v>
      </c>
      <c r="Y313" s="13">
        <v>11000000</v>
      </c>
      <c r="Z313" s="13">
        <v>11000000</v>
      </c>
      <c r="AA313" s="13">
        <f t="shared" si="44"/>
        <v>1.694E+21</v>
      </c>
      <c r="AB313" s="13">
        <f t="shared" si="45"/>
        <v>2.541E+23</v>
      </c>
      <c r="AC313" s="13">
        <f t="shared" si="46"/>
        <v>1.7645833333333334E+17</v>
      </c>
      <c r="AD313" s="110">
        <f t="shared" si="47"/>
        <v>44516</v>
      </c>
      <c r="AE313" s="13" t="e">
        <f>IF(AND(AD313&lt;=$AI$4,#REF!&lt;1),1,"")</f>
        <v>#REF!</v>
      </c>
      <c r="AF313" s="110">
        <f t="shared" ca="1" si="48"/>
        <v>44553</v>
      </c>
      <c r="AH313" s="13">
        <f t="shared" ca="1" si="49"/>
        <v>41</v>
      </c>
    </row>
    <row r="314" spans="1:34" x14ac:dyDescent="0.25">
      <c r="A314" s="13" t="s">
        <v>149</v>
      </c>
      <c r="B314" s="13" t="s">
        <v>149</v>
      </c>
      <c r="C314" s="13" t="s">
        <v>436</v>
      </c>
      <c r="D314" s="13" t="s">
        <v>437</v>
      </c>
      <c r="E314" s="13" t="s">
        <v>729</v>
      </c>
      <c r="F314" s="13">
        <v>100</v>
      </c>
      <c r="G314" s="2" t="s">
        <v>382</v>
      </c>
      <c r="H314" s="13" t="s">
        <v>0</v>
      </c>
      <c r="I314" s="13" t="s">
        <v>140</v>
      </c>
      <c r="J314" s="13" t="s">
        <v>139</v>
      </c>
      <c r="K314" s="109">
        <v>44512</v>
      </c>
      <c r="L314" s="109">
        <v>44525</v>
      </c>
      <c r="Q314" s="13" t="str">
        <f t="shared" si="40"/>
        <v>DUITCRD024885AUTOSERVICIONUTRESA</v>
      </c>
      <c r="T314" s="123">
        <f t="shared" si="41"/>
        <v>0</v>
      </c>
      <c r="U314" s="13">
        <f t="shared" si="42"/>
        <v>0</v>
      </c>
      <c r="V314" s="123">
        <f t="shared" si="43"/>
        <v>0</v>
      </c>
      <c r="X314" s="13">
        <v>14000000</v>
      </c>
      <c r="Y314" s="13">
        <v>11000000</v>
      </c>
      <c r="Z314" s="13">
        <v>11000000</v>
      </c>
      <c r="AA314" s="13">
        <f t="shared" si="44"/>
        <v>1.694E+21</v>
      </c>
      <c r="AB314" s="13">
        <f t="shared" si="45"/>
        <v>1.694E+23</v>
      </c>
      <c r="AC314" s="13">
        <f t="shared" si="46"/>
        <v>1.176388888888889E+17</v>
      </c>
      <c r="AD314" s="110">
        <f t="shared" si="47"/>
        <v>44516</v>
      </c>
      <c r="AE314" s="13" t="e">
        <f>IF(AND(AD314&lt;=$AI$4,#REF!&lt;1),1,"")</f>
        <v>#REF!</v>
      </c>
      <c r="AF314" s="110">
        <f t="shared" ca="1" si="48"/>
        <v>44553</v>
      </c>
      <c r="AH314" s="13">
        <f t="shared" ca="1" si="49"/>
        <v>41</v>
      </c>
    </row>
    <row r="315" spans="1:34" x14ac:dyDescent="0.25">
      <c r="A315" s="13" t="s">
        <v>150</v>
      </c>
      <c r="B315" s="13" t="s">
        <v>150</v>
      </c>
      <c r="C315" s="13" t="s">
        <v>436</v>
      </c>
      <c r="D315" s="13" t="s">
        <v>437</v>
      </c>
      <c r="E315" s="13" t="s">
        <v>729</v>
      </c>
      <c r="F315" s="13">
        <v>100</v>
      </c>
      <c r="G315" s="2" t="s">
        <v>382</v>
      </c>
      <c r="H315" s="13" t="s">
        <v>0</v>
      </c>
      <c r="I315" s="13" t="s">
        <v>140</v>
      </c>
      <c r="J315" s="13" t="s">
        <v>139</v>
      </c>
      <c r="K315" s="109">
        <v>44512</v>
      </c>
      <c r="L315" s="109">
        <v>44525</v>
      </c>
      <c r="Q315" s="13" t="str">
        <f t="shared" si="40"/>
        <v>VILACRD024885AUTOSERVICIONUTRESA</v>
      </c>
      <c r="T315" s="123">
        <f t="shared" si="41"/>
        <v>0</v>
      </c>
      <c r="U315" s="13">
        <f t="shared" si="42"/>
        <v>0</v>
      </c>
      <c r="V315" s="123">
        <f t="shared" si="43"/>
        <v>0</v>
      </c>
      <c r="X315" s="13">
        <v>14000000</v>
      </c>
      <c r="Y315" s="13">
        <v>11000000</v>
      </c>
      <c r="Z315" s="13">
        <v>11000000</v>
      </c>
      <c r="AA315" s="13">
        <f t="shared" si="44"/>
        <v>1.694E+21</v>
      </c>
      <c r="AB315" s="13">
        <f t="shared" si="45"/>
        <v>1.694E+23</v>
      </c>
      <c r="AC315" s="13">
        <f t="shared" si="46"/>
        <v>1.176388888888889E+17</v>
      </c>
      <c r="AD315" s="110">
        <f t="shared" si="47"/>
        <v>44516</v>
      </c>
      <c r="AE315" s="13" t="e">
        <f>IF(AND(AD315&lt;=$AI$4,#REF!&lt;1),1,"")</f>
        <v>#REF!</v>
      </c>
      <c r="AF315" s="110">
        <f t="shared" ca="1" si="48"/>
        <v>44553</v>
      </c>
      <c r="AH315" s="13">
        <f t="shared" ca="1" si="49"/>
        <v>41</v>
      </c>
    </row>
    <row r="316" spans="1:34" x14ac:dyDescent="0.25">
      <c r="A316" s="13" t="s">
        <v>5</v>
      </c>
      <c r="B316" s="13" t="s">
        <v>5</v>
      </c>
      <c r="C316" s="13" t="s">
        <v>436</v>
      </c>
      <c r="D316" s="13" t="s">
        <v>437</v>
      </c>
      <c r="E316" s="13" t="s">
        <v>729</v>
      </c>
      <c r="F316" s="13">
        <v>240</v>
      </c>
      <c r="G316" s="2" t="s">
        <v>382</v>
      </c>
      <c r="H316" s="13" t="s">
        <v>0</v>
      </c>
      <c r="I316" s="13" t="s">
        <v>140</v>
      </c>
      <c r="J316" s="13" t="s">
        <v>139</v>
      </c>
      <c r="K316" s="109">
        <v>44512</v>
      </c>
      <c r="L316" s="109">
        <v>44525</v>
      </c>
      <c r="Q316" s="13" t="str">
        <f t="shared" si="40"/>
        <v>BUCACRD024885AUTOSERVICIONUTRESA</v>
      </c>
      <c r="T316" s="123">
        <f t="shared" si="41"/>
        <v>0</v>
      </c>
      <c r="U316" s="13">
        <f t="shared" si="42"/>
        <v>0</v>
      </c>
      <c r="V316" s="123">
        <f t="shared" si="43"/>
        <v>0</v>
      </c>
      <c r="X316" s="13">
        <v>14000000</v>
      </c>
      <c r="Y316" s="13">
        <v>11000000</v>
      </c>
      <c r="Z316" s="13">
        <v>11000000</v>
      </c>
      <c r="AA316" s="13">
        <f t="shared" si="44"/>
        <v>1.694E+21</v>
      </c>
      <c r="AB316" s="13">
        <f t="shared" si="45"/>
        <v>4.0655999999999999E+23</v>
      </c>
      <c r="AC316" s="13">
        <f t="shared" si="46"/>
        <v>2.8233333333333331E+17</v>
      </c>
      <c r="AD316" s="110">
        <f t="shared" si="47"/>
        <v>44516</v>
      </c>
      <c r="AE316" s="13" t="e">
        <f>IF(AND(AD316&lt;=$AI$4,#REF!&lt;1),1,"")</f>
        <v>#REF!</v>
      </c>
      <c r="AF316" s="110">
        <f t="shared" ca="1" si="48"/>
        <v>44553</v>
      </c>
      <c r="AH316" s="13">
        <f t="shared" ca="1" si="49"/>
        <v>41</v>
      </c>
    </row>
    <row r="317" spans="1:34" x14ac:dyDescent="0.25">
      <c r="A317" s="13" t="s">
        <v>6</v>
      </c>
      <c r="B317" s="13" t="s">
        <v>6</v>
      </c>
      <c r="C317" s="13" t="s">
        <v>436</v>
      </c>
      <c r="D317" s="13" t="s">
        <v>437</v>
      </c>
      <c r="E317" s="13" t="s">
        <v>729</v>
      </c>
      <c r="F317" s="13">
        <v>60</v>
      </c>
      <c r="G317" s="2" t="s">
        <v>382</v>
      </c>
      <c r="H317" s="13" t="s">
        <v>0</v>
      </c>
      <c r="I317" s="13" t="s">
        <v>140</v>
      </c>
      <c r="J317" s="13" t="s">
        <v>139</v>
      </c>
      <c r="K317" s="109">
        <v>44512</v>
      </c>
      <c r="L317" s="109">
        <v>44525</v>
      </c>
      <c r="Q317" s="13" t="str">
        <f t="shared" si="40"/>
        <v>CALICRD024885AUTOSERVICIONUTRESA</v>
      </c>
      <c r="T317" s="123">
        <f t="shared" si="41"/>
        <v>0</v>
      </c>
      <c r="U317" s="13">
        <f t="shared" si="42"/>
        <v>0</v>
      </c>
      <c r="V317" s="123">
        <f t="shared" si="43"/>
        <v>0</v>
      </c>
      <c r="X317" s="13">
        <v>14000000</v>
      </c>
      <c r="Y317" s="13">
        <v>11000000</v>
      </c>
      <c r="Z317" s="13">
        <v>11000000</v>
      </c>
      <c r="AA317" s="13">
        <f t="shared" si="44"/>
        <v>1.694E+21</v>
      </c>
      <c r="AB317" s="13">
        <f t="shared" si="45"/>
        <v>1.0164E+23</v>
      </c>
      <c r="AC317" s="13">
        <f t="shared" si="46"/>
        <v>7.0583333333333328E+16</v>
      </c>
      <c r="AD317" s="110">
        <f t="shared" si="47"/>
        <v>44516</v>
      </c>
      <c r="AE317" s="13" t="e">
        <f>IF(AND(AD317&lt;=$AI$4,#REF!&lt;1),1,"")</f>
        <v>#REF!</v>
      </c>
      <c r="AF317" s="110">
        <f t="shared" ca="1" si="48"/>
        <v>44553</v>
      </c>
      <c r="AH317" s="13">
        <f t="shared" ca="1" si="49"/>
        <v>41</v>
      </c>
    </row>
    <row r="318" spans="1:34" x14ac:dyDescent="0.25">
      <c r="A318" s="13" t="s">
        <v>7</v>
      </c>
      <c r="B318" s="13" t="s">
        <v>7</v>
      </c>
      <c r="C318" s="13" t="s">
        <v>436</v>
      </c>
      <c r="D318" s="13" t="s">
        <v>437</v>
      </c>
      <c r="E318" s="13" t="s">
        <v>729</v>
      </c>
      <c r="F318" s="13">
        <v>30</v>
      </c>
      <c r="G318" s="2" t="s">
        <v>382</v>
      </c>
      <c r="H318" s="13" t="s">
        <v>0</v>
      </c>
      <c r="I318" s="13" t="s">
        <v>140</v>
      </c>
      <c r="J318" s="13" t="s">
        <v>139</v>
      </c>
      <c r="K318" s="109">
        <v>44512</v>
      </c>
      <c r="L318" s="109">
        <v>44525</v>
      </c>
      <c r="Q318" s="13" t="str">
        <f t="shared" si="40"/>
        <v>CARTCRD024885AUTOSERVICIONUTRESA</v>
      </c>
      <c r="T318" s="123">
        <f t="shared" si="41"/>
        <v>0</v>
      </c>
      <c r="U318" s="13">
        <f t="shared" si="42"/>
        <v>0</v>
      </c>
      <c r="V318" s="123">
        <f t="shared" si="43"/>
        <v>0</v>
      </c>
      <c r="X318" s="13">
        <v>14000000</v>
      </c>
      <c r="Y318" s="13">
        <v>11000000</v>
      </c>
      <c r="Z318" s="13">
        <v>11000000</v>
      </c>
      <c r="AA318" s="13">
        <f t="shared" si="44"/>
        <v>1.694E+21</v>
      </c>
      <c r="AB318" s="13">
        <f t="shared" si="45"/>
        <v>5.0819999999999999E+22</v>
      </c>
      <c r="AC318" s="13">
        <f t="shared" si="46"/>
        <v>3.5291666666666664E+16</v>
      </c>
      <c r="AD318" s="110">
        <f t="shared" si="47"/>
        <v>44516</v>
      </c>
      <c r="AE318" s="13" t="e">
        <f>IF(AND(AD318&lt;=$AI$4,#REF!&lt;1),1,"")</f>
        <v>#REF!</v>
      </c>
      <c r="AF318" s="110">
        <f t="shared" ca="1" si="48"/>
        <v>44553</v>
      </c>
      <c r="AH318" s="13">
        <f t="shared" ca="1" si="49"/>
        <v>41</v>
      </c>
    </row>
    <row r="319" spans="1:34" x14ac:dyDescent="0.25">
      <c r="A319" s="13" t="s">
        <v>8</v>
      </c>
      <c r="B319" s="13" t="s">
        <v>8</v>
      </c>
      <c r="C319" s="13" t="s">
        <v>436</v>
      </c>
      <c r="D319" s="13" t="s">
        <v>437</v>
      </c>
      <c r="E319" s="13" t="s">
        <v>729</v>
      </c>
      <c r="F319" s="13">
        <v>300</v>
      </c>
      <c r="G319" s="2" t="s">
        <v>382</v>
      </c>
      <c r="H319" s="13" t="s">
        <v>0</v>
      </c>
      <c r="I319" s="13" t="s">
        <v>140</v>
      </c>
      <c r="J319" s="13" t="s">
        <v>139</v>
      </c>
      <c r="K319" s="109">
        <v>44512</v>
      </c>
      <c r="L319" s="109">
        <v>44525</v>
      </c>
      <c r="Q319" s="13" t="str">
        <f t="shared" si="40"/>
        <v>IBA1CRD024885AUTOSERVICIONUTRESA</v>
      </c>
      <c r="T319" s="123">
        <f t="shared" si="41"/>
        <v>0</v>
      </c>
      <c r="U319" s="13">
        <f t="shared" si="42"/>
        <v>0</v>
      </c>
      <c r="V319" s="123">
        <f t="shared" si="43"/>
        <v>0</v>
      </c>
      <c r="X319" s="13">
        <v>14000000</v>
      </c>
      <c r="Y319" s="13">
        <v>11000000</v>
      </c>
      <c r="Z319" s="13">
        <v>11000000</v>
      </c>
      <c r="AA319" s="13">
        <f t="shared" si="44"/>
        <v>1.694E+21</v>
      </c>
      <c r="AB319" s="13">
        <f t="shared" si="45"/>
        <v>5.0820000000000001E+23</v>
      </c>
      <c r="AC319" s="13">
        <f t="shared" si="46"/>
        <v>3.5291666666666669E+17</v>
      </c>
      <c r="AD319" s="110">
        <f t="shared" si="47"/>
        <v>44516</v>
      </c>
      <c r="AE319" s="13" t="e">
        <f>IF(AND(AD319&lt;=$AI$4,#REF!&lt;1),1,"")</f>
        <v>#REF!</v>
      </c>
      <c r="AF319" s="110">
        <f t="shared" ca="1" si="48"/>
        <v>44553</v>
      </c>
      <c r="AH319" s="13">
        <f t="shared" ca="1" si="49"/>
        <v>41</v>
      </c>
    </row>
    <row r="320" spans="1:34" x14ac:dyDescent="0.25">
      <c r="A320" s="13" t="s">
        <v>9</v>
      </c>
      <c r="B320" s="13" t="s">
        <v>9</v>
      </c>
      <c r="C320" s="13" t="s">
        <v>436</v>
      </c>
      <c r="D320" s="13" t="s">
        <v>437</v>
      </c>
      <c r="E320" s="13" t="s">
        <v>729</v>
      </c>
      <c r="F320" s="13">
        <v>129</v>
      </c>
      <c r="G320" s="2" t="s">
        <v>382</v>
      </c>
      <c r="H320" s="13" t="s">
        <v>0</v>
      </c>
      <c r="I320" s="13" t="s">
        <v>140</v>
      </c>
      <c r="J320" s="13" t="s">
        <v>139</v>
      </c>
      <c r="K320" s="109">
        <v>44512</v>
      </c>
      <c r="L320" s="109">
        <v>44525</v>
      </c>
      <c r="Q320" s="13" t="str">
        <f t="shared" si="40"/>
        <v>MEDECRD024885AUTOSERVICIONUTRESA</v>
      </c>
      <c r="T320" s="123">
        <f t="shared" si="41"/>
        <v>0</v>
      </c>
      <c r="U320" s="13">
        <f t="shared" si="42"/>
        <v>0</v>
      </c>
      <c r="V320" s="123">
        <f t="shared" si="43"/>
        <v>0</v>
      </c>
      <c r="X320" s="13">
        <v>14000000</v>
      </c>
      <c r="Y320" s="13">
        <v>11000000</v>
      </c>
      <c r="Z320" s="13">
        <v>11000000</v>
      </c>
      <c r="AA320" s="13">
        <f t="shared" si="44"/>
        <v>1.694E+21</v>
      </c>
      <c r="AB320" s="13">
        <f t="shared" si="45"/>
        <v>2.18526E+23</v>
      </c>
      <c r="AC320" s="13">
        <f t="shared" si="46"/>
        <v>1.5175416666666666E+17</v>
      </c>
      <c r="AD320" s="110">
        <f t="shared" si="47"/>
        <v>44516</v>
      </c>
      <c r="AE320" s="13" t="e">
        <f>IF(AND(AD320&lt;=$AI$4,#REF!&lt;1),1,"")</f>
        <v>#REF!</v>
      </c>
      <c r="AF320" s="110">
        <f t="shared" ca="1" si="48"/>
        <v>44553</v>
      </c>
      <c r="AH320" s="13">
        <f t="shared" ca="1" si="49"/>
        <v>41</v>
      </c>
    </row>
    <row r="321" spans="1:34" x14ac:dyDescent="0.25">
      <c r="A321" s="13" t="s">
        <v>10</v>
      </c>
      <c r="B321" s="13" t="s">
        <v>10</v>
      </c>
      <c r="C321" s="13" t="s">
        <v>436</v>
      </c>
      <c r="D321" s="13" t="s">
        <v>437</v>
      </c>
      <c r="E321" s="13" t="s">
        <v>729</v>
      </c>
      <c r="F321" s="13">
        <v>160</v>
      </c>
      <c r="G321" s="2" t="s">
        <v>382</v>
      </c>
      <c r="H321" s="13" t="s">
        <v>0</v>
      </c>
      <c r="I321" s="13" t="s">
        <v>140</v>
      </c>
      <c r="J321" s="13" t="s">
        <v>139</v>
      </c>
      <c r="K321" s="109">
        <v>44512</v>
      </c>
      <c r="L321" s="109">
        <v>44525</v>
      </c>
      <c r="Q321" s="13" t="str">
        <f t="shared" si="40"/>
        <v>PERECRD024885AUTOSERVICIONUTRESA</v>
      </c>
      <c r="T321" s="123">
        <f t="shared" si="41"/>
        <v>0</v>
      </c>
      <c r="U321" s="13">
        <f t="shared" si="42"/>
        <v>0</v>
      </c>
      <c r="V321" s="123">
        <f t="shared" si="43"/>
        <v>0</v>
      </c>
      <c r="X321" s="13">
        <v>14000000</v>
      </c>
      <c r="Y321" s="13">
        <v>11000000</v>
      </c>
      <c r="Z321" s="13">
        <v>11000000</v>
      </c>
      <c r="AA321" s="13">
        <f t="shared" si="44"/>
        <v>1.694E+21</v>
      </c>
      <c r="AB321" s="13">
        <f t="shared" si="45"/>
        <v>2.7104000000000002E+23</v>
      </c>
      <c r="AC321" s="13">
        <f t="shared" si="46"/>
        <v>1.8822222222222224E+17</v>
      </c>
      <c r="AD321" s="110">
        <f t="shared" si="47"/>
        <v>44516</v>
      </c>
      <c r="AE321" s="13" t="e">
        <f>IF(AND(AD321&lt;=$AI$4,#REF!&lt;1),1,"")</f>
        <v>#REF!</v>
      </c>
      <c r="AF321" s="110">
        <f t="shared" ca="1" si="48"/>
        <v>44553</v>
      </c>
      <c r="AH321" s="13">
        <f t="shared" ca="1" si="49"/>
        <v>41</v>
      </c>
    </row>
    <row r="322" spans="1:34" x14ac:dyDescent="0.25">
      <c r="A322" s="13" t="s">
        <v>3</v>
      </c>
      <c r="B322" s="13" t="s">
        <v>3</v>
      </c>
      <c r="C322" s="13" t="s">
        <v>438</v>
      </c>
      <c r="D322" s="13" t="s">
        <v>439</v>
      </c>
      <c r="E322" s="13" t="s">
        <v>729</v>
      </c>
      <c r="F322" s="13">
        <v>1000</v>
      </c>
      <c r="G322" s="2" t="s">
        <v>382</v>
      </c>
      <c r="H322" s="13" t="s">
        <v>2</v>
      </c>
      <c r="I322" s="13" t="s">
        <v>140</v>
      </c>
      <c r="J322" s="13" t="s">
        <v>139</v>
      </c>
      <c r="K322" s="109">
        <v>44512</v>
      </c>
      <c r="L322" s="109">
        <v>44525</v>
      </c>
      <c r="Q322" s="13" t="str">
        <f t="shared" si="40"/>
        <v>BARRCRD024887TRADICIONALNUTRESA</v>
      </c>
      <c r="T322" s="123">
        <f t="shared" si="41"/>
        <v>0</v>
      </c>
      <c r="U322" s="13">
        <f t="shared" si="42"/>
        <v>0</v>
      </c>
      <c r="V322" s="123">
        <f t="shared" si="43"/>
        <v>0</v>
      </c>
      <c r="X322" s="13">
        <v>0.01</v>
      </c>
      <c r="Y322" s="13">
        <v>40000000</v>
      </c>
      <c r="Z322" s="13">
        <v>40000000</v>
      </c>
      <c r="AA322" s="13">
        <f t="shared" si="44"/>
        <v>16000000000000</v>
      </c>
      <c r="AB322" s="13">
        <f t="shared" si="45"/>
        <v>1.6E+16</v>
      </c>
      <c r="AC322" s="13">
        <f t="shared" si="46"/>
        <v>11111111111.111111</v>
      </c>
      <c r="AD322" s="110">
        <f t="shared" si="47"/>
        <v>44516</v>
      </c>
      <c r="AE322" s="13" t="e">
        <f>IF(AND(AD322&lt;=$AI$4,#REF!&lt;1),1,"")</f>
        <v>#REF!</v>
      </c>
      <c r="AF322" s="110">
        <f t="shared" ca="1" si="48"/>
        <v>44553</v>
      </c>
      <c r="AH322" s="13">
        <f t="shared" ca="1" si="49"/>
        <v>41</v>
      </c>
    </row>
    <row r="323" spans="1:34" x14ac:dyDescent="0.25">
      <c r="A323" s="13" t="s">
        <v>4</v>
      </c>
      <c r="B323" s="13" t="s">
        <v>4</v>
      </c>
      <c r="C323" s="13" t="s">
        <v>438</v>
      </c>
      <c r="D323" s="13" t="s">
        <v>439</v>
      </c>
      <c r="E323" s="13" t="s">
        <v>729</v>
      </c>
      <c r="F323" s="13">
        <v>2000</v>
      </c>
      <c r="G323" s="2" t="s">
        <v>382</v>
      </c>
      <c r="H323" s="13" t="s">
        <v>2</v>
      </c>
      <c r="I323" s="13" t="s">
        <v>140</v>
      </c>
      <c r="J323" s="13" t="s">
        <v>139</v>
      </c>
      <c r="K323" s="109">
        <v>44512</v>
      </c>
      <c r="L323" s="109">
        <v>44525</v>
      </c>
      <c r="Q323" s="13" t="str">
        <f t="shared" ref="Q323:Q381" si="50">+CONCATENATE(B323,C323,H323,I323)</f>
        <v>BGTACRD024887TRADICIONALNUTRESA</v>
      </c>
      <c r="T323" s="123">
        <f t="shared" ref="T323:T381" si="51">IFERROR(R323/F323,0)</f>
        <v>0</v>
      </c>
      <c r="U323" s="13">
        <f t="shared" ref="U323:U381" si="52">R323-S323</f>
        <v>0</v>
      </c>
      <c r="V323" s="123">
        <f t="shared" ref="V323:V381" si="53">IFERROR(U323/R323,0)</f>
        <v>0</v>
      </c>
      <c r="X323" s="13">
        <v>0.01</v>
      </c>
      <c r="Y323" s="13">
        <v>40000000</v>
      </c>
      <c r="Z323" s="13">
        <v>40000000</v>
      </c>
      <c r="AA323" s="13">
        <f t="shared" ref="AA323:AA381" si="54">X323*Y323*Z323</f>
        <v>16000000000000</v>
      </c>
      <c r="AB323" s="13">
        <f t="shared" ref="AB323:AB381" si="55">AA323*F323</f>
        <v>3.2E+16</v>
      </c>
      <c r="AC323" s="13">
        <f t="shared" ref="AC323:AC381" si="56">AB323/1440000</f>
        <v>22222222222.222221</v>
      </c>
      <c r="AD323" s="110">
        <f t="shared" ref="AD323:AD381" si="57">K323+4</f>
        <v>44516</v>
      </c>
      <c r="AE323" s="13" t="e">
        <f>IF(AND(AD323&lt;=$AI$4,#REF!&lt;1),1,"")</f>
        <v>#REF!</v>
      </c>
      <c r="AF323" s="110">
        <f t="shared" ref="AF323:AF381" ca="1" si="58">TODAY()</f>
        <v>44553</v>
      </c>
      <c r="AH323" s="13">
        <f t="shared" ref="AH323:AH381" ca="1" si="59">AF323-K323</f>
        <v>41</v>
      </c>
    </row>
    <row r="324" spans="1:34" x14ac:dyDescent="0.25">
      <c r="A324" s="13" t="s">
        <v>724</v>
      </c>
      <c r="B324" s="13" t="s">
        <v>4</v>
      </c>
      <c r="C324" s="13" t="s">
        <v>438</v>
      </c>
      <c r="D324" s="13" t="s">
        <v>439</v>
      </c>
      <c r="E324" s="13" t="s">
        <v>729</v>
      </c>
      <c r="F324" s="13">
        <v>1000</v>
      </c>
      <c r="G324" s="2" t="s">
        <v>382</v>
      </c>
      <c r="H324" s="13" t="s">
        <v>2</v>
      </c>
      <c r="I324" s="13" t="s">
        <v>145</v>
      </c>
      <c r="J324" s="13" t="s">
        <v>139</v>
      </c>
      <c r="K324" s="109">
        <v>44512</v>
      </c>
      <c r="L324" s="109">
        <v>44525</v>
      </c>
      <c r="Q324" s="13" t="str">
        <f t="shared" si="50"/>
        <v>BGTACRD024887TRADICIONALALTILLANO</v>
      </c>
      <c r="T324" s="123">
        <f t="shared" si="51"/>
        <v>0</v>
      </c>
      <c r="U324" s="13">
        <f t="shared" si="52"/>
        <v>0</v>
      </c>
      <c r="V324" s="123">
        <f t="shared" si="53"/>
        <v>0</v>
      </c>
      <c r="X324" s="13">
        <v>0.01</v>
      </c>
      <c r="Y324" s="13">
        <v>40000000</v>
      </c>
      <c r="Z324" s="13">
        <v>40000000</v>
      </c>
      <c r="AA324" s="13">
        <f t="shared" si="54"/>
        <v>16000000000000</v>
      </c>
      <c r="AB324" s="13">
        <f t="shared" si="55"/>
        <v>1.6E+16</v>
      </c>
      <c r="AC324" s="13">
        <f t="shared" si="56"/>
        <v>11111111111.111111</v>
      </c>
      <c r="AD324" s="110">
        <f t="shared" si="57"/>
        <v>44516</v>
      </c>
      <c r="AE324" s="13" t="e">
        <f>IF(AND(AD324&lt;=$AI$4,#REF!&lt;1),1,"")</f>
        <v>#REF!</v>
      </c>
      <c r="AF324" s="110">
        <f t="shared" ca="1" si="58"/>
        <v>44553</v>
      </c>
      <c r="AH324" s="13">
        <f t="shared" ca="1" si="59"/>
        <v>41</v>
      </c>
    </row>
    <row r="325" spans="1:34" x14ac:dyDescent="0.25">
      <c r="A325" s="13" t="s">
        <v>149</v>
      </c>
      <c r="B325" s="13" t="s">
        <v>149</v>
      </c>
      <c r="C325" s="13" t="s">
        <v>438</v>
      </c>
      <c r="D325" s="13" t="s">
        <v>439</v>
      </c>
      <c r="E325" s="13" t="s">
        <v>729</v>
      </c>
      <c r="F325" s="13">
        <v>400</v>
      </c>
      <c r="G325" s="2" t="s">
        <v>382</v>
      </c>
      <c r="H325" s="13" t="s">
        <v>2</v>
      </c>
      <c r="I325" s="13" t="s">
        <v>140</v>
      </c>
      <c r="J325" s="13" t="s">
        <v>139</v>
      </c>
      <c r="K325" s="109">
        <v>44512</v>
      </c>
      <c r="L325" s="109">
        <v>44525</v>
      </c>
      <c r="Q325" s="13" t="str">
        <f t="shared" si="50"/>
        <v>DUITCRD024887TRADICIONALNUTRESA</v>
      </c>
      <c r="T325" s="123">
        <f t="shared" si="51"/>
        <v>0</v>
      </c>
      <c r="U325" s="13">
        <f t="shared" si="52"/>
        <v>0</v>
      </c>
      <c r="V325" s="123">
        <f t="shared" si="53"/>
        <v>0</v>
      </c>
      <c r="X325" s="13">
        <v>0.01</v>
      </c>
      <c r="Y325" s="13">
        <v>40000000</v>
      </c>
      <c r="Z325" s="13">
        <v>40000000</v>
      </c>
      <c r="AA325" s="13">
        <f t="shared" si="54"/>
        <v>16000000000000</v>
      </c>
      <c r="AB325" s="13">
        <f t="shared" si="55"/>
        <v>6400000000000000</v>
      </c>
      <c r="AC325" s="13">
        <f t="shared" si="56"/>
        <v>4444444444.4444447</v>
      </c>
      <c r="AD325" s="110">
        <f t="shared" si="57"/>
        <v>44516</v>
      </c>
      <c r="AE325" s="13" t="e">
        <f>IF(AND(AD325&lt;=$AI$4,#REF!&lt;1),1,"")</f>
        <v>#REF!</v>
      </c>
      <c r="AF325" s="110">
        <f t="shared" ca="1" si="58"/>
        <v>44553</v>
      </c>
      <c r="AH325" s="13">
        <f t="shared" ca="1" si="59"/>
        <v>41</v>
      </c>
    </row>
    <row r="326" spans="1:34" x14ac:dyDescent="0.25">
      <c r="A326" s="13" t="s">
        <v>150</v>
      </c>
      <c r="B326" s="13" t="s">
        <v>150</v>
      </c>
      <c r="C326" s="13" t="s">
        <v>438</v>
      </c>
      <c r="D326" s="13" t="s">
        <v>439</v>
      </c>
      <c r="E326" s="13" t="s">
        <v>729</v>
      </c>
      <c r="F326" s="13">
        <v>500</v>
      </c>
      <c r="G326" s="2" t="s">
        <v>382</v>
      </c>
      <c r="H326" s="13" t="s">
        <v>2</v>
      </c>
      <c r="I326" s="13" t="s">
        <v>140</v>
      </c>
      <c r="J326" s="13" t="s">
        <v>139</v>
      </c>
      <c r="K326" s="109">
        <v>44512</v>
      </c>
      <c r="L326" s="109">
        <v>44525</v>
      </c>
      <c r="Q326" s="13" t="str">
        <f t="shared" si="50"/>
        <v>VILACRD024887TRADICIONALNUTRESA</v>
      </c>
      <c r="T326" s="123">
        <f t="shared" si="51"/>
        <v>0</v>
      </c>
      <c r="U326" s="13">
        <f t="shared" si="52"/>
        <v>0</v>
      </c>
      <c r="V326" s="123">
        <f t="shared" si="53"/>
        <v>0</v>
      </c>
      <c r="X326" s="13">
        <v>0.01</v>
      </c>
      <c r="Y326" s="13">
        <v>40000000</v>
      </c>
      <c r="Z326" s="13">
        <v>40000000</v>
      </c>
      <c r="AA326" s="13">
        <f t="shared" si="54"/>
        <v>16000000000000</v>
      </c>
      <c r="AB326" s="13">
        <f t="shared" si="55"/>
        <v>8000000000000000</v>
      </c>
      <c r="AC326" s="13">
        <f t="shared" si="56"/>
        <v>5555555555.5555553</v>
      </c>
      <c r="AD326" s="110">
        <f t="shared" si="57"/>
        <v>44516</v>
      </c>
      <c r="AE326" s="13" t="e">
        <f>IF(AND(AD326&lt;=$AI$4,#REF!&lt;1),1,"")</f>
        <v>#REF!</v>
      </c>
      <c r="AF326" s="110">
        <f t="shared" ca="1" si="58"/>
        <v>44553</v>
      </c>
      <c r="AH326" s="13">
        <f t="shared" ca="1" si="59"/>
        <v>41</v>
      </c>
    </row>
    <row r="327" spans="1:34" x14ac:dyDescent="0.25">
      <c r="A327" s="13" t="s">
        <v>5</v>
      </c>
      <c r="B327" s="13" t="s">
        <v>5</v>
      </c>
      <c r="C327" s="13" t="s">
        <v>438</v>
      </c>
      <c r="D327" s="13" t="s">
        <v>439</v>
      </c>
      <c r="E327" s="13" t="s">
        <v>729</v>
      </c>
      <c r="F327" s="13">
        <v>750</v>
      </c>
      <c r="G327" s="2" t="s">
        <v>382</v>
      </c>
      <c r="H327" s="13" t="s">
        <v>2</v>
      </c>
      <c r="I327" s="13" t="s">
        <v>140</v>
      </c>
      <c r="J327" s="13" t="s">
        <v>139</v>
      </c>
      <c r="K327" s="109">
        <v>44512</v>
      </c>
      <c r="L327" s="109">
        <v>44525</v>
      </c>
      <c r="Q327" s="13" t="str">
        <f t="shared" si="50"/>
        <v>BUCACRD024887TRADICIONALNUTRESA</v>
      </c>
      <c r="T327" s="123">
        <f t="shared" si="51"/>
        <v>0</v>
      </c>
      <c r="U327" s="13">
        <f t="shared" si="52"/>
        <v>0</v>
      </c>
      <c r="V327" s="123">
        <f t="shared" si="53"/>
        <v>0</v>
      </c>
      <c r="X327" s="13">
        <v>0.01</v>
      </c>
      <c r="Y327" s="13">
        <v>40000000</v>
      </c>
      <c r="Z327" s="13">
        <v>40000000</v>
      </c>
      <c r="AA327" s="13">
        <f t="shared" si="54"/>
        <v>16000000000000</v>
      </c>
      <c r="AB327" s="13">
        <f t="shared" si="55"/>
        <v>1.2E+16</v>
      </c>
      <c r="AC327" s="13">
        <f t="shared" si="56"/>
        <v>8333333333.333333</v>
      </c>
      <c r="AD327" s="110">
        <f t="shared" si="57"/>
        <v>44516</v>
      </c>
      <c r="AE327" s="13" t="e">
        <f>IF(AND(AD327&lt;=$AI$4,#REF!&lt;1),1,"")</f>
        <v>#REF!</v>
      </c>
      <c r="AF327" s="110">
        <f t="shared" ca="1" si="58"/>
        <v>44553</v>
      </c>
      <c r="AH327" s="13">
        <f t="shared" ca="1" si="59"/>
        <v>41</v>
      </c>
    </row>
    <row r="328" spans="1:34" x14ac:dyDescent="0.25">
      <c r="A328" s="13" t="s">
        <v>6</v>
      </c>
      <c r="B328" s="13" t="s">
        <v>6</v>
      </c>
      <c r="C328" s="13" t="s">
        <v>438</v>
      </c>
      <c r="D328" s="13" t="s">
        <v>439</v>
      </c>
      <c r="E328" s="13" t="s">
        <v>729</v>
      </c>
      <c r="F328" s="13">
        <v>750</v>
      </c>
      <c r="G328" s="2" t="s">
        <v>382</v>
      </c>
      <c r="H328" s="13" t="s">
        <v>2</v>
      </c>
      <c r="I328" s="13" t="s">
        <v>140</v>
      </c>
      <c r="J328" s="13" t="s">
        <v>139</v>
      </c>
      <c r="K328" s="109">
        <v>44512</v>
      </c>
      <c r="L328" s="109">
        <v>44525</v>
      </c>
      <c r="Q328" s="13" t="str">
        <f t="shared" si="50"/>
        <v>CALICRD024887TRADICIONALNUTRESA</v>
      </c>
      <c r="T328" s="123">
        <f t="shared" si="51"/>
        <v>0</v>
      </c>
      <c r="U328" s="13">
        <f t="shared" si="52"/>
        <v>0</v>
      </c>
      <c r="V328" s="123">
        <f t="shared" si="53"/>
        <v>0</v>
      </c>
      <c r="X328" s="13">
        <v>0.01</v>
      </c>
      <c r="Y328" s="13">
        <v>40000000</v>
      </c>
      <c r="Z328" s="13">
        <v>40000000</v>
      </c>
      <c r="AA328" s="13">
        <f t="shared" si="54"/>
        <v>16000000000000</v>
      </c>
      <c r="AB328" s="13">
        <f t="shared" si="55"/>
        <v>1.2E+16</v>
      </c>
      <c r="AC328" s="13">
        <f t="shared" si="56"/>
        <v>8333333333.333333</v>
      </c>
      <c r="AD328" s="110">
        <f t="shared" si="57"/>
        <v>44516</v>
      </c>
      <c r="AE328" s="13" t="e">
        <f>IF(AND(AD328&lt;=$AI$4,#REF!&lt;1),1,"")</f>
        <v>#REF!</v>
      </c>
      <c r="AF328" s="110">
        <f t="shared" ca="1" si="58"/>
        <v>44553</v>
      </c>
      <c r="AH328" s="13">
        <f t="shared" ca="1" si="59"/>
        <v>41</v>
      </c>
    </row>
    <row r="329" spans="1:34" x14ac:dyDescent="0.25">
      <c r="A329" s="13" t="s">
        <v>7</v>
      </c>
      <c r="B329" s="13" t="s">
        <v>7</v>
      </c>
      <c r="C329" s="13" t="s">
        <v>438</v>
      </c>
      <c r="D329" s="13" t="s">
        <v>439</v>
      </c>
      <c r="E329" s="13" t="s">
        <v>729</v>
      </c>
      <c r="F329" s="13">
        <v>600</v>
      </c>
      <c r="G329" s="2" t="s">
        <v>382</v>
      </c>
      <c r="H329" s="13" t="s">
        <v>2</v>
      </c>
      <c r="I329" s="13" t="s">
        <v>140</v>
      </c>
      <c r="J329" s="13" t="s">
        <v>139</v>
      </c>
      <c r="K329" s="109">
        <v>44512</v>
      </c>
      <c r="L329" s="109">
        <v>44525</v>
      </c>
      <c r="Q329" s="13" t="str">
        <f t="shared" si="50"/>
        <v>CARTCRD024887TRADICIONALNUTRESA</v>
      </c>
      <c r="T329" s="123">
        <f t="shared" si="51"/>
        <v>0</v>
      </c>
      <c r="U329" s="13">
        <f t="shared" si="52"/>
        <v>0</v>
      </c>
      <c r="V329" s="123">
        <f t="shared" si="53"/>
        <v>0</v>
      </c>
      <c r="X329" s="13">
        <v>0.01</v>
      </c>
      <c r="Y329" s="13">
        <v>40000000</v>
      </c>
      <c r="Z329" s="13">
        <v>40000000</v>
      </c>
      <c r="AA329" s="13">
        <f t="shared" si="54"/>
        <v>16000000000000</v>
      </c>
      <c r="AB329" s="13">
        <f t="shared" si="55"/>
        <v>9600000000000000</v>
      </c>
      <c r="AC329" s="13">
        <f t="shared" si="56"/>
        <v>6666666666.666667</v>
      </c>
      <c r="AD329" s="110">
        <f t="shared" si="57"/>
        <v>44516</v>
      </c>
      <c r="AE329" s="13" t="e">
        <f>IF(AND(AD329&lt;=$AI$4,#REF!&lt;1),1,"")</f>
        <v>#REF!</v>
      </c>
      <c r="AF329" s="110">
        <f t="shared" ca="1" si="58"/>
        <v>44553</v>
      </c>
      <c r="AH329" s="13">
        <f t="shared" ca="1" si="59"/>
        <v>41</v>
      </c>
    </row>
    <row r="330" spans="1:34" x14ac:dyDescent="0.25">
      <c r="A330" s="13" t="s">
        <v>8</v>
      </c>
      <c r="B330" s="13" t="s">
        <v>8</v>
      </c>
      <c r="C330" s="13" t="s">
        <v>438</v>
      </c>
      <c r="D330" s="13" t="s">
        <v>439</v>
      </c>
      <c r="E330" s="13" t="s">
        <v>729</v>
      </c>
      <c r="F330" s="13">
        <v>750</v>
      </c>
      <c r="G330" s="2" t="s">
        <v>382</v>
      </c>
      <c r="H330" s="13" t="s">
        <v>2</v>
      </c>
      <c r="I330" s="13" t="s">
        <v>140</v>
      </c>
      <c r="J330" s="13" t="s">
        <v>139</v>
      </c>
      <c r="K330" s="109">
        <v>44512</v>
      </c>
      <c r="L330" s="109">
        <v>44525</v>
      </c>
      <c r="Q330" s="13" t="str">
        <f t="shared" si="50"/>
        <v>IBA1CRD024887TRADICIONALNUTRESA</v>
      </c>
      <c r="T330" s="123">
        <f t="shared" si="51"/>
        <v>0</v>
      </c>
      <c r="U330" s="13">
        <f t="shared" si="52"/>
        <v>0</v>
      </c>
      <c r="V330" s="123">
        <f t="shared" si="53"/>
        <v>0</v>
      </c>
      <c r="X330" s="13">
        <v>0.01</v>
      </c>
      <c r="Y330" s="13">
        <v>40000000</v>
      </c>
      <c r="Z330" s="13">
        <v>40000000</v>
      </c>
      <c r="AA330" s="13">
        <f t="shared" si="54"/>
        <v>16000000000000</v>
      </c>
      <c r="AB330" s="13">
        <f t="shared" si="55"/>
        <v>1.2E+16</v>
      </c>
      <c r="AC330" s="13">
        <f t="shared" si="56"/>
        <v>8333333333.333333</v>
      </c>
      <c r="AD330" s="110">
        <f t="shared" si="57"/>
        <v>44516</v>
      </c>
      <c r="AE330" s="13" t="e">
        <f>IF(AND(AD330&lt;=$AI$4,#REF!&lt;1),1,"")</f>
        <v>#REF!</v>
      </c>
      <c r="AF330" s="110">
        <f t="shared" ca="1" si="58"/>
        <v>44553</v>
      </c>
      <c r="AH330" s="13">
        <f t="shared" ca="1" si="59"/>
        <v>41</v>
      </c>
    </row>
    <row r="331" spans="1:34" x14ac:dyDescent="0.25">
      <c r="A331" s="13" t="s">
        <v>9</v>
      </c>
      <c r="B331" s="13" t="s">
        <v>9</v>
      </c>
      <c r="C331" s="13" t="s">
        <v>438</v>
      </c>
      <c r="D331" s="13" t="s">
        <v>439</v>
      </c>
      <c r="E331" s="13" t="s">
        <v>729</v>
      </c>
      <c r="F331" s="13">
        <v>1250</v>
      </c>
      <c r="G331" s="2" t="s">
        <v>382</v>
      </c>
      <c r="H331" s="13" t="s">
        <v>2</v>
      </c>
      <c r="I331" s="13" t="s">
        <v>140</v>
      </c>
      <c r="J331" s="13" t="s">
        <v>139</v>
      </c>
      <c r="K331" s="109">
        <v>44512</v>
      </c>
      <c r="L331" s="109">
        <v>44525</v>
      </c>
      <c r="Q331" s="13" t="str">
        <f t="shared" si="50"/>
        <v>MEDECRD024887TRADICIONALNUTRESA</v>
      </c>
      <c r="T331" s="123">
        <f t="shared" si="51"/>
        <v>0</v>
      </c>
      <c r="U331" s="13">
        <f t="shared" si="52"/>
        <v>0</v>
      </c>
      <c r="V331" s="123">
        <f t="shared" si="53"/>
        <v>0</v>
      </c>
      <c r="X331" s="13">
        <v>0.01</v>
      </c>
      <c r="Y331" s="13">
        <v>40000000</v>
      </c>
      <c r="Z331" s="13">
        <v>40000000</v>
      </c>
      <c r="AA331" s="13">
        <f t="shared" si="54"/>
        <v>16000000000000</v>
      </c>
      <c r="AB331" s="13">
        <f t="shared" si="55"/>
        <v>2E+16</v>
      </c>
      <c r="AC331" s="13">
        <f t="shared" si="56"/>
        <v>13888888888.888889</v>
      </c>
      <c r="AD331" s="110">
        <f t="shared" si="57"/>
        <v>44516</v>
      </c>
      <c r="AE331" s="13" t="e">
        <f>IF(AND(AD331&lt;=$AI$4,#REF!&lt;1),1,"")</f>
        <v>#REF!</v>
      </c>
      <c r="AF331" s="110">
        <f t="shared" ca="1" si="58"/>
        <v>44553</v>
      </c>
      <c r="AH331" s="13">
        <f t="shared" ca="1" si="59"/>
        <v>41</v>
      </c>
    </row>
    <row r="332" spans="1:34" x14ac:dyDescent="0.25">
      <c r="A332" s="13" t="s">
        <v>10</v>
      </c>
      <c r="B332" s="13" t="s">
        <v>10</v>
      </c>
      <c r="C332" s="13" t="s">
        <v>438</v>
      </c>
      <c r="D332" s="13" t="s">
        <v>439</v>
      </c>
      <c r="E332" s="13" t="s">
        <v>729</v>
      </c>
      <c r="F332" s="13">
        <v>700</v>
      </c>
      <c r="G332" s="2" t="s">
        <v>382</v>
      </c>
      <c r="H332" s="13" t="s">
        <v>2</v>
      </c>
      <c r="I332" s="13" t="s">
        <v>140</v>
      </c>
      <c r="J332" s="13" t="s">
        <v>139</v>
      </c>
      <c r="K332" s="109">
        <v>44512</v>
      </c>
      <c r="L332" s="109">
        <v>44525</v>
      </c>
      <c r="Q332" s="13" t="str">
        <f t="shared" si="50"/>
        <v>PERECRD024887TRADICIONALNUTRESA</v>
      </c>
      <c r="T332" s="123">
        <f t="shared" si="51"/>
        <v>0</v>
      </c>
      <c r="U332" s="13">
        <f t="shared" si="52"/>
        <v>0</v>
      </c>
      <c r="V332" s="123">
        <f t="shared" si="53"/>
        <v>0</v>
      </c>
      <c r="X332" s="13">
        <v>0.01</v>
      </c>
      <c r="Y332" s="13">
        <v>40000000</v>
      </c>
      <c r="Z332" s="13">
        <v>40000000</v>
      </c>
      <c r="AA332" s="13">
        <f t="shared" si="54"/>
        <v>16000000000000</v>
      </c>
      <c r="AB332" s="13">
        <f t="shared" si="55"/>
        <v>1.12E+16</v>
      </c>
      <c r="AC332" s="13">
        <f t="shared" si="56"/>
        <v>7777777777.7777777</v>
      </c>
      <c r="AD332" s="110">
        <f t="shared" si="57"/>
        <v>44516</v>
      </c>
      <c r="AE332" s="13" t="e">
        <f>IF(AND(AD332&lt;=$AI$4,#REF!&lt;1),1,"")</f>
        <v>#REF!</v>
      </c>
      <c r="AF332" s="110">
        <f t="shared" ca="1" si="58"/>
        <v>44553</v>
      </c>
      <c r="AH332" s="13">
        <f t="shared" ca="1" si="59"/>
        <v>41</v>
      </c>
    </row>
    <row r="333" spans="1:34" x14ac:dyDescent="0.25">
      <c r="A333" s="13" t="s">
        <v>3</v>
      </c>
      <c r="B333" s="13" t="s">
        <v>3</v>
      </c>
      <c r="C333" s="13" t="s">
        <v>181</v>
      </c>
      <c r="D333" s="13" t="s">
        <v>212</v>
      </c>
      <c r="E333" s="13" t="s">
        <v>756</v>
      </c>
      <c r="F333" s="13">
        <v>100</v>
      </c>
      <c r="G333" s="2" t="s">
        <v>395</v>
      </c>
      <c r="H333" s="13" t="s">
        <v>0</v>
      </c>
      <c r="I333" s="13" t="s">
        <v>140</v>
      </c>
      <c r="J333" s="13" t="s">
        <v>139</v>
      </c>
      <c r="K333" s="109">
        <v>44516</v>
      </c>
      <c r="L333" s="109" t="s">
        <v>322</v>
      </c>
      <c r="Q333" s="13" t="str">
        <f t="shared" si="50"/>
        <v>BARRCRD017899AUTOSERVICIONUTRESA</v>
      </c>
      <c r="T333" s="123">
        <f t="shared" si="51"/>
        <v>0</v>
      </c>
      <c r="U333" s="13">
        <f t="shared" si="52"/>
        <v>0</v>
      </c>
      <c r="V333" s="123">
        <f t="shared" si="53"/>
        <v>0</v>
      </c>
      <c r="X333" s="13">
        <v>12000000</v>
      </c>
      <c r="Y333" s="13">
        <v>31000000</v>
      </c>
      <c r="Z333" s="13">
        <v>31000000</v>
      </c>
      <c r="AA333" s="13">
        <f t="shared" si="54"/>
        <v>1.1532000000000001E+22</v>
      </c>
      <c r="AB333" s="13">
        <f t="shared" si="55"/>
        <v>1.1532000000000001E+24</v>
      </c>
      <c r="AC333" s="13">
        <f t="shared" si="56"/>
        <v>8.0083333333333338E+17</v>
      </c>
      <c r="AD333" s="110">
        <f t="shared" si="57"/>
        <v>44520</v>
      </c>
      <c r="AE333" s="13" t="e">
        <f>IF(AND(AD333&lt;=$AI$4,#REF!&lt;1),1,"")</f>
        <v>#REF!</v>
      </c>
      <c r="AF333" s="110">
        <f t="shared" ca="1" si="58"/>
        <v>44553</v>
      </c>
      <c r="AH333" s="13">
        <f t="shared" ca="1" si="59"/>
        <v>37</v>
      </c>
    </row>
    <row r="334" spans="1:34" x14ac:dyDescent="0.25">
      <c r="A334" s="13" t="s">
        <v>4</v>
      </c>
      <c r="B334" s="13" t="s">
        <v>4</v>
      </c>
      <c r="C334" s="13" t="s">
        <v>181</v>
      </c>
      <c r="D334" s="13" t="s">
        <v>212</v>
      </c>
      <c r="E334" s="13" t="s">
        <v>756</v>
      </c>
      <c r="F334" s="13">
        <v>1500</v>
      </c>
      <c r="G334" s="2" t="s">
        <v>395</v>
      </c>
      <c r="H334" s="13" t="s">
        <v>0</v>
      </c>
      <c r="I334" s="13" t="s">
        <v>140</v>
      </c>
      <c r="J334" s="13" t="s">
        <v>139</v>
      </c>
      <c r="K334" s="109">
        <v>44516</v>
      </c>
      <c r="L334" s="109" t="s">
        <v>322</v>
      </c>
      <c r="Q334" s="13" t="str">
        <f t="shared" si="50"/>
        <v>BGTACRD017899AUTOSERVICIONUTRESA</v>
      </c>
      <c r="T334" s="123">
        <f t="shared" si="51"/>
        <v>0</v>
      </c>
      <c r="U334" s="13">
        <f t="shared" si="52"/>
        <v>0</v>
      </c>
      <c r="V334" s="123">
        <f t="shared" si="53"/>
        <v>0</v>
      </c>
      <c r="X334" s="13">
        <v>12000000</v>
      </c>
      <c r="Y334" s="13">
        <v>31000000</v>
      </c>
      <c r="Z334" s="13">
        <v>31000000</v>
      </c>
      <c r="AA334" s="13">
        <f t="shared" si="54"/>
        <v>1.1532000000000001E+22</v>
      </c>
      <c r="AB334" s="13">
        <f t="shared" si="55"/>
        <v>1.7298000000000001E+25</v>
      </c>
      <c r="AC334" s="13">
        <f t="shared" si="56"/>
        <v>1.20125E+19</v>
      </c>
      <c r="AD334" s="110">
        <f t="shared" si="57"/>
        <v>44520</v>
      </c>
      <c r="AE334" s="13" t="e">
        <f>IF(AND(AD334&lt;=$AI$4,#REF!&lt;1),1,"")</f>
        <v>#REF!</v>
      </c>
      <c r="AF334" s="110">
        <f t="shared" ca="1" si="58"/>
        <v>44553</v>
      </c>
      <c r="AH334" s="13">
        <f t="shared" ca="1" si="59"/>
        <v>37</v>
      </c>
    </row>
    <row r="335" spans="1:34" x14ac:dyDescent="0.25">
      <c r="A335" s="13" t="s">
        <v>724</v>
      </c>
      <c r="B335" s="13" t="s">
        <v>4</v>
      </c>
      <c r="C335" s="13" t="s">
        <v>181</v>
      </c>
      <c r="D335" s="13" t="s">
        <v>212</v>
      </c>
      <c r="E335" s="13" t="s">
        <v>756</v>
      </c>
      <c r="F335" s="13">
        <v>400</v>
      </c>
      <c r="G335" s="2" t="s">
        <v>395</v>
      </c>
      <c r="H335" s="13" t="s">
        <v>0</v>
      </c>
      <c r="I335" s="13" t="s">
        <v>145</v>
      </c>
      <c r="J335" s="13" t="s">
        <v>139</v>
      </c>
      <c r="K335" s="109">
        <v>44516</v>
      </c>
      <c r="L335" s="109" t="s">
        <v>322</v>
      </c>
      <c r="Q335" s="13" t="str">
        <f t="shared" si="50"/>
        <v>BGTACRD017899AUTOSERVICIOALTILLANO</v>
      </c>
      <c r="T335" s="123">
        <f t="shared" si="51"/>
        <v>0</v>
      </c>
      <c r="U335" s="13">
        <f t="shared" si="52"/>
        <v>0</v>
      </c>
      <c r="V335" s="123">
        <f t="shared" si="53"/>
        <v>0</v>
      </c>
      <c r="X335" s="13">
        <v>12000000</v>
      </c>
      <c r="Y335" s="13">
        <v>31000000</v>
      </c>
      <c r="Z335" s="13">
        <v>31000000</v>
      </c>
      <c r="AA335" s="13">
        <f t="shared" si="54"/>
        <v>1.1532000000000001E+22</v>
      </c>
      <c r="AB335" s="13">
        <f t="shared" si="55"/>
        <v>4.6128000000000002E+24</v>
      </c>
      <c r="AC335" s="13">
        <f t="shared" si="56"/>
        <v>3.2033333333333335E+18</v>
      </c>
      <c r="AD335" s="110">
        <f t="shared" si="57"/>
        <v>44520</v>
      </c>
      <c r="AE335" s="13" t="e">
        <f>IF(AND(AD335&lt;=$AI$4,#REF!&lt;1),1,"")</f>
        <v>#REF!</v>
      </c>
      <c r="AF335" s="110">
        <f t="shared" ca="1" si="58"/>
        <v>44553</v>
      </c>
      <c r="AH335" s="13">
        <f t="shared" ca="1" si="59"/>
        <v>37</v>
      </c>
    </row>
    <row r="336" spans="1:34" x14ac:dyDescent="0.25">
      <c r="A336" s="13" t="s">
        <v>149</v>
      </c>
      <c r="B336" s="13" t="s">
        <v>149</v>
      </c>
      <c r="C336" s="13" t="s">
        <v>181</v>
      </c>
      <c r="D336" s="13" t="s">
        <v>212</v>
      </c>
      <c r="E336" s="13" t="s">
        <v>756</v>
      </c>
      <c r="F336" s="13">
        <v>300</v>
      </c>
      <c r="G336" s="2" t="s">
        <v>395</v>
      </c>
      <c r="H336" s="13" t="s">
        <v>0</v>
      </c>
      <c r="I336" s="13" t="s">
        <v>140</v>
      </c>
      <c r="J336" s="13" t="s">
        <v>139</v>
      </c>
      <c r="K336" s="109">
        <v>44516</v>
      </c>
      <c r="L336" s="109" t="s">
        <v>322</v>
      </c>
      <c r="Q336" s="13" t="str">
        <f t="shared" si="50"/>
        <v>DUITCRD017899AUTOSERVICIONUTRESA</v>
      </c>
      <c r="T336" s="123">
        <f t="shared" si="51"/>
        <v>0</v>
      </c>
      <c r="U336" s="13">
        <f t="shared" si="52"/>
        <v>0</v>
      </c>
      <c r="V336" s="123">
        <f t="shared" si="53"/>
        <v>0</v>
      </c>
      <c r="X336" s="13">
        <v>12000000</v>
      </c>
      <c r="Y336" s="13">
        <v>31000000</v>
      </c>
      <c r="Z336" s="13">
        <v>31000000</v>
      </c>
      <c r="AA336" s="13">
        <f t="shared" si="54"/>
        <v>1.1532000000000001E+22</v>
      </c>
      <c r="AB336" s="13">
        <f t="shared" si="55"/>
        <v>3.4596000000000006E+24</v>
      </c>
      <c r="AC336" s="13">
        <f t="shared" si="56"/>
        <v>2.4025000000000005E+18</v>
      </c>
      <c r="AD336" s="110">
        <f t="shared" si="57"/>
        <v>44520</v>
      </c>
      <c r="AE336" s="13" t="e">
        <f>IF(AND(AD336&lt;=$AI$4,#REF!&lt;1),1,"")</f>
        <v>#REF!</v>
      </c>
      <c r="AF336" s="110">
        <f t="shared" ca="1" si="58"/>
        <v>44553</v>
      </c>
      <c r="AH336" s="13">
        <f t="shared" ca="1" si="59"/>
        <v>37</v>
      </c>
    </row>
    <row r="337" spans="1:34" x14ac:dyDescent="0.25">
      <c r="A337" s="13" t="s">
        <v>150</v>
      </c>
      <c r="B337" s="13" t="s">
        <v>150</v>
      </c>
      <c r="C337" s="13" t="s">
        <v>181</v>
      </c>
      <c r="D337" s="13" t="s">
        <v>212</v>
      </c>
      <c r="E337" s="13" t="s">
        <v>756</v>
      </c>
      <c r="F337" s="13">
        <v>300</v>
      </c>
      <c r="G337" s="2" t="s">
        <v>395</v>
      </c>
      <c r="H337" s="13" t="s">
        <v>0</v>
      </c>
      <c r="I337" s="13" t="s">
        <v>140</v>
      </c>
      <c r="J337" s="13" t="s">
        <v>139</v>
      </c>
      <c r="K337" s="109">
        <v>44516</v>
      </c>
      <c r="L337" s="109" t="s">
        <v>322</v>
      </c>
      <c r="Q337" s="13" t="str">
        <f t="shared" si="50"/>
        <v>VILACRD017899AUTOSERVICIONUTRESA</v>
      </c>
      <c r="T337" s="123">
        <f t="shared" si="51"/>
        <v>0</v>
      </c>
      <c r="U337" s="13">
        <f t="shared" si="52"/>
        <v>0</v>
      </c>
      <c r="V337" s="123">
        <f t="shared" si="53"/>
        <v>0</v>
      </c>
      <c r="X337" s="13">
        <v>12000000</v>
      </c>
      <c r="Y337" s="13">
        <v>31000000</v>
      </c>
      <c r="Z337" s="13">
        <v>31000000</v>
      </c>
      <c r="AA337" s="13">
        <f t="shared" si="54"/>
        <v>1.1532000000000001E+22</v>
      </c>
      <c r="AB337" s="13">
        <f t="shared" si="55"/>
        <v>3.4596000000000006E+24</v>
      </c>
      <c r="AC337" s="13">
        <f t="shared" si="56"/>
        <v>2.4025000000000005E+18</v>
      </c>
      <c r="AD337" s="110">
        <f t="shared" si="57"/>
        <v>44520</v>
      </c>
      <c r="AE337" s="13" t="e">
        <f>IF(AND(AD337&lt;=$AI$4,#REF!&lt;1),1,"")</f>
        <v>#REF!</v>
      </c>
      <c r="AF337" s="110">
        <f t="shared" ca="1" si="58"/>
        <v>44553</v>
      </c>
      <c r="AH337" s="13">
        <f t="shared" ca="1" si="59"/>
        <v>37</v>
      </c>
    </row>
    <row r="338" spans="1:34" x14ac:dyDescent="0.25">
      <c r="A338" s="13" t="s">
        <v>5</v>
      </c>
      <c r="B338" s="13" t="s">
        <v>5</v>
      </c>
      <c r="C338" s="13" t="s">
        <v>181</v>
      </c>
      <c r="D338" s="13" t="s">
        <v>212</v>
      </c>
      <c r="E338" s="13" t="s">
        <v>756</v>
      </c>
      <c r="F338" s="13">
        <v>400</v>
      </c>
      <c r="G338" s="2" t="s">
        <v>395</v>
      </c>
      <c r="H338" s="13" t="s">
        <v>0</v>
      </c>
      <c r="I338" s="13" t="s">
        <v>140</v>
      </c>
      <c r="J338" s="13" t="s">
        <v>139</v>
      </c>
      <c r="K338" s="109">
        <v>44516</v>
      </c>
      <c r="L338" s="109" t="s">
        <v>322</v>
      </c>
      <c r="Q338" s="13" t="str">
        <f t="shared" si="50"/>
        <v>BUCACRD017899AUTOSERVICIONUTRESA</v>
      </c>
      <c r="T338" s="123">
        <f t="shared" si="51"/>
        <v>0</v>
      </c>
      <c r="U338" s="13">
        <f t="shared" si="52"/>
        <v>0</v>
      </c>
      <c r="V338" s="123">
        <f t="shared" si="53"/>
        <v>0</v>
      </c>
      <c r="X338" s="13">
        <v>12000000</v>
      </c>
      <c r="Y338" s="13">
        <v>31000000</v>
      </c>
      <c r="Z338" s="13">
        <v>31000000</v>
      </c>
      <c r="AA338" s="13">
        <f t="shared" si="54"/>
        <v>1.1532000000000001E+22</v>
      </c>
      <c r="AB338" s="13">
        <f t="shared" si="55"/>
        <v>4.6128000000000002E+24</v>
      </c>
      <c r="AC338" s="13">
        <f t="shared" si="56"/>
        <v>3.2033333333333335E+18</v>
      </c>
      <c r="AD338" s="110">
        <f t="shared" si="57"/>
        <v>44520</v>
      </c>
      <c r="AE338" s="13" t="e">
        <f>IF(AND(AD338&lt;=$AI$4,#REF!&lt;1),1,"")</f>
        <v>#REF!</v>
      </c>
      <c r="AF338" s="110">
        <f t="shared" ca="1" si="58"/>
        <v>44553</v>
      </c>
      <c r="AH338" s="13">
        <f t="shared" ca="1" si="59"/>
        <v>37</v>
      </c>
    </row>
    <row r="339" spans="1:34" x14ac:dyDescent="0.25">
      <c r="A339" s="13" t="s">
        <v>6</v>
      </c>
      <c r="B339" s="13" t="s">
        <v>6</v>
      </c>
      <c r="C339" s="13" t="s">
        <v>181</v>
      </c>
      <c r="D339" s="13" t="s">
        <v>212</v>
      </c>
      <c r="E339" s="13" t="s">
        <v>756</v>
      </c>
      <c r="F339" s="13">
        <v>6000</v>
      </c>
      <c r="G339" s="2" t="s">
        <v>395</v>
      </c>
      <c r="H339" s="13" t="s">
        <v>0</v>
      </c>
      <c r="I339" s="13" t="s">
        <v>140</v>
      </c>
      <c r="J339" s="13" t="s">
        <v>139</v>
      </c>
      <c r="K339" s="109">
        <v>44516</v>
      </c>
      <c r="L339" s="109" t="s">
        <v>322</v>
      </c>
      <c r="Q339" s="13" t="str">
        <f t="shared" si="50"/>
        <v>CALICRD017899AUTOSERVICIONUTRESA</v>
      </c>
      <c r="T339" s="123">
        <f t="shared" si="51"/>
        <v>0</v>
      </c>
      <c r="U339" s="13">
        <f t="shared" si="52"/>
        <v>0</v>
      </c>
      <c r="V339" s="123">
        <f t="shared" si="53"/>
        <v>0</v>
      </c>
      <c r="X339" s="13">
        <v>12000000</v>
      </c>
      <c r="Y339" s="13">
        <v>31000000</v>
      </c>
      <c r="Z339" s="13">
        <v>31000000</v>
      </c>
      <c r="AA339" s="13">
        <f t="shared" si="54"/>
        <v>1.1532000000000001E+22</v>
      </c>
      <c r="AB339" s="13">
        <f t="shared" si="55"/>
        <v>6.9192000000000003E+25</v>
      </c>
      <c r="AC339" s="13">
        <f t="shared" si="56"/>
        <v>4.805E+19</v>
      </c>
      <c r="AD339" s="110">
        <f t="shared" si="57"/>
        <v>44520</v>
      </c>
      <c r="AE339" s="13" t="e">
        <f>IF(AND(AD339&lt;=$AI$4,#REF!&lt;1),1,"")</f>
        <v>#REF!</v>
      </c>
      <c r="AF339" s="110">
        <f t="shared" ca="1" si="58"/>
        <v>44553</v>
      </c>
      <c r="AH339" s="13">
        <f t="shared" ca="1" si="59"/>
        <v>37</v>
      </c>
    </row>
    <row r="340" spans="1:34" x14ac:dyDescent="0.25">
      <c r="A340" s="13" t="s">
        <v>7</v>
      </c>
      <c r="B340" s="13" t="s">
        <v>7</v>
      </c>
      <c r="C340" s="13" t="s">
        <v>181</v>
      </c>
      <c r="D340" s="13" t="s">
        <v>212</v>
      </c>
      <c r="E340" s="13" t="s">
        <v>756</v>
      </c>
      <c r="F340" s="13">
        <v>100</v>
      </c>
      <c r="G340" s="2" t="s">
        <v>395</v>
      </c>
      <c r="H340" s="13" t="s">
        <v>0</v>
      </c>
      <c r="I340" s="13" t="s">
        <v>140</v>
      </c>
      <c r="J340" s="13" t="s">
        <v>139</v>
      </c>
      <c r="K340" s="109">
        <v>44516</v>
      </c>
      <c r="L340" s="109" t="s">
        <v>322</v>
      </c>
      <c r="Q340" s="13" t="str">
        <f t="shared" si="50"/>
        <v>CARTCRD017899AUTOSERVICIONUTRESA</v>
      </c>
      <c r="T340" s="123">
        <f t="shared" si="51"/>
        <v>0</v>
      </c>
      <c r="U340" s="13">
        <f t="shared" si="52"/>
        <v>0</v>
      </c>
      <c r="V340" s="123">
        <f t="shared" si="53"/>
        <v>0</v>
      </c>
      <c r="X340" s="13">
        <v>12000000</v>
      </c>
      <c r="Y340" s="13">
        <v>31000000</v>
      </c>
      <c r="Z340" s="13">
        <v>31000000</v>
      </c>
      <c r="AA340" s="13">
        <f t="shared" si="54"/>
        <v>1.1532000000000001E+22</v>
      </c>
      <c r="AB340" s="13">
        <f t="shared" si="55"/>
        <v>1.1532000000000001E+24</v>
      </c>
      <c r="AC340" s="13">
        <f t="shared" si="56"/>
        <v>8.0083333333333338E+17</v>
      </c>
      <c r="AD340" s="110">
        <f t="shared" si="57"/>
        <v>44520</v>
      </c>
      <c r="AE340" s="13" t="e">
        <f>IF(AND(AD340&lt;=$AI$4,#REF!&lt;1),1,"")</f>
        <v>#REF!</v>
      </c>
      <c r="AF340" s="110">
        <f t="shared" ca="1" si="58"/>
        <v>44553</v>
      </c>
      <c r="AH340" s="13">
        <f t="shared" ca="1" si="59"/>
        <v>37</v>
      </c>
    </row>
    <row r="341" spans="1:34" x14ac:dyDescent="0.25">
      <c r="A341" s="13" t="s">
        <v>8</v>
      </c>
      <c r="B341" s="13" t="s">
        <v>8</v>
      </c>
      <c r="C341" s="13" t="s">
        <v>181</v>
      </c>
      <c r="D341" s="13" t="s">
        <v>212</v>
      </c>
      <c r="E341" s="13" t="s">
        <v>756</v>
      </c>
      <c r="F341" s="13">
        <v>400</v>
      </c>
      <c r="G341" s="2" t="s">
        <v>395</v>
      </c>
      <c r="H341" s="13" t="s">
        <v>0</v>
      </c>
      <c r="I341" s="13" t="s">
        <v>140</v>
      </c>
      <c r="J341" s="13" t="s">
        <v>139</v>
      </c>
      <c r="K341" s="109">
        <v>44516</v>
      </c>
      <c r="L341" s="109" t="s">
        <v>322</v>
      </c>
      <c r="Q341" s="13" t="str">
        <f t="shared" si="50"/>
        <v>IBA1CRD017899AUTOSERVICIONUTRESA</v>
      </c>
      <c r="T341" s="123">
        <f t="shared" si="51"/>
        <v>0</v>
      </c>
      <c r="U341" s="13">
        <f t="shared" si="52"/>
        <v>0</v>
      </c>
      <c r="V341" s="123">
        <f t="shared" si="53"/>
        <v>0</v>
      </c>
      <c r="X341" s="13">
        <v>12000000</v>
      </c>
      <c r="Y341" s="13">
        <v>31000000</v>
      </c>
      <c r="Z341" s="13">
        <v>31000000</v>
      </c>
      <c r="AA341" s="13">
        <f t="shared" si="54"/>
        <v>1.1532000000000001E+22</v>
      </c>
      <c r="AB341" s="13">
        <f t="shared" si="55"/>
        <v>4.6128000000000002E+24</v>
      </c>
      <c r="AC341" s="13">
        <f t="shared" si="56"/>
        <v>3.2033333333333335E+18</v>
      </c>
      <c r="AD341" s="110">
        <f t="shared" si="57"/>
        <v>44520</v>
      </c>
      <c r="AE341" s="13" t="e">
        <f>IF(AND(AD341&lt;=$AI$4,#REF!&lt;1),1,"")</f>
        <v>#REF!</v>
      </c>
      <c r="AF341" s="110">
        <f t="shared" ca="1" si="58"/>
        <v>44553</v>
      </c>
      <c r="AH341" s="13">
        <f t="shared" ca="1" si="59"/>
        <v>37</v>
      </c>
    </row>
    <row r="342" spans="1:34" x14ac:dyDescent="0.25">
      <c r="A342" s="13" t="s">
        <v>9</v>
      </c>
      <c r="B342" s="13" t="s">
        <v>9</v>
      </c>
      <c r="C342" s="13" t="s">
        <v>181</v>
      </c>
      <c r="D342" s="13" t="s">
        <v>212</v>
      </c>
      <c r="E342" s="13" t="s">
        <v>756</v>
      </c>
      <c r="F342" s="13">
        <v>500</v>
      </c>
      <c r="G342" s="2" t="s">
        <v>395</v>
      </c>
      <c r="H342" s="13" t="s">
        <v>0</v>
      </c>
      <c r="I342" s="13" t="s">
        <v>140</v>
      </c>
      <c r="J342" s="13" t="s">
        <v>139</v>
      </c>
      <c r="K342" s="109">
        <v>44516</v>
      </c>
      <c r="L342" s="109" t="s">
        <v>322</v>
      </c>
      <c r="Q342" s="13" t="str">
        <f t="shared" si="50"/>
        <v>MEDECRD017899AUTOSERVICIONUTRESA</v>
      </c>
      <c r="T342" s="123">
        <f t="shared" si="51"/>
        <v>0</v>
      </c>
      <c r="U342" s="13">
        <f t="shared" si="52"/>
        <v>0</v>
      </c>
      <c r="V342" s="123">
        <f t="shared" si="53"/>
        <v>0</v>
      </c>
      <c r="X342" s="13">
        <v>12000000</v>
      </c>
      <c r="Y342" s="13">
        <v>31000000</v>
      </c>
      <c r="Z342" s="13">
        <v>31000000</v>
      </c>
      <c r="AA342" s="13">
        <f t="shared" si="54"/>
        <v>1.1532000000000001E+22</v>
      </c>
      <c r="AB342" s="13">
        <f t="shared" si="55"/>
        <v>5.7660000000000009E+24</v>
      </c>
      <c r="AC342" s="13">
        <f t="shared" si="56"/>
        <v>4.0041666666666675E+18</v>
      </c>
      <c r="AD342" s="110">
        <f t="shared" si="57"/>
        <v>44520</v>
      </c>
      <c r="AE342" s="13" t="e">
        <f>IF(AND(AD342&lt;=$AI$4,#REF!&lt;1),1,"")</f>
        <v>#REF!</v>
      </c>
      <c r="AF342" s="110">
        <f t="shared" ca="1" si="58"/>
        <v>44553</v>
      </c>
      <c r="AH342" s="13">
        <f t="shared" ca="1" si="59"/>
        <v>37</v>
      </c>
    </row>
    <row r="343" spans="1:34" x14ac:dyDescent="0.25">
      <c r="A343" s="13" t="s">
        <v>10</v>
      </c>
      <c r="B343" s="13" t="s">
        <v>10</v>
      </c>
      <c r="C343" s="13" t="s">
        <v>181</v>
      </c>
      <c r="D343" s="13" t="s">
        <v>212</v>
      </c>
      <c r="E343" s="13" t="s">
        <v>756</v>
      </c>
      <c r="F343" s="13">
        <v>10000</v>
      </c>
      <c r="G343" s="2" t="s">
        <v>395</v>
      </c>
      <c r="H343" s="13" t="s">
        <v>0</v>
      </c>
      <c r="I343" s="13" t="s">
        <v>140</v>
      </c>
      <c r="J343" s="13" t="s">
        <v>139</v>
      </c>
      <c r="K343" s="109">
        <v>44516</v>
      </c>
      <c r="L343" s="109" t="s">
        <v>322</v>
      </c>
      <c r="Q343" s="13" t="str">
        <f t="shared" si="50"/>
        <v>PERECRD017899AUTOSERVICIONUTRESA</v>
      </c>
      <c r="T343" s="123">
        <f t="shared" si="51"/>
        <v>0</v>
      </c>
      <c r="U343" s="13">
        <f t="shared" si="52"/>
        <v>0</v>
      </c>
      <c r="V343" s="123">
        <f t="shared" si="53"/>
        <v>0</v>
      </c>
      <c r="X343" s="13">
        <v>12000000</v>
      </c>
      <c r="Y343" s="13">
        <v>31000000</v>
      </c>
      <c r="Z343" s="13">
        <v>31000000</v>
      </c>
      <c r="AA343" s="13">
        <f t="shared" si="54"/>
        <v>1.1532000000000001E+22</v>
      </c>
      <c r="AB343" s="13">
        <f t="shared" si="55"/>
        <v>1.1532000000000001E+26</v>
      </c>
      <c r="AC343" s="13">
        <f t="shared" si="56"/>
        <v>8.0083333333333344E+19</v>
      </c>
      <c r="AD343" s="110">
        <f t="shared" si="57"/>
        <v>44520</v>
      </c>
      <c r="AE343" s="13" t="e">
        <f>IF(AND(AD343&lt;=$AI$4,#REF!&lt;1),1,"")</f>
        <v>#REF!</v>
      </c>
      <c r="AF343" s="110">
        <f t="shared" ca="1" si="58"/>
        <v>44553</v>
      </c>
      <c r="AH343" s="13">
        <f t="shared" ca="1" si="59"/>
        <v>37</v>
      </c>
    </row>
    <row r="344" spans="1:34" x14ac:dyDescent="0.25">
      <c r="A344" s="13" t="s">
        <v>4</v>
      </c>
      <c r="B344" s="13" t="s">
        <v>4</v>
      </c>
      <c r="C344" s="13" t="s">
        <v>248</v>
      </c>
      <c r="D344" s="13" t="s">
        <v>249</v>
      </c>
      <c r="E344" s="13" t="s">
        <v>757</v>
      </c>
      <c r="F344" s="13">
        <v>30000</v>
      </c>
      <c r="G344" s="2" t="s">
        <v>395</v>
      </c>
      <c r="H344" s="13" t="s">
        <v>0</v>
      </c>
      <c r="I344" s="13" t="s">
        <v>140</v>
      </c>
      <c r="J344" s="13" t="s">
        <v>139</v>
      </c>
      <c r="K344" s="109">
        <v>44510</v>
      </c>
      <c r="L344" s="109" t="s">
        <v>322</v>
      </c>
      <c r="P344" s="110">
        <v>44511</v>
      </c>
      <c r="Q344" s="13" t="str">
        <f t="shared" si="50"/>
        <v>BGTACRD023585AUTOSERVICIONUTRESA</v>
      </c>
      <c r="R344" s="2">
        <v>30000</v>
      </c>
      <c r="S344" s="13">
        <v>30000</v>
      </c>
      <c r="T344" s="123">
        <f t="shared" si="51"/>
        <v>1</v>
      </c>
      <c r="U344" s="13">
        <f t="shared" si="52"/>
        <v>0</v>
      </c>
      <c r="V344" s="123">
        <f t="shared" si="53"/>
        <v>0</v>
      </c>
      <c r="X344" s="13">
        <v>0.01</v>
      </c>
      <c r="Y344" s="13">
        <v>11000000</v>
      </c>
      <c r="Z344" s="13">
        <v>11000000</v>
      </c>
      <c r="AA344" s="13">
        <f t="shared" si="54"/>
        <v>1210000000000</v>
      </c>
      <c r="AB344" s="13">
        <f t="shared" si="55"/>
        <v>3.63E+16</v>
      </c>
      <c r="AC344" s="13">
        <f t="shared" si="56"/>
        <v>25208333333.333332</v>
      </c>
      <c r="AD344" s="110">
        <f t="shared" si="57"/>
        <v>44514</v>
      </c>
      <c r="AE344" s="13" t="e">
        <f>IF(AND(AD344&lt;=$AI$4,#REF!&lt;1),1,"")</f>
        <v>#REF!</v>
      </c>
      <c r="AF344" s="110">
        <f t="shared" ca="1" si="58"/>
        <v>44553</v>
      </c>
      <c r="AH344" s="13">
        <f t="shared" ca="1" si="59"/>
        <v>43</v>
      </c>
    </row>
    <row r="345" spans="1:34" x14ac:dyDescent="0.25">
      <c r="A345" s="13" t="s">
        <v>724</v>
      </c>
      <c r="B345" s="13" t="s">
        <v>4</v>
      </c>
      <c r="C345" s="13" t="s">
        <v>248</v>
      </c>
      <c r="D345" s="13" t="s">
        <v>249</v>
      </c>
      <c r="E345" s="13" t="s">
        <v>757</v>
      </c>
      <c r="F345" s="13">
        <v>1500</v>
      </c>
      <c r="G345" s="2" t="s">
        <v>395</v>
      </c>
      <c r="H345" s="13" t="s">
        <v>0</v>
      </c>
      <c r="I345" s="13" t="s">
        <v>145</v>
      </c>
      <c r="J345" s="13" t="s">
        <v>139</v>
      </c>
      <c r="K345" s="109">
        <v>44510</v>
      </c>
      <c r="L345" s="109" t="s">
        <v>322</v>
      </c>
      <c r="P345" s="110">
        <v>44511</v>
      </c>
      <c r="Q345" s="13" t="str">
        <f t="shared" si="50"/>
        <v>BGTACRD023585AUTOSERVICIOALTILLANO</v>
      </c>
      <c r="R345" s="2">
        <v>1500</v>
      </c>
      <c r="S345" s="13">
        <v>1500</v>
      </c>
      <c r="T345" s="123">
        <f t="shared" si="51"/>
        <v>1</v>
      </c>
      <c r="U345" s="13">
        <f t="shared" si="52"/>
        <v>0</v>
      </c>
      <c r="V345" s="123">
        <f t="shared" si="53"/>
        <v>0</v>
      </c>
      <c r="X345" s="13">
        <v>0.01</v>
      </c>
      <c r="Y345" s="13">
        <v>11000000</v>
      </c>
      <c r="Z345" s="13">
        <v>11000000</v>
      </c>
      <c r="AA345" s="13">
        <f t="shared" si="54"/>
        <v>1210000000000</v>
      </c>
      <c r="AB345" s="13">
        <f t="shared" si="55"/>
        <v>1815000000000000</v>
      </c>
      <c r="AC345" s="13">
        <f t="shared" si="56"/>
        <v>1260416666.6666667</v>
      </c>
      <c r="AD345" s="110">
        <f t="shared" si="57"/>
        <v>44514</v>
      </c>
      <c r="AE345" s="13" t="e">
        <f>IF(AND(AD345&lt;=$AI$4,#REF!&lt;1),1,"")</f>
        <v>#REF!</v>
      </c>
      <c r="AF345" s="110">
        <f t="shared" ca="1" si="58"/>
        <v>44553</v>
      </c>
      <c r="AH345" s="13">
        <f t="shared" ca="1" si="59"/>
        <v>43</v>
      </c>
    </row>
    <row r="346" spans="1:34" x14ac:dyDescent="0.25">
      <c r="A346" s="13" t="s">
        <v>149</v>
      </c>
      <c r="B346" s="13" t="s">
        <v>149</v>
      </c>
      <c r="C346" s="13" t="s">
        <v>248</v>
      </c>
      <c r="D346" s="13" t="s">
        <v>249</v>
      </c>
      <c r="E346" s="13" t="s">
        <v>757</v>
      </c>
      <c r="F346" s="13">
        <v>1000</v>
      </c>
      <c r="G346" s="2" t="s">
        <v>395</v>
      </c>
      <c r="H346" s="13" t="s">
        <v>0</v>
      </c>
      <c r="I346" s="13" t="s">
        <v>140</v>
      </c>
      <c r="J346" s="13" t="s">
        <v>139</v>
      </c>
      <c r="K346" s="109">
        <v>44510</v>
      </c>
      <c r="L346" s="109" t="s">
        <v>322</v>
      </c>
      <c r="Q346" s="13" t="str">
        <f t="shared" si="50"/>
        <v>DUITCRD023585AUTOSERVICIONUTRESA</v>
      </c>
      <c r="T346" s="123">
        <f t="shared" si="51"/>
        <v>0</v>
      </c>
      <c r="U346" s="13">
        <f t="shared" si="52"/>
        <v>0</v>
      </c>
      <c r="V346" s="123">
        <f t="shared" si="53"/>
        <v>0</v>
      </c>
      <c r="X346" s="13">
        <v>0.01</v>
      </c>
      <c r="Y346" s="13">
        <v>11000000</v>
      </c>
      <c r="Z346" s="13">
        <v>11000000</v>
      </c>
      <c r="AA346" s="13">
        <f t="shared" si="54"/>
        <v>1210000000000</v>
      </c>
      <c r="AB346" s="13">
        <f t="shared" si="55"/>
        <v>1210000000000000</v>
      </c>
      <c r="AC346" s="13">
        <f t="shared" si="56"/>
        <v>840277777.77777779</v>
      </c>
      <c r="AD346" s="110">
        <f t="shared" si="57"/>
        <v>44514</v>
      </c>
      <c r="AE346" s="13" t="e">
        <f>IF(AND(AD346&lt;=$AI$4,#REF!&lt;1),1,"")</f>
        <v>#REF!</v>
      </c>
      <c r="AF346" s="110">
        <f t="shared" ca="1" si="58"/>
        <v>44553</v>
      </c>
      <c r="AH346" s="13">
        <f t="shared" ca="1" si="59"/>
        <v>43</v>
      </c>
    </row>
    <row r="347" spans="1:34" x14ac:dyDescent="0.25">
      <c r="A347" s="13" t="s">
        <v>150</v>
      </c>
      <c r="B347" s="13" t="s">
        <v>150</v>
      </c>
      <c r="C347" s="13" t="s">
        <v>248</v>
      </c>
      <c r="D347" s="13" t="s">
        <v>249</v>
      </c>
      <c r="E347" s="13" t="s">
        <v>757</v>
      </c>
      <c r="F347" s="13">
        <v>1000</v>
      </c>
      <c r="G347" s="2" t="s">
        <v>395</v>
      </c>
      <c r="H347" s="13" t="s">
        <v>0</v>
      </c>
      <c r="I347" s="13" t="s">
        <v>140</v>
      </c>
      <c r="J347" s="13" t="s">
        <v>139</v>
      </c>
      <c r="K347" s="109">
        <v>44510</v>
      </c>
      <c r="L347" s="109" t="s">
        <v>322</v>
      </c>
      <c r="Q347" s="13" t="str">
        <f t="shared" si="50"/>
        <v>VILACRD023585AUTOSERVICIONUTRESA</v>
      </c>
      <c r="T347" s="123">
        <f t="shared" si="51"/>
        <v>0</v>
      </c>
      <c r="U347" s="13">
        <f t="shared" si="52"/>
        <v>0</v>
      </c>
      <c r="V347" s="123">
        <f t="shared" si="53"/>
        <v>0</v>
      </c>
      <c r="X347" s="13">
        <v>0.01</v>
      </c>
      <c r="Y347" s="13">
        <v>11000000</v>
      </c>
      <c r="Z347" s="13">
        <v>11000000</v>
      </c>
      <c r="AA347" s="13">
        <f t="shared" si="54"/>
        <v>1210000000000</v>
      </c>
      <c r="AB347" s="13">
        <f t="shared" si="55"/>
        <v>1210000000000000</v>
      </c>
      <c r="AC347" s="13">
        <f t="shared" si="56"/>
        <v>840277777.77777779</v>
      </c>
      <c r="AD347" s="110">
        <f t="shared" si="57"/>
        <v>44514</v>
      </c>
      <c r="AE347" s="13" t="e">
        <f>IF(AND(AD347&lt;=$AI$4,#REF!&lt;1),1,"")</f>
        <v>#REF!</v>
      </c>
      <c r="AF347" s="110">
        <f t="shared" ca="1" si="58"/>
        <v>44553</v>
      </c>
      <c r="AH347" s="13">
        <f t="shared" ca="1" si="59"/>
        <v>43</v>
      </c>
    </row>
    <row r="348" spans="1:34" x14ac:dyDescent="0.25">
      <c r="A348" s="13" t="s">
        <v>5</v>
      </c>
      <c r="B348" s="13" t="s">
        <v>5</v>
      </c>
      <c r="C348" s="13" t="s">
        <v>248</v>
      </c>
      <c r="D348" s="13" t="s">
        <v>249</v>
      </c>
      <c r="E348" s="13" t="s">
        <v>757</v>
      </c>
      <c r="F348" s="13">
        <v>13000</v>
      </c>
      <c r="G348" s="2" t="s">
        <v>395</v>
      </c>
      <c r="H348" s="13" t="s">
        <v>0</v>
      </c>
      <c r="I348" s="13" t="s">
        <v>140</v>
      </c>
      <c r="J348" s="13" t="s">
        <v>139</v>
      </c>
      <c r="K348" s="109">
        <v>44510</v>
      </c>
      <c r="L348" s="109" t="s">
        <v>322</v>
      </c>
      <c r="Q348" s="13" t="str">
        <f t="shared" si="50"/>
        <v>BUCACRD023585AUTOSERVICIONUTRESA</v>
      </c>
      <c r="T348" s="123">
        <f t="shared" si="51"/>
        <v>0</v>
      </c>
      <c r="U348" s="13">
        <f t="shared" si="52"/>
        <v>0</v>
      </c>
      <c r="V348" s="123">
        <f t="shared" si="53"/>
        <v>0</v>
      </c>
      <c r="X348" s="13">
        <v>0.01</v>
      </c>
      <c r="Y348" s="13">
        <v>11000000</v>
      </c>
      <c r="Z348" s="13">
        <v>11000000</v>
      </c>
      <c r="AA348" s="13">
        <f t="shared" si="54"/>
        <v>1210000000000</v>
      </c>
      <c r="AB348" s="13">
        <f t="shared" si="55"/>
        <v>1.573E+16</v>
      </c>
      <c r="AC348" s="13">
        <f t="shared" si="56"/>
        <v>10923611111.111111</v>
      </c>
      <c r="AD348" s="110">
        <f t="shared" si="57"/>
        <v>44514</v>
      </c>
      <c r="AE348" s="13" t="e">
        <f>IF(AND(AD348&lt;=$AI$4,#REF!&lt;1),1,"")</f>
        <v>#REF!</v>
      </c>
      <c r="AF348" s="110">
        <f t="shared" ca="1" si="58"/>
        <v>44553</v>
      </c>
      <c r="AH348" s="13">
        <f t="shared" ca="1" si="59"/>
        <v>43</v>
      </c>
    </row>
    <row r="349" spans="1:34" x14ac:dyDescent="0.25">
      <c r="A349" s="13" t="s">
        <v>6</v>
      </c>
      <c r="B349" s="13" t="s">
        <v>6</v>
      </c>
      <c r="C349" s="13" t="s">
        <v>248</v>
      </c>
      <c r="D349" s="13" t="s">
        <v>249</v>
      </c>
      <c r="E349" s="13" t="s">
        <v>757</v>
      </c>
      <c r="F349" s="13">
        <v>3000</v>
      </c>
      <c r="G349" s="2" t="s">
        <v>395</v>
      </c>
      <c r="H349" s="13" t="s">
        <v>0</v>
      </c>
      <c r="I349" s="13" t="s">
        <v>140</v>
      </c>
      <c r="J349" s="13" t="s">
        <v>139</v>
      </c>
      <c r="K349" s="109">
        <v>44510</v>
      </c>
      <c r="L349" s="109" t="s">
        <v>322</v>
      </c>
      <c r="Q349" s="13" t="str">
        <f t="shared" si="50"/>
        <v>CALICRD023585AUTOSERVICIONUTRESA</v>
      </c>
      <c r="T349" s="123">
        <f t="shared" si="51"/>
        <v>0</v>
      </c>
      <c r="U349" s="13">
        <f t="shared" si="52"/>
        <v>0</v>
      </c>
      <c r="V349" s="123">
        <f t="shared" si="53"/>
        <v>0</v>
      </c>
      <c r="X349" s="13">
        <v>0.01</v>
      </c>
      <c r="Y349" s="13">
        <v>11000000</v>
      </c>
      <c r="Z349" s="13">
        <v>11000000</v>
      </c>
      <c r="AA349" s="13">
        <f t="shared" si="54"/>
        <v>1210000000000</v>
      </c>
      <c r="AB349" s="13">
        <f t="shared" si="55"/>
        <v>3630000000000000</v>
      </c>
      <c r="AC349" s="13">
        <f t="shared" si="56"/>
        <v>2520833333.3333335</v>
      </c>
      <c r="AD349" s="110">
        <f t="shared" si="57"/>
        <v>44514</v>
      </c>
      <c r="AE349" s="13" t="e">
        <f>IF(AND(AD349&lt;=$AI$4,#REF!&lt;1),1,"")</f>
        <v>#REF!</v>
      </c>
      <c r="AF349" s="110">
        <f t="shared" ca="1" si="58"/>
        <v>44553</v>
      </c>
      <c r="AH349" s="13">
        <f t="shared" ca="1" si="59"/>
        <v>43</v>
      </c>
    </row>
    <row r="350" spans="1:34" x14ac:dyDescent="0.25">
      <c r="A350" s="13" t="s">
        <v>8</v>
      </c>
      <c r="B350" s="13" t="s">
        <v>8</v>
      </c>
      <c r="C350" s="13" t="s">
        <v>248</v>
      </c>
      <c r="D350" s="13" t="s">
        <v>249</v>
      </c>
      <c r="E350" s="13" t="s">
        <v>757</v>
      </c>
      <c r="F350" s="13">
        <v>7000</v>
      </c>
      <c r="G350" s="2" t="s">
        <v>395</v>
      </c>
      <c r="H350" s="13" t="s">
        <v>0</v>
      </c>
      <c r="I350" s="13" t="s">
        <v>140</v>
      </c>
      <c r="J350" s="13" t="s">
        <v>139</v>
      </c>
      <c r="K350" s="109">
        <v>44510</v>
      </c>
      <c r="L350" s="109" t="s">
        <v>322</v>
      </c>
      <c r="Q350" s="13" t="str">
        <f t="shared" si="50"/>
        <v>IBA1CRD023585AUTOSERVICIONUTRESA</v>
      </c>
      <c r="T350" s="123">
        <f t="shared" si="51"/>
        <v>0</v>
      </c>
      <c r="U350" s="13">
        <f t="shared" si="52"/>
        <v>0</v>
      </c>
      <c r="V350" s="123">
        <f t="shared" si="53"/>
        <v>0</v>
      </c>
      <c r="X350" s="13">
        <v>0.01</v>
      </c>
      <c r="Y350" s="13">
        <v>11000000</v>
      </c>
      <c r="Z350" s="13">
        <v>11000000</v>
      </c>
      <c r="AA350" s="13">
        <f t="shared" si="54"/>
        <v>1210000000000</v>
      </c>
      <c r="AB350" s="13">
        <f t="shared" si="55"/>
        <v>8470000000000000</v>
      </c>
      <c r="AC350" s="13">
        <f t="shared" si="56"/>
        <v>5881944444.4444447</v>
      </c>
      <c r="AD350" s="110">
        <f t="shared" si="57"/>
        <v>44514</v>
      </c>
      <c r="AE350" s="13" t="e">
        <f>IF(AND(AD350&lt;=$AI$4,#REF!&lt;1),1,"")</f>
        <v>#REF!</v>
      </c>
      <c r="AF350" s="110">
        <f t="shared" ca="1" si="58"/>
        <v>44553</v>
      </c>
      <c r="AH350" s="13">
        <f t="shared" ca="1" si="59"/>
        <v>43</v>
      </c>
    </row>
    <row r="351" spans="1:34" x14ac:dyDescent="0.25">
      <c r="A351" s="13" t="s">
        <v>9</v>
      </c>
      <c r="B351" s="13" t="s">
        <v>9</v>
      </c>
      <c r="C351" s="13" t="s">
        <v>248</v>
      </c>
      <c r="D351" s="13" t="s">
        <v>249</v>
      </c>
      <c r="E351" s="13" t="s">
        <v>757</v>
      </c>
      <c r="F351" s="13">
        <v>15000</v>
      </c>
      <c r="G351" s="2" t="s">
        <v>395</v>
      </c>
      <c r="H351" s="13" t="s">
        <v>0</v>
      </c>
      <c r="I351" s="13" t="s">
        <v>140</v>
      </c>
      <c r="J351" s="13" t="s">
        <v>139</v>
      </c>
      <c r="K351" s="109">
        <v>44510</v>
      </c>
      <c r="L351" s="109" t="s">
        <v>322</v>
      </c>
      <c r="Q351" s="13" t="str">
        <f t="shared" si="50"/>
        <v>MEDECRD023585AUTOSERVICIONUTRESA</v>
      </c>
      <c r="T351" s="123">
        <f t="shared" si="51"/>
        <v>0</v>
      </c>
      <c r="U351" s="13">
        <f t="shared" si="52"/>
        <v>0</v>
      </c>
      <c r="V351" s="123">
        <f t="shared" si="53"/>
        <v>0</v>
      </c>
      <c r="X351" s="13">
        <v>0.01</v>
      </c>
      <c r="Y351" s="13">
        <v>11000000</v>
      </c>
      <c r="Z351" s="13">
        <v>11000000</v>
      </c>
      <c r="AA351" s="13">
        <f t="shared" si="54"/>
        <v>1210000000000</v>
      </c>
      <c r="AB351" s="13">
        <f t="shared" si="55"/>
        <v>1.815E+16</v>
      </c>
      <c r="AC351" s="13">
        <f t="shared" si="56"/>
        <v>12604166666.666666</v>
      </c>
      <c r="AD351" s="110">
        <f t="shared" si="57"/>
        <v>44514</v>
      </c>
      <c r="AE351" s="13" t="e">
        <f>IF(AND(AD351&lt;=$AI$4,#REF!&lt;1),1,"")</f>
        <v>#REF!</v>
      </c>
      <c r="AF351" s="110">
        <f t="shared" ca="1" si="58"/>
        <v>44553</v>
      </c>
      <c r="AH351" s="13">
        <f t="shared" ca="1" si="59"/>
        <v>43</v>
      </c>
    </row>
    <row r="352" spans="1:34" x14ac:dyDescent="0.25">
      <c r="A352" s="13" t="s">
        <v>10</v>
      </c>
      <c r="B352" s="13" t="s">
        <v>10</v>
      </c>
      <c r="C352" s="13" t="s">
        <v>248</v>
      </c>
      <c r="D352" s="13" t="s">
        <v>249</v>
      </c>
      <c r="E352" s="13" t="s">
        <v>757</v>
      </c>
      <c r="F352" s="13">
        <v>14000</v>
      </c>
      <c r="G352" s="2" t="s">
        <v>395</v>
      </c>
      <c r="H352" s="13" t="s">
        <v>0</v>
      </c>
      <c r="I352" s="13" t="s">
        <v>140</v>
      </c>
      <c r="J352" s="13" t="s">
        <v>139</v>
      </c>
      <c r="K352" s="109">
        <v>44510</v>
      </c>
      <c r="L352" s="109" t="s">
        <v>322</v>
      </c>
      <c r="P352" s="110">
        <v>44511</v>
      </c>
      <c r="Q352" s="13" t="str">
        <f t="shared" si="50"/>
        <v>PERECRD023585AUTOSERVICIONUTRESA</v>
      </c>
      <c r="R352" s="2">
        <v>14000</v>
      </c>
      <c r="S352" s="13">
        <v>14000</v>
      </c>
      <c r="T352" s="123">
        <f t="shared" si="51"/>
        <v>1</v>
      </c>
      <c r="U352" s="13">
        <f t="shared" si="52"/>
        <v>0</v>
      </c>
      <c r="V352" s="123">
        <f t="shared" si="53"/>
        <v>0</v>
      </c>
      <c r="X352" s="13">
        <v>0.01</v>
      </c>
      <c r="Y352" s="13">
        <v>11000000</v>
      </c>
      <c r="Z352" s="13">
        <v>11000000</v>
      </c>
      <c r="AA352" s="13">
        <f t="shared" si="54"/>
        <v>1210000000000</v>
      </c>
      <c r="AB352" s="13">
        <f t="shared" si="55"/>
        <v>1.694E+16</v>
      </c>
      <c r="AC352" s="13">
        <f t="shared" si="56"/>
        <v>11763888888.888889</v>
      </c>
      <c r="AD352" s="110">
        <f t="shared" si="57"/>
        <v>44514</v>
      </c>
      <c r="AE352" s="13" t="e">
        <f>IF(AND(AD352&lt;=$AI$4,#REF!&lt;1),1,"")</f>
        <v>#REF!</v>
      </c>
      <c r="AF352" s="110">
        <f t="shared" ca="1" si="58"/>
        <v>44553</v>
      </c>
      <c r="AH352" s="13">
        <f t="shared" ca="1" si="59"/>
        <v>43</v>
      </c>
    </row>
    <row r="353" spans="1:34" x14ac:dyDescent="0.25">
      <c r="A353" s="13" t="s">
        <v>4</v>
      </c>
      <c r="B353" s="13" t="s">
        <v>4</v>
      </c>
      <c r="C353" s="13" t="s">
        <v>246</v>
      </c>
      <c r="D353" s="13" t="s">
        <v>247</v>
      </c>
      <c r="E353" s="13" t="s">
        <v>757</v>
      </c>
      <c r="F353" s="13">
        <v>15000</v>
      </c>
      <c r="G353" s="2" t="s">
        <v>395</v>
      </c>
      <c r="H353" s="13" t="s">
        <v>0</v>
      </c>
      <c r="I353" s="13" t="s">
        <v>140</v>
      </c>
      <c r="J353" s="13" t="s">
        <v>139</v>
      </c>
      <c r="K353" s="109">
        <v>44510</v>
      </c>
      <c r="L353" s="109" t="s">
        <v>322</v>
      </c>
      <c r="P353" s="110">
        <v>44511</v>
      </c>
      <c r="Q353" s="13" t="str">
        <f t="shared" si="50"/>
        <v>BGTACRD023584AUTOSERVICIONUTRESA</v>
      </c>
      <c r="R353" s="2">
        <v>15000</v>
      </c>
      <c r="S353" s="13">
        <v>15000</v>
      </c>
      <c r="T353" s="123">
        <f t="shared" si="51"/>
        <v>1</v>
      </c>
      <c r="U353" s="13">
        <f t="shared" si="52"/>
        <v>0</v>
      </c>
      <c r="V353" s="123">
        <f t="shared" si="53"/>
        <v>0</v>
      </c>
      <c r="X353" s="13">
        <v>0.5</v>
      </c>
      <c r="Y353" s="13">
        <v>4000000</v>
      </c>
      <c r="Z353" s="13">
        <v>4000000</v>
      </c>
      <c r="AA353" s="13">
        <f t="shared" si="54"/>
        <v>8000000000000</v>
      </c>
      <c r="AB353" s="13">
        <f t="shared" si="55"/>
        <v>1.2E+17</v>
      </c>
      <c r="AC353" s="13">
        <f t="shared" si="56"/>
        <v>83333333333.333328</v>
      </c>
      <c r="AD353" s="110">
        <f t="shared" si="57"/>
        <v>44514</v>
      </c>
      <c r="AE353" s="13" t="e">
        <f>IF(AND(AD353&lt;=$AI$4,#REF!&lt;1),1,"")</f>
        <v>#REF!</v>
      </c>
      <c r="AF353" s="110">
        <f t="shared" ca="1" si="58"/>
        <v>44553</v>
      </c>
      <c r="AH353" s="13">
        <f t="shared" ca="1" si="59"/>
        <v>43</v>
      </c>
    </row>
    <row r="354" spans="1:34" x14ac:dyDescent="0.25">
      <c r="A354" s="13" t="s">
        <v>724</v>
      </c>
      <c r="B354" s="13" t="s">
        <v>4</v>
      </c>
      <c r="C354" s="13" t="s">
        <v>246</v>
      </c>
      <c r="D354" s="13" t="s">
        <v>247</v>
      </c>
      <c r="E354" s="13" t="s">
        <v>757</v>
      </c>
      <c r="F354" s="13">
        <v>15000</v>
      </c>
      <c r="G354" s="2" t="s">
        <v>395</v>
      </c>
      <c r="H354" s="13" t="s">
        <v>0</v>
      </c>
      <c r="I354" s="13" t="s">
        <v>145</v>
      </c>
      <c r="J354" s="13" t="s">
        <v>139</v>
      </c>
      <c r="K354" s="109">
        <v>44510</v>
      </c>
      <c r="L354" s="109" t="s">
        <v>322</v>
      </c>
      <c r="P354" s="110">
        <v>44511</v>
      </c>
      <c r="Q354" s="13" t="str">
        <f t="shared" si="50"/>
        <v>BGTACRD023584AUTOSERVICIOALTILLANO</v>
      </c>
      <c r="R354" s="2">
        <v>15000</v>
      </c>
      <c r="S354" s="13">
        <v>16500</v>
      </c>
      <c r="T354" s="123">
        <f t="shared" si="51"/>
        <v>1</v>
      </c>
      <c r="U354" s="13">
        <f t="shared" si="52"/>
        <v>-1500</v>
      </c>
      <c r="V354" s="123">
        <f t="shared" si="53"/>
        <v>-0.1</v>
      </c>
      <c r="X354" s="13">
        <v>0.5</v>
      </c>
      <c r="Y354" s="13">
        <v>4000000</v>
      </c>
      <c r="Z354" s="13">
        <v>4000000</v>
      </c>
      <c r="AA354" s="13">
        <f t="shared" si="54"/>
        <v>8000000000000</v>
      </c>
      <c r="AB354" s="13">
        <f t="shared" si="55"/>
        <v>1.2E+17</v>
      </c>
      <c r="AC354" s="13">
        <f t="shared" si="56"/>
        <v>83333333333.333328</v>
      </c>
      <c r="AD354" s="110">
        <f t="shared" si="57"/>
        <v>44514</v>
      </c>
      <c r="AE354" s="13" t="e">
        <f>IF(AND(AD354&lt;=$AI$4,#REF!&lt;1),1,"")</f>
        <v>#REF!</v>
      </c>
      <c r="AF354" s="110">
        <f t="shared" ca="1" si="58"/>
        <v>44553</v>
      </c>
      <c r="AH354" s="13">
        <f t="shared" ca="1" si="59"/>
        <v>43</v>
      </c>
    </row>
    <row r="355" spans="1:34" x14ac:dyDescent="0.25">
      <c r="A355" s="13" t="s">
        <v>149</v>
      </c>
      <c r="B355" s="13" t="s">
        <v>149</v>
      </c>
      <c r="C355" s="13" t="s">
        <v>246</v>
      </c>
      <c r="D355" s="13" t="s">
        <v>247</v>
      </c>
      <c r="E355" s="13" t="s">
        <v>757</v>
      </c>
      <c r="F355" s="13">
        <v>10000</v>
      </c>
      <c r="G355" s="2" t="s">
        <v>395</v>
      </c>
      <c r="H355" s="13" t="s">
        <v>0</v>
      </c>
      <c r="I355" s="13" t="s">
        <v>140</v>
      </c>
      <c r="J355" s="13" t="s">
        <v>139</v>
      </c>
      <c r="K355" s="109">
        <v>44510</v>
      </c>
      <c r="L355" s="109" t="s">
        <v>322</v>
      </c>
      <c r="Q355" s="13" t="str">
        <f t="shared" si="50"/>
        <v>DUITCRD023584AUTOSERVICIONUTRESA</v>
      </c>
      <c r="T355" s="123">
        <f t="shared" si="51"/>
        <v>0</v>
      </c>
      <c r="U355" s="13">
        <f t="shared" si="52"/>
        <v>0</v>
      </c>
      <c r="V355" s="123">
        <f t="shared" si="53"/>
        <v>0</v>
      </c>
      <c r="X355" s="13">
        <v>0.5</v>
      </c>
      <c r="Y355" s="13">
        <v>4000000</v>
      </c>
      <c r="Z355" s="13">
        <v>4000000</v>
      </c>
      <c r="AA355" s="13">
        <f t="shared" si="54"/>
        <v>8000000000000</v>
      </c>
      <c r="AB355" s="13">
        <f t="shared" si="55"/>
        <v>8E+16</v>
      </c>
      <c r="AC355" s="13">
        <f t="shared" si="56"/>
        <v>55555555555.555557</v>
      </c>
      <c r="AD355" s="110">
        <f t="shared" si="57"/>
        <v>44514</v>
      </c>
      <c r="AE355" s="13" t="e">
        <f>IF(AND(AD355&lt;=$AI$4,#REF!&lt;1),1,"")</f>
        <v>#REF!</v>
      </c>
      <c r="AF355" s="110">
        <f t="shared" ca="1" si="58"/>
        <v>44553</v>
      </c>
      <c r="AH355" s="13">
        <f t="shared" ca="1" si="59"/>
        <v>43</v>
      </c>
    </row>
    <row r="356" spans="1:34" x14ac:dyDescent="0.25">
      <c r="A356" s="13" t="s">
        <v>150</v>
      </c>
      <c r="B356" s="13" t="s">
        <v>150</v>
      </c>
      <c r="C356" s="13" t="s">
        <v>246</v>
      </c>
      <c r="D356" s="13" t="s">
        <v>247</v>
      </c>
      <c r="E356" s="13" t="s">
        <v>757</v>
      </c>
      <c r="F356" s="13">
        <v>10000</v>
      </c>
      <c r="G356" s="2" t="s">
        <v>395</v>
      </c>
      <c r="H356" s="13" t="s">
        <v>0</v>
      </c>
      <c r="I356" s="13" t="s">
        <v>140</v>
      </c>
      <c r="J356" s="13" t="s">
        <v>139</v>
      </c>
      <c r="K356" s="109">
        <v>44510</v>
      </c>
      <c r="L356" s="109" t="s">
        <v>322</v>
      </c>
      <c r="Q356" s="13" t="str">
        <f t="shared" si="50"/>
        <v>VILACRD023584AUTOSERVICIONUTRESA</v>
      </c>
      <c r="T356" s="123">
        <f t="shared" si="51"/>
        <v>0</v>
      </c>
      <c r="U356" s="13">
        <f t="shared" si="52"/>
        <v>0</v>
      </c>
      <c r="V356" s="123">
        <f t="shared" si="53"/>
        <v>0</v>
      </c>
      <c r="X356" s="13">
        <v>0.5</v>
      </c>
      <c r="Y356" s="13">
        <v>4000000</v>
      </c>
      <c r="Z356" s="13">
        <v>4000000</v>
      </c>
      <c r="AA356" s="13">
        <f t="shared" si="54"/>
        <v>8000000000000</v>
      </c>
      <c r="AB356" s="13">
        <f t="shared" si="55"/>
        <v>8E+16</v>
      </c>
      <c r="AC356" s="13">
        <f t="shared" si="56"/>
        <v>55555555555.555557</v>
      </c>
      <c r="AD356" s="110">
        <f t="shared" si="57"/>
        <v>44514</v>
      </c>
      <c r="AE356" s="13" t="e">
        <f>IF(AND(AD356&lt;=$AI$4,#REF!&lt;1),1,"")</f>
        <v>#REF!</v>
      </c>
      <c r="AF356" s="110">
        <f t="shared" ca="1" si="58"/>
        <v>44553</v>
      </c>
      <c r="AH356" s="13">
        <f t="shared" ca="1" si="59"/>
        <v>43</v>
      </c>
    </row>
    <row r="357" spans="1:34" x14ac:dyDescent="0.25">
      <c r="A357" s="13" t="s">
        <v>5</v>
      </c>
      <c r="B357" s="13" t="s">
        <v>5</v>
      </c>
      <c r="C357" s="13" t="s">
        <v>246</v>
      </c>
      <c r="D357" s="13" t="s">
        <v>247</v>
      </c>
      <c r="E357" s="13" t="s">
        <v>757</v>
      </c>
      <c r="F357" s="13">
        <v>28000</v>
      </c>
      <c r="G357" s="2" t="s">
        <v>395</v>
      </c>
      <c r="H357" s="13" t="s">
        <v>0</v>
      </c>
      <c r="I357" s="13" t="s">
        <v>140</v>
      </c>
      <c r="J357" s="13" t="s">
        <v>139</v>
      </c>
      <c r="K357" s="109">
        <v>44510</v>
      </c>
      <c r="L357" s="109" t="s">
        <v>322</v>
      </c>
      <c r="Q357" s="13" t="str">
        <f t="shared" si="50"/>
        <v>BUCACRD023584AUTOSERVICIONUTRESA</v>
      </c>
      <c r="T357" s="123">
        <f t="shared" si="51"/>
        <v>0</v>
      </c>
      <c r="U357" s="13">
        <f t="shared" si="52"/>
        <v>0</v>
      </c>
      <c r="V357" s="123">
        <f t="shared" si="53"/>
        <v>0</v>
      </c>
      <c r="X357" s="13">
        <v>0.5</v>
      </c>
      <c r="Y357" s="13">
        <v>4000000</v>
      </c>
      <c r="Z357" s="13">
        <v>4000000</v>
      </c>
      <c r="AA357" s="13">
        <f t="shared" si="54"/>
        <v>8000000000000</v>
      </c>
      <c r="AB357" s="13">
        <f t="shared" si="55"/>
        <v>2.24E+17</v>
      </c>
      <c r="AC357" s="13">
        <f t="shared" si="56"/>
        <v>155555555555.55554</v>
      </c>
      <c r="AD357" s="110">
        <f t="shared" si="57"/>
        <v>44514</v>
      </c>
      <c r="AE357" s="13" t="e">
        <f>IF(AND(AD357&lt;=$AI$4,#REF!&lt;1),1,"")</f>
        <v>#REF!</v>
      </c>
      <c r="AF357" s="110">
        <f t="shared" ca="1" si="58"/>
        <v>44553</v>
      </c>
      <c r="AH357" s="13">
        <f t="shared" ca="1" si="59"/>
        <v>43</v>
      </c>
    </row>
    <row r="358" spans="1:34" x14ac:dyDescent="0.25">
      <c r="A358" s="13" t="s">
        <v>6</v>
      </c>
      <c r="B358" s="13" t="s">
        <v>6</v>
      </c>
      <c r="C358" s="13" t="s">
        <v>246</v>
      </c>
      <c r="D358" s="13" t="s">
        <v>247</v>
      </c>
      <c r="E358" s="13" t="s">
        <v>757</v>
      </c>
      <c r="F358" s="13">
        <v>10000</v>
      </c>
      <c r="G358" s="2" t="s">
        <v>395</v>
      </c>
      <c r="H358" s="13" t="s">
        <v>0</v>
      </c>
      <c r="I358" s="13" t="s">
        <v>140</v>
      </c>
      <c r="J358" s="13" t="s">
        <v>139</v>
      </c>
      <c r="K358" s="109">
        <v>44510</v>
      </c>
      <c r="L358" s="109" t="s">
        <v>322</v>
      </c>
      <c r="Q358" s="13" t="str">
        <f t="shared" si="50"/>
        <v>CALICRD023584AUTOSERVICIONUTRESA</v>
      </c>
      <c r="T358" s="123">
        <f t="shared" si="51"/>
        <v>0</v>
      </c>
      <c r="U358" s="13">
        <f t="shared" si="52"/>
        <v>0</v>
      </c>
      <c r="V358" s="123">
        <f t="shared" si="53"/>
        <v>0</v>
      </c>
      <c r="X358" s="13">
        <v>0.5</v>
      </c>
      <c r="Y358" s="13">
        <v>4000000</v>
      </c>
      <c r="Z358" s="13">
        <v>4000000</v>
      </c>
      <c r="AA358" s="13">
        <f t="shared" si="54"/>
        <v>8000000000000</v>
      </c>
      <c r="AB358" s="13">
        <f t="shared" si="55"/>
        <v>8E+16</v>
      </c>
      <c r="AC358" s="13">
        <f t="shared" si="56"/>
        <v>55555555555.555557</v>
      </c>
      <c r="AD358" s="110">
        <f t="shared" si="57"/>
        <v>44514</v>
      </c>
      <c r="AE358" s="13" t="e">
        <f>IF(AND(AD358&lt;=$AI$4,#REF!&lt;1),1,"")</f>
        <v>#REF!</v>
      </c>
      <c r="AF358" s="110">
        <f t="shared" ca="1" si="58"/>
        <v>44553</v>
      </c>
      <c r="AH358" s="13">
        <f t="shared" ca="1" si="59"/>
        <v>43</v>
      </c>
    </row>
    <row r="359" spans="1:34" x14ac:dyDescent="0.25">
      <c r="A359" s="13" t="s">
        <v>8</v>
      </c>
      <c r="B359" s="13" t="s">
        <v>8</v>
      </c>
      <c r="C359" s="13" t="s">
        <v>246</v>
      </c>
      <c r="D359" s="13" t="s">
        <v>247</v>
      </c>
      <c r="E359" s="13" t="s">
        <v>757</v>
      </c>
      <c r="F359" s="13">
        <v>7000</v>
      </c>
      <c r="G359" s="2" t="s">
        <v>395</v>
      </c>
      <c r="H359" s="13" t="s">
        <v>0</v>
      </c>
      <c r="I359" s="13" t="s">
        <v>140</v>
      </c>
      <c r="J359" s="13" t="s">
        <v>139</v>
      </c>
      <c r="K359" s="109">
        <v>44510</v>
      </c>
      <c r="L359" s="109" t="s">
        <v>322</v>
      </c>
      <c r="Q359" s="13" t="str">
        <f t="shared" si="50"/>
        <v>IBA1CRD023584AUTOSERVICIONUTRESA</v>
      </c>
      <c r="T359" s="123">
        <f t="shared" si="51"/>
        <v>0</v>
      </c>
      <c r="U359" s="13">
        <f t="shared" si="52"/>
        <v>0</v>
      </c>
      <c r="V359" s="123">
        <f t="shared" si="53"/>
        <v>0</v>
      </c>
      <c r="X359" s="13">
        <v>0.5</v>
      </c>
      <c r="Y359" s="13">
        <v>4000000</v>
      </c>
      <c r="Z359" s="13">
        <v>4000000</v>
      </c>
      <c r="AA359" s="13">
        <f t="shared" si="54"/>
        <v>8000000000000</v>
      </c>
      <c r="AB359" s="13">
        <f t="shared" si="55"/>
        <v>5.6E+16</v>
      </c>
      <c r="AC359" s="13">
        <f t="shared" si="56"/>
        <v>38888888888.888885</v>
      </c>
      <c r="AD359" s="110">
        <f t="shared" si="57"/>
        <v>44514</v>
      </c>
      <c r="AE359" s="13" t="e">
        <f>IF(AND(AD359&lt;=$AI$4,#REF!&lt;1),1,"")</f>
        <v>#REF!</v>
      </c>
      <c r="AF359" s="110">
        <f t="shared" ca="1" si="58"/>
        <v>44553</v>
      </c>
      <c r="AH359" s="13">
        <f t="shared" ca="1" si="59"/>
        <v>43</v>
      </c>
    </row>
    <row r="360" spans="1:34" x14ac:dyDescent="0.25">
      <c r="A360" s="13" t="s">
        <v>9</v>
      </c>
      <c r="B360" s="13" t="s">
        <v>9</v>
      </c>
      <c r="C360" s="13" t="s">
        <v>246</v>
      </c>
      <c r="D360" s="13" t="s">
        <v>247</v>
      </c>
      <c r="E360" s="13" t="s">
        <v>757</v>
      </c>
      <c r="F360" s="13">
        <v>15000</v>
      </c>
      <c r="G360" s="2" t="s">
        <v>395</v>
      </c>
      <c r="H360" s="13" t="s">
        <v>0</v>
      </c>
      <c r="I360" s="13" t="s">
        <v>140</v>
      </c>
      <c r="J360" s="13" t="s">
        <v>139</v>
      </c>
      <c r="K360" s="109">
        <v>44510</v>
      </c>
      <c r="L360" s="109" t="s">
        <v>322</v>
      </c>
      <c r="Q360" s="13" t="str">
        <f t="shared" si="50"/>
        <v>MEDECRD023584AUTOSERVICIONUTRESA</v>
      </c>
      <c r="T360" s="123">
        <f t="shared" si="51"/>
        <v>0</v>
      </c>
      <c r="U360" s="13">
        <f t="shared" si="52"/>
        <v>0</v>
      </c>
      <c r="V360" s="123">
        <f t="shared" si="53"/>
        <v>0</v>
      </c>
      <c r="X360" s="13">
        <v>0.5</v>
      </c>
      <c r="Y360" s="13">
        <v>4000000</v>
      </c>
      <c r="Z360" s="13">
        <v>4000000</v>
      </c>
      <c r="AA360" s="13">
        <f t="shared" si="54"/>
        <v>8000000000000</v>
      </c>
      <c r="AB360" s="13">
        <f t="shared" si="55"/>
        <v>1.2E+17</v>
      </c>
      <c r="AC360" s="13">
        <f t="shared" si="56"/>
        <v>83333333333.333328</v>
      </c>
      <c r="AD360" s="110">
        <f t="shared" si="57"/>
        <v>44514</v>
      </c>
      <c r="AE360" s="13" t="e">
        <f>IF(AND(AD360&lt;=$AI$4,#REF!&lt;1),1,"")</f>
        <v>#REF!</v>
      </c>
      <c r="AF360" s="110">
        <f t="shared" ca="1" si="58"/>
        <v>44553</v>
      </c>
      <c r="AH360" s="13">
        <f t="shared" ca="1" si="59"/>
        <v>43</v>
      </c>
    </row>
    <row r="361" spans="1:34" x14ac:dyDescent="0.25">
      <c r="A361" s="13" t="s">
        <v>10</v>
      </c>
      <c r="B361" s="13" t="s">
        <v>10</v>
      </c>
      <c r="C361" s="13" t="s">
        <v>246</v>
      </c>
      <c r="D361" s="13" t="s">
        <v>247</v>
      </c>
      <c r="E361" s="13" t="s">
        <v>757</v>
      </c>
      <c r="F361" s="13">
        <v>15000</v>
      </c>
      <c r="G361" s="2" t="s">
        <v>395</v>
      </c>
      <c r="H361" s="13" t="s">
        <v>0</v>
      </c>
      <c r="I361" s="13" t="s">
        <v>140</v>
      </c>
      <c r="J361" s="13" t="s">
        <v>139</v>
      </c>
      <c r="K361" s="109">
        <v>44510</v>
      </c>
      <c r="L361" s="109" t="s">
        <v>322</v>
      </c>
      <c r="P361" s="110">
        <v>44511</v>
      </c>
      <c r="Q361" s="13" t="str">
        <f t="shared" si="50"/>
        <v>PERECRD023584AUTOSERVICIONUTRESA</v>
      </c>
      <c r="R361" s="2">
        <v>15000</v>
      </c>
      <c r="S361" s="13">
        <v>15000</v>
      </c>
      <c r="T361" s="123">
        <f t="shared" si="51"/>
        <v>1</v>
      </c>
      <c r="U361" s="13">
        <f t="shared" si="52"/>
        <v>0</v>
      </c>
      <c r="V361" s="123">
        <f t="shared" si="53"/>
        <v>0</v>
      </c>
      <c r="X361" s="13">
        <v>0.5</v>
      </c>
      <c r="Y361" s="13">
        <v>4000000</v>
      </c>
      <c r="Z361" s="13">
        <v>4000000</v>
      </c>
      <c r="AA361" s="13">
        <f t="shared" si="54"/>
        <v>8000000000000</v>
      </c>
      <c r="AB361" s="13">
        <f t="shared" si="55"/>
        <v>1.2E+17</v>
      </c>
      <c r="AC361" s="13">
        <f t="shared" si="56"/>
        <v>83333333333.333328</v>
      </c>
      <c r="AD361" s="110">
        <f t="shared" si="57"/>
        <v>44514</v>
      </c>
      <c r="AE361" s="13" t="e">
        <f>IF(AND(AD361&lt;=$AI$4,#REF!&lt;1),1,"")</f>
        <v>#REF!</v>
      </c>
      <c r="AF361" s="110">
        <f t="shared" ca="1" si="58"/>
        <v>44553</v>
      </c>
      <c r="AH361" s="13">
        <f t="shared" ca="1" si="59"/>
        <v>43</v>
      </c>
    </row>
    <row r="362" spans="1:34" x14ac:dyDescent="0.25">
      <c r="A362" s="13" t="s">
        <v>4</v>
      </c>
      <c r="B362" s="13" t="s">
        <v>4</v>
      </c>
      <c r="C362" s="13" t="s">
        <v>263</v>
      </c>
      <c r="D362" s="13" t="s">
        <v>264</v>
      </c>
      <c r="E362" s="13" t="s">
        <v>1179</v>
      </c>
      <c r="F362" s="13">
        <v>2</v>
      </c>
      <c r="G362" s="2" t="s">
        <v>264</v>
      </c>
      <c r="H362" s="13" t="s">
        <v>1</v>
      </c>
      <c r="I362" s="13" t="s">
        <v>140</v>
      </c>
      <c r="J362" s="13" t="s">
        <v>46</v>
      </c>
      <c r="K362" s="109">
        <v>44518</v>
      </c>
      <c r="L362" s="109">
        <v>44515</v>
      </c>
      <c r="Q362" s="13" t="str">
        <f t="shared" si="50"/>
        <v>BGTAACT000334CADENASNUTRESA</v>
      </c>
      <c r="T362" s="123">
        <f t="shared" si="51"/>
        <v>0</v>
      </c>
      <c r="U362" s="13">
        <f t="shared" si="52"/>
        <v>0</v>
      </c>
      <c r="V362" s="123">
        <f t="shared" si="53"/>
        <v>0</v>
      </c>
      <c r="X362" s="13">
        <v>30000000</v>
      </c>
      <c r="Y362" s="13">
        <v>40000000</v>
      </c>
      <c r="Z362" s="13">
        <v>40000000</v>
      </c>
      <c r="AA362" s="13">
        <f t="shared" si="54"/>
        <v>4.8E+22</v>
      </c>
      <c r="AB362" s="13">
        <f t="shared" si="55"/>
        <v>9.6E+22</v>
      </c>
      <c r="AC362" s="13">
        <f t="shared" si="56"/>
        <v>6.6666666666666664E+16</v>
      </c>
      <c r="AD362" s="110">
        <f t="shared" si="57"/>
        <v>44522</v>
      </c>
      <c r="AE362" s="13" t="e">
        <f>IF(AND(AD362&lt;=$AI$4,#REF!&lt;1),1,"")</f>
        <v>#REF!</v>
      </c>
      <c r="AF362" s="110">
        <f t="shared" ca="1" si="58"/>
        <v>44553</v>
      </c>
      <c r="AH362" s="13">
        <f t="shared" ca="1" si="59"/>
        <v>35</v>
      </c>
    </row>
    <row r="363" spans="1:34" x14ac:dyDescent="0.25">
      <c r="A363" s="13" t="s">
        <v>4</v>
      </c>
      <c r="B363" s="13" t="s">
        <v>4</v>
      </c>
      <c r="C363" s="13" t="s">
        <v>406</v>
      </c>
      <c r="D363" s="13" t="s">
        <v>407</v>
      </c>
      <c r="E363" s="13" t="s">
        <v>725</v>
      </c>
      <c r="F363" s="13">
        <v>5</v>
      </c>
      <c r="G363" s="2" t="s">
        <v>408</v>
      </c>
      <c r="H363" s="13" t="s">
        <v>1</v>
      </c>
      <c r="I363" s="13" t="s">
        <v>140</v>
      </c>
      <c r="J363" s="13" t="s">
        <v>139</v>
      </c>
      <c r="K363" s="109">
        <v>44512</v>
      </c>
      <c r="L363" s="109">
        <v>44516</v>
      </c>
      <c r="Q363" s="13" t="str">
        <f t="shared" si="50"/>
        <v>BGTACRD024951CADENASNUTRESA</v>
      </c>
      <c r="T363" s="123">
        <f t="shared" si="51"/>
        <v>0</v>
      </c>
      <c r="U363" s="13">
        <f t="shared" si="52"/>
        <v>0</v>
      </c>
      <c r="V363" s="123">
        <f t="shared" si="53"/>
        <v>0</v>
      </c>
      <c r="X363" s="13">
        <v>1000000</v>
      </c>
      <c r="Y363" s="13">
        <v>40000000</v>
      </c>
      <c r="Z363" s="13">
        <v>40000000</v>
      </c>
      <c r="AA363" s="13">
        <f t="shared" si="54"/>
        <v>1.6E+21</v>
      </c>
      <c r="AB363" s="13">
        <f t="shared" si="55"/>
        <v>8E+21</v>
      </c>
      <c r="AC363" s="13">
        <f t="shared" si="56"/>
        <v>5555555555555556</v>
      </c>
      <c r="AD363" s="110">
        <f t="shared" si="57"/>
        <v>44516</v>
      </c>
      <c r="AE363" s="13" t="e">
        <f>IF(AND(AD363&lt;=$AI$4,#REF!&lt;1),1,"")</f>
        <v>#REF!</v>
      </c>
      <c r="AF363" s="110">
        <f t="shared" ca="1" si="58"/>
        <v>44553</v>
      </c>
      <c r="AH363" s="13">
        <f t="shared" ca="1" si="59"/>
        <v>41</v>
      </c>
    </row>
    <row r="364" spans="1:34" x14ac:dyDescent="0.25">
      <c r="A364" s="13" t="s">
        <v>5</v>
      </c>
      <c r="B364" s="13" t="s">
        <v>5</v>
      </c>
      <c r="C364" s="13" t="s">
        <v>406</v>
      </c>
      <c r="D364" s="13" t="s">
        <v>407</v>
      </c>
      <c r="E364" s="13" t="s">
        <v>725</v>
      </c>
      <c r="F364" s="13">
        <v>2</v>
      </c>
      <c r="G364" s="2" t="s">
        <v>408</v>
      </c>
      <c r="H364" s="13" t="s">
        <v>1</v>
      </c>
      <c r="I364" s="13" t="s">
        <v>140</v>
      </c>
      <c r="J364" s="13" t="s">
        <v>139</v>
      </c>
      <c r="K364" s="109">
        <v>44512</v>
      </c>
      <c r="L364" s="109">
        <v>44516</v>
      </c>
      <c r="Q364" s="13" t="str">
        <f t="shared" si="50"/>
        <v>BUCACRD024951CADENASNUTRESA</v>
      </c>
      <c r="T364" s="123">
        <f t="shared" si="51"/>
        <v>0</v>
      </c>
      <c r="U364" s="13">
        <f t="shared" si="52"/>
        <v>0</v>
      </c>
      <c r="V364" s="123">
        <f t="shared" si="53"/>
        <v>0</v>
      </c>
      <c r="X364" s="13">
        <v>1000000</v>
      </c>
      <c r="Y364" s="13">
        <v>40000000</v>
      </c>
      <c r="Z364" s="13">
        <v>40000000</v>
      </c>
      <c r="AA364" s="13">
        <f t="shared" si="54"/>
        <v>1.6E+21</v>
      </c>
      <c r="AB364" s="13">
        <f t="shared" si="55"/>
        <v>3.2E+21</v>
      </c>
      <c r="AC364" s="13">
        <f t="shared" si="56"/>
        <v>2222222222222222.3</v>
      </c>
      <c r="AD364" s="110">
        <f t="shared" si="57"/>
        <v>44516</v>
      </c>
      <c r="AE364" s="13" t="e">
        <f>IF(AND(AD364&lt;=$AI$4,#REF!&lt;1),1,"")</f>
        <v>#REF!</v>
      </c>
      <c r="AF364" s="110">
        <f t="shared" ca="1" si="58"/>
        <v>44553</v>
      </c>
      <c r="AH364" s="13">
        <f t="shared" ca="1" si="59"/>
        <v>41</v>
      </c>
    </row>
    <row r="365" spans="1:34" x14ac:dyDescent="0.25">
      <c r="A365" s="13" t="s">
        <v>9</v>
      </c>
      <c r="B365" s="13" t="s">
        <v>9</v>
      </c>
      <c r="C365" s="13" t="s">
        <v>406</v>
      </c>
      <c r="D365" s="13" t="s">
        <v>407</v>
      </c>
      <c r="E365" s="13" t="s">
        <v>725</v>
      </c>
      <c r="F365" s="13">
        <v>1</v>
      </c>
      <c r="G365" s="2" t="s">
        <v>408</v>
      </c>
      <c r="H365" s="13" t="s">
        <v>1</v>
      </c>
      <c r="I365" s="13" t="s">
        <v>140</v>
      </c>
      <c r="J365" s="13" t="s">
        <v>139</v>
      </c>
      <c r="K365" s="109">
        <v>44512</v>
      </c>
      <c r="L365" s="109">
        <v>44516</v>
      </c>
      <c r="Q365" s="13" t="str">
        <f t="shared" si="50"/>
        <v>MEDECRD024951CADENASNUTRESA</v>
      </c>
      <c r="T365" s="123">
        <f t="shared" si="51"/>
        <v>0</v>
      </c>
      <c r="U365" s="13">
        <f t="shared" si="52"/>
        <v>0</v>
      </c>
      <c r="V365" s="123">
        <f t="shared" si="53"/>
        <v>0</v>
      </c>
      <c r="X365" s="13">
        <v>1000000</v>
      </c>
      <c r="Y365" s="13">
        <v>40000000</v>
      </c>
      <c r="Z365" s="13">
        <v>40000000</v>
      </c>
      <c r="AA365" s="13">
        <f t="shared" si="54"/>
        <v>1.6E+21</v>
      </c>
      <c r="AB365" s="13">
        <f t="shared" si="55"/>
        <v>1.6E+21</v>
      </c>
      <c r="AC365" s="13">
        <f t="shared" si="56"/>
        <v>1111111111111111.1</v>
      </c>
      <c r="AD365" s="110">
        <f t="shared" si="57"/>
        <v>44516</v>
      </c>
      <c r="AE365" s="13" t="e">
        <f>IF(AND(AD365&lt;=$AI$4,#REF!&lt;1),1,"")</f>
        <v>#REF!</v>
      </c>
      <c r="AF365" s="110">
        <f t="shared" ca="1" si="58"/>
        <v>44553</v>
      </c>
      <c r="AH365" s="13">
        <f t="shared" ca="1" si="59"/>
        <v>41</v>
      </c>
    </row>
    <row r="366" spans="1:34" x14ac:dyDescent="0.25">
      <c r="A366" s="13" t="s">
        <v>3</v>
      </c>
      <c r="B366" s="13" t="s">
        <v>3</v>
      </c>
      <c r="C366" s="13" t="s">
        <v>411</v>
      </c>
      <c r="D366" s="13" t="s">
        <v>412</v>
      </c>
      <c r="E366" s="13" t="s">
        <v>728</v>
      </c>
      <c r="F366" s="13">
        <v>64</v>
      </c>
      <c r="G366" s="2" t="s">
        <v>413</v>
      </c>
      <c r="H366" s="13" t="s">
        <v>1</v>
      </c>
      <c r="I366" s="13" t="s">
        <v>140</v>
      </c>
      <c r="J366" s="13" t="s">
        <v>46</v>
      </c>
      <c r="K366" s="109">
        <v>44526</v>
      </c>
      <c r="L366" s="109">
        <v>44517</v>
      </c>
      <c r="Q366" s="13" t="str">
        <f t="shared" si="50"/>
        <v>BARRCRD024954CADENASNUTRESA</v>
      </c>
      <c r="T366" s="123">
        <f t="shared" si="51"/>
        <v>0</v>
      </c>
      <c r="U366" s="13">
        <f t="shared" si="52"/>
        <v>0</v>
      </c>
      <c r="V366" s="123">
        <f t="shared" si="53"/>
        <v>0</v>
      </c>
      <c r="X366" s="13">
        <v>90000000</v>
      </c>
      <c r="Y366" s="13">
        <v>16000000</v>
      </c>
      <c r="Z366" s="13">
        <v>16000000</v>
      </c>
      <c r="AA366" s="13">
        <f t="shared" si="54"/>
        <v>2.304E+22</v>
      </c>
      <c r="AB366" s="13">
        <f t="shared" si="55"/>
        <v>1.47456E+24</v>
      </c>
      <c r="AC366" s="13">
        <f t="shared" si="56"/>
        <v>1.024E+18</v>
      </c>
      <c r="AD366" s="110">
        <f t="shared" si="57"/>
        <v>44530</v>
      </c>
      <c r="AE366" s="13" t="e">
        <f>IF(AND(AD366&lt;=$AI$4,#REF!&lt;1),1,"")</f>
        <v>#REF!</v>
      </c>
      <c r="AF366" s="110">
        <f t="shared" ca="1" si="58"/>
        <v>44553</v>
      </c>
      <c r="AH366" s="13">
        <f t="shared" ca="1" si="59"/>
        <v>27</v>
      </c>
    </row>
    <row r="367" spans="1:34" x14ac:dyDescent="0.25">
      <c r="A367" s="13" t="s">
        <v>4</v>
      </c>
      <c r="B367" s="13" t="s">
        <v>4</v>
      </c>
      <c r="C367" s="13" t="s">
        <v>411</v>
      </c>
      <c r="D367" s="13" t="s">
        <v>412</v>
      </c>
      <c r="E367" s="13" t="s">
        <v>728</v>
      </c>
      <c r="F367" s="13">
        <v>30</v>
      </c>
      <c r="G367" s="2" t="s">
        <v>413</v>
      </c>
      <c r="H367" s="13" t="s">
        <v>1</v>
      </c>
      <c r="I367" s="13" t="s">
        <v>140</v>
      </c>
      <c r="J367" s="13" t="s">
        <v>46</v>
      </c>
      <c r="K367" s="109">
        <v>44526</v>
      </c>
      <c r="L367" s="109">
        <v>44517</v>
      </c>
      <c r="Q367" s="13" t="str">
        <f t="shared" si="50"/>
        <v>BGTACRD024954CADENASNUTRESA</v>
      </c>
      <c r="T367" s="123">
        <f t="shared" si="51"/>
        <v>0</v>
      </c>
      <c r="U367" s="13">
        <f t="shared" si="52"/>
        <v>0</v>
      </c>
      <c r="V367" s="123">
        <f t="shared" si="53"/>
        <v>0</v>
      </c>
      <c r="X367" s="13">
        <v>90000000</v>
      </c>
      <c r="Y367" s="13">
        <v>16000000</v>
      </c>
      <c r="Z367" s="13">
        <v>16000000</v>
      </c>
      <c r="AA367" s="13">
        <f t="shared" si="54"/>
        <v>2.304E+22</v>
      </c>
      <c r="AB367" s="13">
        <f t="shared" si="55"/>
        <v>6.912E+23</v>
      </c>
      <c r="AC367" s="13">
        <f t="shared" si="56"/>
        <v>4.8E+17</v>
      </c>
      <c r="AD367" s="110">
        <f t="shared" si="57"/>
        <v>44530</v>
      </c>
      <c r="AE367" s="13" t="e">
        <f>IF(AND(AD367&lt;=$AI$4,#REF!&lt;1),1,"")</f>
        <v>#REF!</v>
      </c>
      <c r="AF367" s="110">
        <f t="shared" ca="1" si="58"/>
        <v>44553</v>
      </c>
      <c r="AH367" s="13">
        <f t="shared" ca="1" si="59"/>
        <v>27</v>
      </c>
    </row>
    <row r="368" spans="1:34" x14ac:dyDescent="0.25">
      <c r="A368" s="13" t="s">
        <v>5</v>
      </c>
      <c r="B368" s="13" t="s">
        <v>5</v>
      </c>
      <c r="C368" s="13" t="s">
        <v>411</v>
      </c>
      <c r="D368" s="13" t="s">
        <v>412</v>
      </c>
      <c r="E368" s="13" t="s">
        <v>728</v>
      </c>
      <c r="F368" s="13">
        <v>10</v>
      </c>
      <c r="G368" s="2" t="s">
        <v>413</v>
      </c>
      <c r="H368" s="13" t="s">
        <v>1</v>
      </c>
      <c r="I368" s="13" t="s">
        <v>140</v>
      </c>
      <c r="J368" s="13" t="s">
        <v>46</v>
      </c>
      <c r="K368" s="109">
        <v>44526</v>
      </c>
      <c r="L368" s="109">
        <v>44517</v>
      </c>
      <c r="Q368" s="13" t="str">
        <f t="shared" si="50"/>
        <v>BUCACRD024954CADENASNUTRESA</v>
      </c>
      <c r="T368" s="123">
        <f t="shared" si="51"/>
        <v>0</v>
      </c>
      <c r="U368" s="13">
        <f t="shared" si="52"/>
        <v>0</v>
      </c>
      <c r="V368" s="123">
        <f t="shared" si="53"/>
        <v>0</v>
      </c>
      <c r="X368" s="13">
        <v>90000000</v>
      </c>
      <c r="Y368" s="13">
        <v>16000000</v>
      </c>
      <c r="Z368" s="13">
        <v>16000000</v>
      </c>
      <c r="AA368" s="13">
        <f t="shared" si="54"/>
        <v>2.304E+22</v>
      </c>
      <c r="AB368" s="13">
        <f t="shared" si="55"/>
        <v>2.304E+23</v>
      </c>
      <c r="AC368" s="13">
        <f t="shared" si="56"/>
        <v>1.6E+17</v>
      </c>
      <c r="AD368" s="110">
        <f t="shared" si="57"/>
        <v>44530</v>
      </c>
      <c r="AE368" s="13" t="e">
        <f>IF(AND(AD368&lt;=$AI$4,#REF!&lt;1),1,"")</f>
        <v>#REF!</v>
      </c>
      <c r="AF368" s="110">
        <f t="shared" ca="1" si="58"/>
        <v>44553</v>
      </c>
      <c r="AH368" s="13">
        <f t="shared" ca="1" si="59"/>
        <v>27</v>
      </c>
    </row>
    <row r="369" spans="1:34" x14ac:dyDescent="0.25">
      <c r="A369" s="13" t="s">
        <v>6</v>
      </c>
      <c r="B369" s="13" t="s">
        <v>6</v>
      </c>
      <c r="C369" s="13" t="s">
        <v>411</v>
      </c>
      <c r="D369" s="13" t="s">
        <v>412</v>
      </c>
      <c r="E369" s="13" t="s">
        <v>728</v>
      </c>
      <c r="F369" s="13">
        <v>6</v>
      </c>
      <c r="G369" s="2" t="s">
        <v>413</v>
      </c>
      <c r="H369" s="13" t="s">
        <v>1</v>
      </c>
      <c r="I369" s="13" t="s">
        <v>140</v>
      </c>
      <c r="J369" s="13" t="s">
        <v>46</v>
      </c>
      <c r="K369" s="109">
        <v>44526</v>
      </c>
      <c r="L369" s="109">
        <v>44517</v>
      </c>
      <c r="Q369" s="13" t="str">
        <f t="shared" si="50"/>
        <v>CALICRD024954CADENASNUTRESA</v>
      </c>
      <c r="T369" s="123">
        <f t="shared" si="51"/>
        <v>0</v>
      </c>
      <c r="U369" s="13">
        <f t="shared" si="52"/>
        <v>0</v>
      </c>
      <c r="V369" s="123">
        <f t="shared" si="53"/>
        <v>0</v>
      </c>
      <c r="X369" s="13">
        <v>90000000</v>
      </c>
      <c r="Y369" s="13">
        <v>16000000</v>
      </c>
      <c r="Z369" s="13">
        <v>16000000</v>
      </c>
      <c r="AA369" s="13">
        <f t="shared" si="54"/>
        <v>2.304E+22</v>
      </c>
      <c r="AB369" s="13">
        <f t="shared" si="55"/>
        <v>1.3824E+23</v>
      </c>
      <c r="AC369" s="13">
        <f t="shared" si="56"/>
        <v>9.6E+16</v>
      </c>
      <c r="AD369" s="110">
        <f t="shared" si="57"/>
        <v>44530</v>
      </c>
      <c r="AE369" s="13" t="e">
        <f>IF(AND(AD369&lt;=$AI$4,#REF!&lt;1),1,"")</f>
        <v>#REF!</v>
      </c>
      <c r="AF369" s="110">
        <f t="shared" ca="1" si="58"/>
        <v>44553</v>
      </c>
      <c r="AH369" s="13">
        <f t="shared" ca="1" si="59"/>
        <v>27</v>
      </c>
    </row>
    <row r="370" spans="1:34" x14ac:dyDescent="0.25">
      <c r="A370" s="13" t="s">
        <v>8</v>
      </c>
      <c r="B370" s="13" t="s">
        <v>8</v>
      </c>
      <c r="C370" s="13" t="s">
        <v>411</v>
      </c>
      <c r="D370" s="13" t="s">
        <v>412</v>
      </c>
      <c r="E370" s="13" t="s">
        <v>728</v>
      </c>
      <c r="F370" s="13">
        <v>8</v>
      </c>
      <c r="G370" s="2" t="s">
        <v>413</v>
      </c>
      <c r="H370" s="13" t="s">
        <v>1</v>
      </c>
      <c r="I370" s="13" t="s">
        <v>140</v>
      </c>
      <c r="J370" s="13" t="s">
        <v>46</v>
      </c>
      <c r="K370" s="109">
        <v>44526</v>
      </c>
      <c r="L370" s="109">
        <v>44517</v>
      </c>
      <c r="Q370" s="13" t="str">
        <f t="shared" si="50"/>
        <v>IBA1CRD024954CADENASNUTRESA</v>
      </c>
      <c r="T370" s="123">
        <f t="shared" si="51"/>
        <v>0</v>
      </c>
      <c r="U370" s="13">
        <f t="shared" si="52"/>
        <v>0</v>
      </c>
      <c r="V370" s="123">
        <f t="shared" si="53"/>
        <v>0</v>
      </c>
      <c r="X370" s="13">
        <v>90000000</v>
      </c>
      <c r="Y370" s="13">
        <v>16000000</v>
      </c>
      <c r="Z370" s="13">
        <v>16000000</v>
      </c>
      <c r="AA370" s="13">
        <f t="shared" si="54"/>
        <v>2.304E+22</v>
      </c>
      <c r="AB370" s="13">
        <f t="shared" si="55"/>
        <v>1.8432E+23</v>
      </c>
      <c r="AC370" s="13">
        <f t="shared" si="56"/>
        <v>1.28E+17</v>
      </c>
      <c r="AD370" s="110">
        <f t="shared" si="57"/>
        <v>44530</v>
      </c>
      <c r="AE370" s="13" t="e">
        <f>IF(AND(AD370&lt;=$AI$4,#REF!&lt;1),1,"")</f>
        <v>#REF!</v>
      </c>
      <c r="AF370" s="110">
        <f t="shared" ca="1" si="58"/>
        <v>44553</v>
      </c>
      <c r="AH370" s="13">
        <f t="shared" ca="1" si="59"/>
        <v>27</v>
      </c>
    </row>
    <row r="371" spans="1:34" x14ac:dyDescent="0.25">
      <c r="A371" s="13" t="s">
        <v>9</v>
      </c>
      <c r="B371" s="13" t="s">
        <v>9</v>
      </c>
      <c r="C371" s="13" t="s">
        <v>411</v>
      </c>
      <c r="D371" s="13" t="s">
        <v>412</v>
      </c>
      <c r="E371" s="13" t="s">
        <v>728</v>
      </c>
      <c r="F371" s="13">
        <v>10</v>
      </c>
      <c r="G371" s="2" t="s">
        <v>413</v>
      </c>
      <c r="H371" s="13" t="s">
        <v>1</v>
      </c>
      <c r="I371" s="13" t="s">
        <v>140</v>
      </c>
      <c r="J371" s="13" t="s">
        <v>46</v>
      </c>
      <c r="K371" s="109">
        <v>44526</v>
      </c>
      <c r="L371" s="109">
        <v>44517</v>
      </c>
      <c r="Q371" s="13" t="str">
        <f t="shared" si="50"/>
        <v>MEDECRD024954CADENASNUTRESA</v>
      </c>
      <c r="T371" s="123">
        <f t="shared" si="51"/>
        <v>0</v>
      </c>
      <c r="U371" s="13">
        <f t="shared" si="52"/>
        <v>0</v>
      </c>
      <c r="V371" s="123">
        <f t="shared" si="53"/>
        <v>0</v>
      </c>
      <c r="X371" s="13">
        <v>90000000</v>
      </c>
      <c r="Y371" s="13">
        <v>16000000</v>
      </c>
      <c r="Z371" s="13">
        <v>16000000</v>
      </c>
      <c r="AA371" s="13">
        <f t="shared" si="54"/>
        <v>2.304E+22</v>
      </c>
      <c r="AB371" s="13">
        <f t="shared" si="55"/>
        <v>2.304E+23</v>
      </c>
      <c r="AC371" s="13">
        <f t="shared" si="56"/>
        <v>1.6E+17</v>
      </c>
      <c r="AD371" s="110">
        <f t="shared" si="57"/>
        <v>44530</v>
      </c>
      <c r="AE371" s="13" t="e">
        <f>IF(AND(AD371&lt;=$AI$4,#REF!&lt;1),1,"")</f>
        <v>#REF!</v>
      </c>
      <c r="AF371" s="110">
        <f t="shared" ca="1" si="58"/>
        <v>44553</v>
      </c>
      <c r="AH371" s="13">
        <f t="shared" ca="1" si="59"/>
        <v>27</v>
      </c>
    </row>
    <row r="372" spans="1:34" x14ac:dyDescent="0.25">
      <c r="A372" s="13" t="s">
        <v>4</v>
      </c>
      <c r="B372" s="13" t="s">
        <v>4</v>
      </c>
      <c r="C372" s="13" t="s">
        <v>345</v>
      </c>
      <c r="D372" s="13" t="s">
        <v>346</v>
      </c>
      <c r="E372" s="13" t="s">
        <v>723</v>
      </c>
      <c r="F372" s="13">
        <v>8</v>
      </c>
      <c r="G372" s="2" t="s">
        <v>346</v>
      </c>
      <c r="H372" s="13" t="s">
        <v>1</v>
      </c>
      <c r="I372" s="13" t="s">
        <v>140</v>
      </c>
      <c r="J372" s="13" t="s">
        <v>46</v>
      </c>
      <c r="K372" s="109">
        <v>44491</v>
      </c>
      <c r="L372" s="109">
        <v>44501</v>
      </c>
      <c r="P372" s="110">
        <v>44497</v>
      </c>
      <c r="Q372" s="13" t="str">
        <f t="shared" si="50"/>
        <v>BGTACRD024590CADENASNUTRESA</v>
      </c>
      <c r="R372" s="2">
        <v>8</v>
      </c>
      <c r="S372" s="13">
        <v>8</v>
      </c>
      <c r="T372" s="123">
        <f t="shared" si="51"/>
        <v>1</v>
      </c>
      <c r="U372" s="13">
        <f t="shared" si="52"/>
        <v>0</v>
      </c>
      <c r="V372" s="123">
        <f t="shared" si="53"/>
        <v>0</v>
      </c>
      <c r="X372" s="13">
        <v>116000000</v>
      </c>
      <c r="Y372" s="13">
        <v>39000000</v>
      </c>
      <c r="Z372" s="13">
        <v>39000000</v>
      </c>
      <c r="AA372" s="13">
        <f t="shared" si="54"/>
        <v>1.7643599999999999E+23</v>
      </c>
      <c r="AB372" s="13">
        <f t="shared" si="55"/>
        <v>1.411488E+24</v>
      </c>
      <c r="AC372" s="13">
        <f t="shared" si="56"/>
        <v>9.802E+17</v>
      </c>
      <c r="AD372" s="110">
        <f t="shared" si="57"/>
        <v>44495</v>
      </c>
      <c r="AE372" s="13" t="e">
        <f>IF(AND(AD372&lt;=$AI$4,#REF!&lt;1),1,"")</f>
        <v>#REF!</v>
      </c>
      <c r="AF372" s="110">
        <f t="shared" ca="1" si="58"/>
        <v>44553</v>
      </c>
      <c r="AH372" s="13">
        <f t="shared" ca="1" si="59"/>
        <v>62</v>
      </c>
    </row>
    <row r="373" spans="1:34" x14ac:dyDescent="0.25">
      <c r="A373" s="13" t="s">
        <v>7</v>
      </c>
      <c r="B373" s="13" t="s">
        <v>7</v>
      </c>
      <c r="C373" s="13" t="s">
        <v>345</v>
      </c>
      <c r="D373" s="13" t="s">
        <v>346</v>
      </c>
      <c r="E373" s="13" t="s">
        <v>723</v>
      </c>
      <c r="F373" s="13">
        <v>1</v>
      </c>
      <c r="G373" s="2" t="s">
        <v>346</v>
      </c>
      <c r="H373" s="13" t="s">
        <v>1</v>
      </c>
      <c r="I373" s="13" t="s">
        <v>140</v>
      </c>
      <c r="J373" s="13" t="s">
        <v>46</v>
      </c>
      <c r="K373" s="109">
        <v>44491</v>
      </c>
      <c r="L373" s="109">
        <v>44501</v>
      </c>
      <c r="P373" s="110">
        <v>44497</v>
      </c>
      <c r="Q373" s="13" t="str">
        <f t="shared" si="50"/>
        <v>CARTCRD024590CADENASNUTRESA</v>
      </c>
      <c r="R373" s="2">
        <v>1</v>
      </c>
      <c r="S373" s="13">
        <v>1</v>
      </c>
      <c r="T373" s="123">
        <f t="shared" si="51"/>
        <v>1</v>
      </c>
      <c r="U373" s="13">
        <f t="shared" si="52"/>
        <v>0</v>
      </c>
      <c r="V373" s="123">
        <f t="shared" si="53"/>
        <v>0</v>
      </c>
      <c r="X373" s="13">
        <v>116000000</v>
      </c>
      <c r="Y373" s="13">
        <v>39000000</v>
      </c>
      <c r="Z373" s="13">
        <v>39000000</v>
      </c>
      <c r="AA373" s="13">
        <f t="shared" si="54"/>
        <v>1.7643599999999999E+23</v>
      </c>
      <c r="AB373" s="13">
        <f t="shared" si="55"/>
        <v>1.7643599999999999E+23</v>
      </c>
      <c r="AC373" s="13">
        <f t="shared" si="56"/>
        <v>1.22525E+17</v>
      </c>
      <c r="AD373" s="110">
        <f t="shared" si="57"/>
        <v>44495</v>
      </c>
      <c r="AE373" s="13" t="e">
        <f>IF(AND(AD373&lt;=$AI$4,#REF!&lt;1),1,"")</f>
        <v>#REF!</v>
      </c>
      <c r="AF373" s="110">
        <f t="shared" ca="1" si="58"/>
        <v>44553</v>
      </c>
      <c r="AH373" s="13">
        <f t="shared" ca="1" si="59"/>
        <v>62</v>
      </c>
    </row>
    <row r="374" spans="1:34" x14ac:dyDescent="0.25">
      <c r="A374" s="13" t="s">
        <v>8</v>
      </c>
      <c r="B374" s="13" t="s">
        <v>8</v>
      </c>
      <c r="C374" s="13" t="s">
        <v>345</v>
      </c>
      <c r="D374" s="13" t="s">
        <v>346</v>
      </c>
      <c r="E374" s="13" t="s">
        <v>723</v>
      </c>
      <c r="F374" s="13">
        <v>1</v>
      </c>
      <c r="G374" s="2" t="s">
        <v>346</v>
      </c>
      <c r="H374" s="13" t="s">
        <v>1</v>
      </c>
      <c r="I374" s="13" t="s">
        <v>140</v>
      </c>
      <c r="J374" s="13" t="s">
        <v>46</v>
      </c>
      <c r="K374" s="109">
        <v>44491</v>
      </c>
      <c r="L374" s="109">
        <v>44501</v>
      </c>
      <c r="P374" s="110">
        <v>44497</v>
      </c>
      <c r="Q374" s="13" t="str">
        <f t="shared" si="50"/>
        <v>IBA1CRD024590CADENASNUTRESA</v>
      </c>
      <c r="R374" s="2">
        <v>1</v>
      </c>
      <c r="S374" s="13">
        <v>1</v>
      </c>
      <c r="T374" s="123">
        <f t="shared" si="51"/>
        <v>1</v>
      </c>
      <c r="U374" s="13">
        <f t="shared" si="52"/>
        <v>0</v>
      </c>
      <c r="V374" s="123">
        <f t="shared" si="53"/>
        <v>0</v>
      </c>
      <c r="X374" s="13">
        <v>116000000</v>
      </c>
      <c r="Y374" s="13">
        <v>39000000</v>
      </c>
      <c r="Z374" s="13">
        <v>39000000</v>
      </c>
      <c r="AA374" s="13">
        <f t="shared" si="54"/>
        <v>1.7643599999999999E+23</v>
      </c>
      <c r="AB374" s="13">
        <f t="shared" si="55"/>
        <v>1.7643599999999999E+23</v>
      </c>
      <c r="AC374" s="13">
        <f t="shared" si="56"/>
        <v>1.22525E+17</v>
      </c>
      <c r="AD374" s="110">
        <f t="shared" si="57"/>
        <v>44495</v>
      </c>
      <c r="AE374" s="13" t="e">
        <f>IF(AND(AD374&lt;=$AI$4,#REF!&lt;1),1,"")</f>
        <v>#REF!</v>
      </c>
      <c r="AF374" s="110">
        <f t="shared" ca="1" si="58"/>
        <v>44553</v>
      </c>
      <c r="AH374" s="13">
        <f t="shared" ca="1" si="59"/>
        <v>62</v>
      </c>
    </row>
    <row r="375" spans="1:34" x14ac:dyDescent="0.25">
      <c r="A375" s="13" t="s">
        <v>9</v>
      </c>
      <c r="B375" s="13" t="s">
        <v>9</v>
      </c>
      <c r="C375" s="13" t="s">
        <v>345</v>
      </c>
      <c r="D375" s="13" t="s">
        <v>346</v>
      </c>
      <c r="E375" s="13" t="s">
        <v>723</v>
      </c>
      <c r="F375" s="13">
        <v>11</v>
      </c>
      <c r="G375" s="2" t="s">
        <v>346</v>
      </c>
      <c r="H375" s="13" t="s">
        <v>1</v>
      </c>
      <c r="I375" s="13" t="s">
        <v>140</v>
      </c>
      <c r="J375" s="13" t="s">
        <v>46</v>
      </c>
      <c r="K375" s="109">
        <v>44491</v>
      </c>
      <c r="L375" s="109">
        <v>44501</v>
      </c>
      <c r="P375" s="110">
        <v>44497</v>
      </c>
      <c r="Q375" s="13" t="str">
        <f t="shared" si="50"/>
        <v>MEDECRD024590CADENASNUTRESA</v>
      </c>
      <c r="R375" s="2">
        <v>11</v>
      </c>
      <c r="S375" s="13">
        <v>11</v>
      </c>
      <c r="T375" s="123">
        <f t="shared" si="51"/>
        <v>1</v>
      </c>
      <c r="U375" s="13">
        <f t="shared" si="52"/>
        <v>0</v>
      </c>
      <c r="V375" s="123">
        <f t="shared" si="53"/>
        <v>0</v>
      </c>
      <c r="X375" s="13">
        <v>116000000</v>
      </c>
      <c r="Y375" s="13">
        <v>39000000</v>
      </c>
      <c r="Z375" s="13">
        <v>39000000</v>
      </c>
      <c r="AA375" s="13">
        <f t="shared" si="54"/>
        <v>1.7643599999999999E+23</v>
      </c>
      <c r="AB375" s="13">
        <f t="shared" si="55"/>
        <v>1.940796E+24</v>
      </c>
      <c r="AC375" s="13">
        <f t="shared" si="56"/>
        <v>1.347775E+18</v>
      </c>
      <c r="AD375" s="110">
        <f t="shared" si="57"/>
        <v>44495</v>
      </c>
      <c r="AE375" s="13" t="e">
        <f>IF(AND(AD375&lt;=$AI$4,#REF!&lt;1),1,"")</f>
        <v>#REF!</v>
      </c>
      <c r="AF375" s="110">
        <f t="shared" ca="1" si="58"/>
        <v>44553</v>
      </c>
      <c r="AH375" s="13">
        <f t="shared" ca="1" si="59"/>
        <v>62</v>
      </c>
    </row>
    <row r="376" spans="1:34" x14ac:dyDescent="0.25">
      <c r="A376" s="13" t="s">
        <v>10</v>
      </c>
      <c r="B376" s="13" t="s">
        <v>10</v>
      </c>
      <c r="C376" s="13" t="s">
        <v>345</v>
      </c>
      <c r="D376" s="13" t="s">
        <v>346</v>
      </c>
      <c r="E376" s="13" t="s">
        <v>723</v>
      </c>
      <c r="F376" s="13">
        <v>2</v>
      </c>
      <c r="G376" s="2" t="s">
        <v>346</v>
      </c>
      <c r="H376" s="13" t="s">
        <v>1</v>
      </c>
      <c r="I376" s="13" t="s">
        <v>140</v>
      </c>
      <c r="J376" s="13" t="s">
        <v>46</v>
      </c>
      <c r="K376" s="109">
        <v>44491</v>
      </c>
      <c r="L376" s="109">
        <v>44501</v>
      </c>
      <c r="P376" s="110">
        <v>44497</v>
      </c>
      <c r="Q376" s="13" t="str">
        <f t="shared" si="50"/>
        <v>PERECRD024590CADENASNUTRESA</v>
      </c>
      <c r="R376" s="2">
        <v>2</v>
      </c>
      <c r="S376" s="13">
        <v>2</v>
      </c>
      <c r="T376" s="123">
        <f t="shared" si="51"/>
        <v>1</v>
      </c>
      <c r="U376" s="13">
        <f t="shared" si="52"/>
        <v>0</v>
      </c>
      <c r="V376" s="123">
        <f t="shared" si="53"/>
        <v>0</v>
      </c>
      <c r="X376" s="13">
        <v>116000000</v>
      </c>
      <c r="Y376" s="13">
        <v>39000000</v>
      </c>
      <c r="Z376" s="13">
        <v>39000000</v>
      </c>
      <c r="AA376" s="13">
        <f t="shared" si="54"/>
        <v>1.7643599999999999E+23</v>
      </c>
      <c r="AB376" s="13">
        <f t="shared" si="55"/>
        <v>3.5287199999999999E+23</v>
      </c>
      <c r="AC376" s="13">
        <f t="shared" si="56"/>
        <v>2.4505E+17</v>
      </c>
      <c r="AD376" s="110">
        <f t="shared" si="57"/>
        <v>44495</v>
      </c>
      <c r="AE376" s="13" t="e">
        <f>IF(AND(AD376&lt;=$AI$4,#REF!&lt;1),1,"")</f>
        <v>#REF!</v>
      </c>
      <c r="AF376" s="110">
        <f t="shared" ca="1" si="58"/>
        <v>44553</v>
      </c>
      <c r="AH376" s="13">
        <f t="shared" ca="1" si="59"/>
        <v>62</v>
      </c>
    </row>
    <row r="377" spans="1:34" x14ac:dyDescent="0.25">
      <c r="A377" s="13" t="s">
        <v>4</v>
      </c>
      <c r="B377" s="13" t="s">
        <v>4</v>
      </c>
      <c r="C377" s="13" t="s">
        <v>345</v>
      </c>
      <c r="D377" s="13" t="s">
        <v>346</v>
      </c>
      <c r="E377" s="13" t="s">
        <v>723</v>
      </c>
      <c r="F377" s="13">
        <v>9</v>
      </c>
      <c r="G377" s="2" t="s">
        <v>346</v>
      </c>
      <c r="H377" s="13" t="s">
        <v>1</v>
      </c>
      <c r="I377" s="13" t="s">
        <v>140</v>
      </c>
      <c r="J377" s="13" t="s">
        <v>46</v>
      </c>
      <c r="K377" s="109">
        <v>44491</v>
      </c>
      <c r="L377" s="109">
        <v>44501</v>
      </c>
      <c r="Q377" s="13" t="str">
        <f t="shared" si="50"/>
        <v>BGTACRD024590CADENASNUTRESA</v>
      </c>
      <c r="T377" s="123">
        <f t="shared" si="51"/>
        <v>0</v>
      </c>
      <c r="U377" s="13">
        <f t="shared" si="52"/>
        <v>0</v>
      </c>
      <c r="V377" s="123">
        <f t="shared" si="53"/>
        <v>0</v>
      </c>
      <c r="X377" s="13">
        <v>116000000</v>
      </c>
      <c r="Y377" s="13">
        <v>39000000</v>
      </c>
      <c r="Z377" s="13">
        <v>39000000</v>
      </c>
      <c r="AA377" s="13">
        <f t="shared" si="54"/>
        <v>1.7643599999999999E+23</v>
      </c>
      <c r="AB377" s="13">
        <f t="shared" si="55"/>
        <v>1.5879239999999999E+24</v>
      </c>
      <c r="AC377" s="13">
        <f t="shared" si="56"/>
        <v>1.1027249999999999E+18</v>
      </c>
      <c r="AD377" s="110">
        <f t="shared" si="57"/>
        <v>44495</v>
      </c>
      <c r="AE377" s="13" t="e">
        <f>IF(AND(AD377&lt;=$AI$4,#REF!&lt;1),1,"")</f>
        <v>#REF!</v>
      </c>
      <c r="AF377" s="110">
        <f t="shared" ca="1" si="58"/>
        <v>44553</v>
      </c>
      <c r="AH377" s="13">
        <f t="shared" ca="1" si="59"/>
        <v>62</v>
      </c>
    </row>
    <row r="378" spans="1:34" x14ac:dyDescent="0.25">
      <c r="A378" s="13" t="s">
        <v>5</v>
      </c>
      <c r="B378" s="13" t="s">
        <v>5</v>
      </c>
      <c r="C378" s="13" t="s">
        <v>345</v>
      </c>
      <c r="D378" s="13" t="s">
        <v>346</v>
      </c>
      <c r="E378" s="13" t="s">
        <v>723</v>
      </c>
      <c r="F378" s="13">
        <v>1</v>
      </c>
      <c r="G378" s="2" t="s">
        <v>346</v>
      </c>
      <c r="H378" s="13" t="s">
        <v>1</v>
      </c>
      <c r="I378" s="13" t="s">
        <v>140</v>
      </c>
      <c r="J378" s="13" t="s">
        <v>46</v>
      </c>
      <c r="K378" s="109">
        <v>44491</v>
      </c>
      <c r="L378" s="109">
        <v>44501</v>
      </c>
      <c r="Q378" s="13" t="str">
        <f t="shared" si="50"/>
        <v>BUCACRD024590CADENASNUTRESA</v>
      </c>
      <c r="T378" s="123">
        <f t="shared" si="51"/>
        <v>0</v>
      </c>
      <c r="U378" s="13">
        <f t="shared" si="52"/>
        <v>0</v>
      </c>
      <c r="V378" s="123">
        <f t="shared" si="53"/>
        <v>0</v>
      </c>
      <c r="X378" s="13">
        <v>116000000</v>
      </c>
      <c r="Y378" s="13">
        <v>39000000</v>
      </c>
      <c r="Z378" s="13">
        <v>39000000</v>
      </c>
      <c r="AA378" s="13">
        <f t="shared" si="54"/>
        <v>1.7643599999999999E+23</v>
      </c>
      <c r="AB378" s="13">
        <f t="shared" si="55"/>
        <v>1.7643599999999999E+23</v>
      </c>
      <c r="AC378" s="13">
        <f t="shared" si="56"/>
        <v>1.22525E+17</v>
      </c>
      <c r="AD378" s="110">
        <f t="shared" si="57"/>
        <v>44495</v>
      </c>
      <c r="AE378" s="13" t="e">
        <f>IF(AND(AD378&lt;=$AI$4,#REF!&lt;1),1,"")</f>
        <v>#REF!</v>
      </c>
      <c r="AF378" s="110">
        <f t="shared" ca="1" si="58"/>
        <v>44553</v>
      </c>
      <c r="AH378" s="13">
        <f t="shared" ca="1" si="59"/>
        <v>62</v>
      </c>
    </row>
    <row r="379" spans="1:34" x14ac:dyDescent="0.25">
      <c r="A379" s="13" t="s">
        <v>6</v>
      </c>
      <c r="B379" s="13" t="s">
        <v>6</v>
      </c>
      <c r="C379" s="13" t="s">
        <v>345</v>
      </c>
      <c r="D379" s="13" t="s">
        <v>346</v>
      </c>
      <c r="E379" s="13" t="s">
        <v>723</v>
      </c>
      <c r="F379" s="13">
        <v>2</v>
      </c>
      <c r="G379" s="2" t="s">
        <v>346</v>
      </c>
      <c r="H379" s="13" t="s">
        <v>1</v>
      </c>
      <c r="I379" s="13" t="s">
        <v>140</v>
      </c>
      <c r="J379" s="13" t="s">
        <v>46</v>
      </c>
      <c r="K379" s="109">
        <v>44491</v>
      </c>
      <c r="L379" s="109">
        <v>44501</v>
      </c>
      <c r="Q379" s="13" t="str">
        <f t="shared" si="50"/>
        <v>CALICRD024590CADENASNUTRESA</v>
      </c>
      <c r="T379" s="123">
        <f t="shared" si="51"/>
        <v>0</v>
      </c>
      <c r="U379" s="13">
        <f t="shared" si="52"/>
        <v>0</v>
      </c>
      <c r="V379" s="123">
        <f t="shared" si="53"/>
        <v>0</v>
      </c>
      <c r="X379" s="13">
        <v>116000000</v>
      </c>
      <c r="Y379" s="13">
        <v>39000000</v>
      </c>
      <c r="Z379" s="13">
        <v>39000000</v>
      </c>
      <c r="AA379" s="13">
        <f t="shared" si="54"/>
        <v>1.7643599999999999E+23</v>
      </c>
      <c r="AB379" s="13">
        <f t="shared" si="55"/>
        <v>3.5287199999999999E+23</v>
      </c>
      <c r="AC379" s="13">
        <f t="shared" si="56"/>
        <v>2.4505E+17</v>
      </c>
      <c r="AD379" s="110">
        <f t="shared" si="57"/>
        <v>44495</v>
      </c>
      <c r="AE379" s="13" t="e">
        <f>IF(AND(AD379&lt;=$AI$4,#REF!&lt;1),1,"")</f>
        <v>#REF!</v>
      </c>
      <c r="AF379" s="110">
        <f t="shared" ca="1" si="58"/>
        <v>44553</v>
      </c>
      <c r="AH379" s="13">
        <f t="shared" ca="1" si="59"/>
        <v>62</v>
      </c>
    </row>
    <row r="380" spans="1:34" x14ac:dyDescent="0.25">
      <c r="A380" s="13" t="s">
        <v>9</v>
      </c>
      <c r="B380" s="13" t="s">
        <v>9</v>
      </c>
      <c r="C380" s="13" t="s">
        <v>345</v>
      </c>
      <c r="D380" s="13" t="s">
        <v>346</v>
      </c>
      <c r="E380" s="13" t="s">
        <v>723</v>
      </c>
      <c r="F380" s="13">
        <v>3</v>
      </c>
      <c r="G380" s="2" t="s">
        <v>346</v>
      </c>
      <c r="H380" s="13" t="s">
        <v>1</v>
      </c>
      <c r="I380" s="13" t="s">
        <v>140</v>
      </c>
      <c r="J380" s="13" t="s">
        <v>46</v>
      </c>
      <c r="K380" s="109">
        <v>44491</v>
      </c>
      <c r="L380" s="109">
        <v>44501</v>
      </c>
      <c r="Q380" s="13" t="str">
        <f t="shared" si="50"/>
        <v>MEDECRD024590CADENASNUTRESA</v>
      </c>
      <c r="T380" s="123">
        <f t="shared" si="51"/>
        <v>0</v>
      </c>
      <c r="U380" s="13">
        <f t="shared" si="52"/>
        <v>0</v>
      </c>
      <c r="V380" s="123">
        <f t="shared" si="53"/>
        <v>0</v>
      </c>
      <c r="X380" s="13">
        <v>116000000</v>
      </c>
      <c r="Y380" s="13">
        <v>39000000</v>
      </c>
      <c r="Z380" s="13">
        <v>39000000</v>
      </c>
      <c r="AA380" s="13">
        <f t="shared" si="54"/>
        <v>1.7643599999999999E+23</v>
      </c>
      <c r="AB380" s="13">
        <f t="shared" si="55"/>
        <v>5.2930799999999998E+23</v>
      </c>
      <c r="AC380" s="13">
        <f t="shared" si="56"/>
        <v>3.67575E+17</v>
      </c>
      <c r="AD380" s="110">
        <f t="shared" si="57"/>
        <v>44495</v>
      </c>
      <c r="AE380" s="13" t="e">
        <f>IF(AND(AD380&lt;=$AI$4,#REF!&lt;1),1,"")</f>
        <v>#REF!</v>
      </c>
      <c r="AF380" s="110">
        <f t="shared" ca="1" si="58"/>
        <v>44553</v>
      </c>
      <c r="AH380" s="13">
        <f t="shared" ca="1" si="59"/>
        <v>62</v>
      </c>
    </row>
    <row r="381" spans="1:34" x14ac:dyDescent="0.25">
      <c r="A381" s="13" t="s">
        <v>6</v>
      </c>
      <c r="B381" s="13" t="s">
        <v>6</v>
      </c>
      <c r="C381" s="13" t="s">
        <v>1177</v>
      </c>
      <c r="D381" s="13" t="s">
        <v>1178</v>
      </c>
      <c r="E381" s="13" t="s">
        <v>1179</v>
      </c>
      <c r="F381" s="13">
        <v>6</v>
      </c>
      <c r="G381" s="2" t="s">
        <v>1178</v>
      </c>
      <c r="H381" s="13" t="s">
        <v>1</v>
      </c>
      <c r="I381" s="13" t="s">
        <v>140</v>
      </c>
      <c r="J381" s="13" t="s">
        <v>139</v>
      </c>
      <c r="K381" s="109">
        <v>44516</v>
      </c>
      <c r="L381" s="109">
        <v>44501</v>
      </c>
      <c r="Q381" s="13" t="str">
        <f t="shared" si="50"/>
        <v>CALICRD024906CADENASNUTRESA</v>
      </c>
      <c r="T381" s="123">
        <f t="shared" si="51"/>
        <v>0</v>
      </c>
      <c r="U381" s="13">
        <f t="shared" si="52"/>
        <v>0</v>
      </c>
      <c r="V381" s="123">
        <f t="shared" si="53"/>
        <v>0</v>
      </c>
      <c r="X381" s="13">
        <v>0.1</v>
      </c>
      <c r="Y381" s="13">
        <v>40500000</v>
      </c>
      <c r="Z381" s="13">
        <v>40500000</v>
      </c>
      <c r="AA381" s="13">
        <f t="shared" si="54"/>
        <v>164025000000000</v>
      </c>
      <c r="AB381" s="13">
        <f t="shared" si="55"/>
        <v>984150000000000</v>
      </c>
      <c r="AC381" s="13">
        <f t="shared" si="56"/>
        <v>683437500</v>
      </c>
      <c r="AD381" s="110">
        <f t="shared" si="57"/>
        <v>44520</v>
      </c>
      <c r="AE381" s="13" t="e">
        <f>IF(AND(AD381&lt;=$AI$4,#REF!&lt;1),1,"")</f>
        <v>#REF!</v>
      </c>
      <c r="AF381" s="110">
        <f t="shared" ca="1" si="58"/>
        <v>44553</v>
      </c>
      <c r="AH381" s="13">
        <f t="shared" ca="1" si="59"/>
        <v>37</v>
      </c>
    </row>
  </sheetData>
  <autoFilter ref="A1:AG2">
    <sortState ref="A2:AG381">
      <sortCondition ref="G1:G381"/>
    </sortState>
  </autoFilter>
  <dataConsolidate/>
  <phoneticPr fontId="26" type="noConversion"/>
  <conditionalFormatting sqref="V1:V1048576">
    <cfRule type="iconSet" priority="1578">
      <iconSet>
        <cfvo type="percent" val="0"/>
        <cfvo type="percent" val="90"/>
        <cfvo type="percent" val="100"/>
      </iconSet>
    </cfRule>
  </conditionalFormatting>
  <conditionalFormatting sqref="T1:T1048576">
    <cfRule type="iconSet" priority="1579">
      <iconSet>
        <cfvo type="percent" val="0"/>
        <cfvo type="percent" val="90"/>
        <cfvo type="percent" val="100"/>
      </iconSet>
    </cfRule>
  </conditionalFormatting>
  <conditionalFormatting sqref="AH1:AH1048576">
    <cfRule type="iconSet" priority="1">
      <iconSet>
        <cfvo type="percent" val="0"/>
        <cfvo type="num" val="9"/>
        <cfvo type="num" val="16"/>
      </iconSet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/>
  <dimension ref="A1:AJ515"/>
  <sheetViews>
    <sheetView zoomScaleNormal="100" workbookViewId="0">
      <selection activeCell="A2" sqref="A2:A515"/>
    </sheetView>
  </sheetViews>
  <sheetFormatPr baseColWidth="10" defaultRowHeight="15" x14ac:dyDescent="0.25"/>
  <cols>
    <col min="1" max="1" width="32.140625" style="6" customWidth="1"/>
    <col min="2" max="13" width="11.42578125" style="6"/>
    <col min="14" max="14" width="15.140625" style="6" bestFit="1" customWidth="1"/>
    <col min="15" max="18" width="11.42578125" style="6"/>
    <col min="19" max="19" width="29.7109375" style="6" customWidth="1"/>
    <col min="20" max="22" width="11.42578125" style="6"/>
    <col min="23" max="23" width="17.7109375" style="6" customWidth="1"/>
    <col min="24" max="24" width="13.28515625" style="6" customWidth="1"/>
    <col min="25" max="16384" width="11.42578125" style="6"/>
  </cols>
  <sheetData>
    <row r="1" spans="1:36" x14ac:dyDescent="0.25">
      <c r="A1" s="6" t="s">
        <v>51</v>
      </c>
      <c r="B1" s="6" t="s">
        <v>52</v>
      </c>
      <c r="C1" s="6" t="s">
        <v>53</v>
      </c>
      <c r="D1" s="6" t="s">
        <v>54</v>
      </c>
      <c r="E1" s="6" t="s">
        <v>55</v>
      </c>
      <c r="F1" s="6" t="s">
        <v>56</v>
      </c>
      <c r="G1" s="6" t="s">
        <v>57</v>
      </c>
      <c r="H1" s="6" t="s">
        <v>58</v>
      </c>
      <c r="I1" s="6" t="s">
        <v>59</v>
      </c>
      <c r="J1" s="6" t="s">
        <v>60</v>
      </c>
      <c r="K1" s="6" t="s">
        <v>61</v>
      </c>
      <c r="L1" s="6" t="s">
        <v>62</v>
      </c>
      <c r="M1" s="6" t="s">
        <v>63</v>
      </c>
      <c r="N1" s="6" t="s">
        <v>64</v>
      </c>
      <c r="O1" s="6" t="s">
        <v>65</v>
      </c>
      <c r="P1" s="6" t="s">
        <v>66</v>
      </c>
      <c r="Q1" s="6" t="s">
        <v>67</v>
      </c>
      <c r="R1" s="6" t="s">
        <v>68</v>
      </c>
      <c r="S1" s="6" t="s">
        <v>69</v>
      </c>
      <c r="T1" s="6" t="s">
        <v>70</v>
      </c>
      <c r="U1" s="6" t="s">
        <v>71</v>
      </c>
      <c r="V1" s="6" t="s">
        <v>72</v>
      </c>
      <c r="W1" s="6" t="s">
        <v>73</v>
      </c>
      <c r="X1" s="6" t="s">
        <v>74</v>
      </c>
      <c r="Y1" s="6" t="s">
        <v>75</v>
      </c>
      <c r="Z1" s="6" t="s">
        <v>76</v>
      </c>
      <c r="AA1" s="6" t="s">
        <v>77</v>
      </c>
      <c r="AB1" s="6" t="s">
        <v>78</v>
      </c>
      <c r="AC1" s="6" t="s">
        <v>79</v>
      </c>
      <c r="AD1" s="6" t="s">
        <v>80</v>
      </c>
      <c r="AE1" s="6" t="s">
        <v>81</v>
      </c>
      <c r="AF1" s="6" t="s">
        <v>82</v>
      </c>
      <c r="AG1" s="6" t="s">
        <v>83</v>
      </c>
      <c r="AH1" s="6" t="s">
        <v>84</v>
      </c>
      <c r="AI1" s="6" t="s">
        <v>85</v>
      </c>
    </row>
    <row r="2" spans="1:36" ht="15" customHeight="1" x14ac:dyDescent="0.25">
      <c r="A2" s="6" t="str">
        <f>+CONCATENATE(B2,Q2,AA2,AB2)</f>
        <v>BARRCRD024947CADENASNUTRESA</v>
      </c>
      <c r="B2" s="126" t="s">
        <v>3</v>
      </c>
      <c r="C2" s="126">
        <v>32885</v>
      </c>
      <c r="D2" s="126" t="s">
        <v>140</v>
      </c>
      <c r="E2" s="126" t="s">
        <v>177</v>
      </c>
      <c r="F2" s="127">
        <v>44527</v>
      </c>
      <c r="G2" s="126" t="s">
        <v>175</v>
      </c>
      <c r="H2" s="126" t="s">
        <v>176</v>
      </c>
      <c r="I2" s="126">
        <v>1</v>
      </c>
      <c r="J2" s="126" t="s">
        <v>184</v>
      </c>
      <c r="K2" s="126" t="s">
        <v>371</v>
      </c>
      <c r="L2" s="126" t="s">
        <v>1208</v>
      </c>
      <c r="M2" s="126">
        <v>0</v>
      </c>
      <c r="N2" s="126">
        <v>134536126</v>
      </c>
      <c r="O2" s="126" t="s">
        <v>455</v>
      </c>
      <c r="P2" s="126" t="s">
        <v>171</v>
      </c>
      <c r="Q2" s="126" t="s">
        <v>446</v>
      </c>
      <c r="R2" s="126" t="s">
        <v>446</v>
      </c>
      <c r="S2" s="126" t="s">
        <v>456</v>
      </c>
      <c r="T2" s="126" t="s">
        <v>160</v>
      </c>
      <c r="U2" s="126"/>
      <c r="V2" s="128">
        <v>150000000</v>
      </c>
      <c r="W2" s="128">
        <v>150000000</v>
      </c>
      <c r="X2" s="126" t="s">
        <v>1209</v>
      </c>
      <c r="Y2" s="126">
        <v>0</v>
      </c>
      <c r="Z2" s="126">
        <v>0</v>
      </c>
      <c r="AA2" s="126" t="s">
        <v>1</v>
      </c>
      <c r="AB2" s="126" t="s">
        <v>140</v>
      </c>
      <c r="AC2" s="126" t="s">
        <v>162</v>
      </c>
      <c r="AD2" s="126"/>
      <c r="AE2" s="126"/>
      <c r="AF2" s="126"/>
      <c r="AG2" s="126"/>
      <c r="AH2" s="126" t="s">
        <v>371</v>
      </c>
      <c r="AI2" s="126" t="s">
        <v>1210</v>
      </c>
      <c r="AJ2" s="46"/>
    </row>
    <row r="3" spans="1:36" ht="300" x14ac:dyDescent="0.25">
      <c r="A3" s="46" t="str">
        <f t="shared" ref="A3:A66" si="0">+CONCATENATE(B3,Q3,AA3,AB3)</f>
        <v>BARRACT000300TRADICIONALNUTRESA</v>
      </c>
      <c r="B3" s="126" t="s">
        <v>3</v>
      </c>
      <c r="C3" s="126">
        <v>32913</v>
      </c>
      <c r="D3" s="126" t="s">
        <v>140</v>
      </c>
      <c r="E3" s="126" t="s">
        <v>177</v>
      </c>
      <c r="F3" s="127">
        <v>44530</v>
      </c>
      <c r="G3" s="126" t="s">
        <v>175</v>
      </c>
      <c r="H3" s="126" t="s">
        <v>176</v>
      </c>
      <c r="I3" s="126">
        <v>1</v>
      </c>
      <c r="J3" s="126" t="s">
        <v>183</v>
      </c>
      <c r="K3" s="126" t="s">
        <v>371</v>
      </c>
      <c r="L3" s="126" t="s">
        <v>1211</v>
      </c>
      <c r="M3" s="126">
        <v>0</v>
      </c>
      <c r="N3" s="126">
        <v>0</v>
      </c>
      <c r="O3" s="126" t="s">
        <v>457</v>
      </c>
      <c r="P3" s="126" t="s">
        <v>170</v>
      </c>
      <c r="Q3" s="126" t="s">
        <v>155</v>
      </c>
      <c r="R3" s="126" t="s">
        <v>155</v>
      </c>
      <c r="S3" s="126" t="s">
        <v>156</v>
      </c>
      <c r="T3" s="126" t="s">
        <v>160</v>
      </c>
      <c r="U3" s="126"/>
      <c r="V3" s="128">
        <v>1000000</v>
      </c>
      <c r="W3" s="128">
        <v>1000000</v>
      </c>
      <c r="X3" s="126" t="s">
        <v>1209</v>
      </c>
      <c r="Y3" s="126">
        <v>144620</v>
      </c>
      <c r="Z3" s="126">
        <v>0</v>
      </c>
      <c r="AA3" s="126" t="s">
        <v>2</v>
      </c>
      <c r="AB3" s="126" t="s">
        <v>140</v>
      </c>
      <c r="AC3" s="126" t="s">
        <v>218</v>
      </c>
      <c r="AD3" s="126"/>
      <c r="AE3" s="126"/>
      <c r="AF3" s="126"/>
      <c r="AG3" s="126"/>
      <c r="AH3" s="126" t="s">
        <v>371</v>
      </c>
      <c r="AI3" s="126" t="s">
        <v>1212</v>
      </c>
    </row>
    <row r="4" spans="1:36" ht="135" x14ac:dyDescent="0.25">
      <c r="A4" s="46" t="str">
        <f t="shared" si="0"/>
        <v>BARRCRD024843CADENASBPO</v>
      </c>
      <c r="B4" s="126" t="s">
        <v>3</v>
      </c>
      <c r="C4" s="126">
        <v>32943</v>
      </c>
      <c r="D4" s="126" t="s">
        <v>140</v>
      </c>
      <c r="E4" s="126" t="s">
        <v>177</v>
      </c>
      <c r="F4" s="127">
        <v>44531</v>
      </c>
      <c r="G4" s="126" t="s">
        <v>175</v>
      </c>
      <c r="H4" s="126" t="s">
        <v>176</v>
      </c>
      <c r="I4" s="126">
        <v>1</v>
      </c>
      <c r="J4" s="126" t="s">
        <v>184</v>
      </c>
      <c r="K4" s="126" t="s">
        <v>371</v>
      </c>
      <c r="L4" s="126" t="s">
        <v>1213</v>
      </c>
      <c r="M4" s="126">
        <v>0</v>
      </c>
      <c r="N4" s="126">
        <v>52800017794</v>
      </c>
      <c r="O4" s="126" t="s">
        <v>458</v>
      </c>
      <c r="P4" s="126" t="s">
        <v>171</v>
      </c>
      <c r="Q4" s="126" t="s">
        <v>463</v>
      </c>
      <c r="R4" s="126" t="s">
        <v>463</v>
      </c>
      <c r="S4" s="126" t="s">
        <v>1214</v>
      </c>
      <c r="T4" s="126" t="s">
        <v>160</v>
      </c>
      <c r="U4" s="126"/>
      <c r="V4" s="128">
        <v>1500000000</v>
      </c>
      <c r="W4" s="128">
        <v>1500000000</v>
      </c>
      <c r="X4" s="126" t="s">
        <v>1209</v>
      </c>
      <c r="Y4" s="126">
        <v>0</v>
      </c>
      <c r="Z4" s="126">
        <v>0</v>
      </c>
      <c r="AA4" s="126" t="s">
        <v>1</v>
      </c>
      <c r="AB4" s="126" t="s">
        <v>161</v>
      </c>
      <c r="AC4" s="126" t="s">
        <v>162</v>
      </c>
      <c r="AD4" s="126"/>
      <c r="AE4" s="126"/>
      <c r="AF4" s="126"/>
      <c r="AG4" s="126"/>
      <c r="AH4" s="126" t="s">
        <v>371</v>
      </c>
      <c r="AI4" s="126" t="s">
        <v>1215</v>
      </c>
    </row>
    <row r="5" spans="1:36" ht="135" x14ac:dyDescent="0.25">
      <c r="A5" s="46" t="str">
        <f t="shared" si="0"/>
        <v>BARRCRD024845CADENASBPO</v>
      </c>
      <c r="B5" s="126" t="s">
        <v>3</v>
      </c>
      <c r="C5" s="126">
        <v>32943</v>
      </c>
      <c r="D5" s="126" t="s">
        <v>140</v>
      </c>
      <c r="E5" s="126" t="s">
        <v>177</v>
      </c>
      <c r="F5" s="127">
        <v>44531</v>
      </c>
      <c r="G5" s="126" t="s">
        <v>175</v>
      </c>
      <c r="H5" s="126" t="s">
        <v>176</v>
      </c>
      <c r="I5" s="126">
        <v>1</v>
      </c>
      <c r="J5" s="126" t="s">
        <v>184</v>
      </c>
      <c r="K5" s="126" t="s">
        <v>371</v>
      </c>
      <c r="L5" s="126" t="s">
        <v>1213</v>
      </c>
      <c r="M5" s="126">
        <v>0</v>
      </c>
      <c r="N5" s="126">
        <v>52800017794</v>
      </c>
      <c r="O5" s="126" t="s">
        <v>458</v>
      </c>
      <c r="P5" s="126" t="s">
        <v>171</v>
      </c>
      <c r="Q5" s="126" t="s">
        <v>464</v>
      </c>
      <c r="R5" s="126" t="s">
        <v>464</v>
      </c>
      <c r="S5" s="126" t="s">
        <v>465</v>
      </c>
      <c r="T5" s="126" t="s">
        <v>160</v>
      </c>
      <c r="U5" s="126"/>
      <c r="V5" s="128">
        <v>1500000000</v>
      </c>
      <c r="W5" s="128">
        <v>1500000000</v>
      </c>
      <c r="X5" s="126" t="s">
        <v>1209</v>
      </c>
      <c r="Y5" s="126">
        <v>0</v>
      </c>
      <c r="Z5" s="126">
        <v>0</v>
      </c>
      <c r="AA5" s="126" t="s">
        <v>1</v>
      </c>
      <c r="AB5" s="126" t="s">
        <v>161</v>
      </c>
      <c r="AC5" s="126" t="s">
        <v>162</v>
      </c>
      <c r="AD5" s="126"/>
      <c r="AE5" s="126"/>
      <c r="AF5" s="126"/>
      <c r="AG5" s="126"/>
      <c r="AH5" s="126" t="s">
        <v>371</v>
      </c>
      <c r="AI5" s="126" t="s">
        <v>1216</v>
      </c>
    </row>
    <row r="6" spans="1:36" ht="135" x14ac:dyDescent="0.25">
      <c r="A6" s="46" t="str">
        <f t="shared" si="0"/>
        <v>BARRCRD024845AUTOSERVICIOBPO</v>
      </c>
      <c r="B6" s="126" t="s">
        <v>3</v>
      </c>
      <c r="C6" s="126">
        <v>32943</v>
      </c>
      <c r="D6" s="126" t="s">
        <v>140</v>
      </c>
      <c r="E6" s="126" t="s">
        <v>177</v>
      </c>
      <c r="F6" s="127">
        <v>44531</v>
      </c>
      <c r="G6" s="126" t="s">
        <v>175</v>
      </c>
      <c r="H6" s="126" t="s">
        <v>176</v>
      </c>
      <c r="I6" s="126">
        <v>1</v>
      </c>
      <c r="J6" s="126" t="s">
        <v>184</v>
      </c>
      <c r="K6" s="126" t="s">
        <v>371</v>
      </c>
      <c r="L6" s="126" t="s">
        <v>1213</v>
      </c>
      <c r="M6" s="126">
        <v>0</v>
      </c>
      <c r="N6" s="126">
        <v>52800017794</v>
      </c>
      <c r="O6" s="126" t="s">
        <v>458</v>
      </c>
      <c r="P6" s="126" t="s">
        <v>171</v>
      </c>
      <c r="Q6" s="126" t="s">
        <v>464</v>
      </c>
      <c r="R6" s="126" t="s">
        <v>464</v>
      </c>
      <c r="S6" s="126" t="s">
        <v>465</v>
      </c>
      <c r="T6" s="126" t="s">
        <v>160</v>
      </c>
      <c r="U6" s="126"/>
      <c r="V6" s="128">
        <v>500000000</v>
      </c>
      <c r="W6" s="128">
        <v>500000000</v>
      </c>
      <c r="X6" s="126" t="s">
        <v>1209</v>
      </c>
      <c r="Y6" s="126">
        <v>0</v>
      </c>
      <c r="Z6" s="126">
        <v>0</v>
      </c>
      <c r="AA6" s="126" t="s">
        <v>0</v>
      </c>
      <c r="AB6" s="126" t="s">
        <v>161</v>
      </c>
      <c r="AC6" s="126" t="s">
        <v>162</v>
      </c>
      <c r="AD6" s="126"/>
      <c r="AE6" s="126"/>
      <c r="AF6" s="126"/>
      <c r="AG6" s="126"/>
      <c r="AH6" s="126" t="s">
        <v>371</v>
      </c>
      <c r="AI6" s="126" t="s">
        <v>1217</v>
      </c>
    </row>
    <row r="7" spans="1:36" ht="135" x14ac:dyDescent="0.25">
      <c r="A7" s="46" t="str">
        <f t="shared" si="0"/>
        <v>BARRCRD024844CADENASBPO</v>
      </c>
      <c r="B7" s="126" t="s">
        <v>3</v>
      </c>
      <c r="C7" s="126">
        <v>32943</v>
      </c>
      <c r="D7" s="126" t="s">
        <v>140</v>
      </c>
      <c r="E7" s="126" t="s">
        <v>177</v>
      </c>
      <c r="F7" s="127">
        <v>44531</v>
      </c>
      <c r="G7" s="126" t="s">
        <v>175</v>
      </c>
      <c r="H7" s="126" t="s">
        <v>176</v>
      </c>
      <c r="I7" s="126">
        <v>1</v>
      </c>
      <c r="J7" s="126" t="s">
        <v>184</v>
      </c>
      <c r="K7" s="126" t="s">
        <v>371</v>
      </c>
      <c r="L7" s="126" t="s">
        <v>1213</v>
      </c>
      <c r="M7" s="126">
        <v>0</v>
      </c>
      <c r="N7" s="126">
        <v>52800017794</v>
      </c>
      <c r="O7" s="126" t="s">
        <v>458</v>
      </c>
      <c r="P7" s="126" t="s">
        <v>171</v>
      </c>
      <c r="Q7" s="126" t="s">
        <v>461</v>
      </c>
      <c r="R7" s="126" t="s">
        <v>461</v>
      </c>
      <c r="S7" s="126" t="s">
        <v>462</v>
      </c>
      <c r="T7" s="126" t="s">
        <v>160</v>
      </c>
      <c r="U7" s="126"/>
      <c r="V7" s="128">
        <v>1500000000</v>
      </c>
      <c r="W7" s="128">
        <v>1500000000</v>
      </c>
      <c r="X7" s="126" t="s">
        <v>1209</v>
      </c>
      <c r="Y7" s="126">
        <v>0</v>
      </c>
      <c r="Z7" s="126">
        <v>0</v>
      </c>
      <c r="AA7" s="126" t="s">
        <v>1</v>
      </c>
      <c r="AB7" s="126" t="s">
        <v>161</v>
      </c>
      <c r="AC7" s="126" t="s">
        <v>162</v>
      </c>
      <c r="AD7" s="126"/>
      <c r="AE7" s="126"/>
      <c r="AF7" s="126"/>
      <c r="AG7" s="126"/>
      <c r="AH7" s="126" t="s">
        <v>371</v>
      </c>
      <c r="AI7" s="126" t="s">
        <v>1218</v>
      </c>
    </row>
    <row r="8" spans="1:36" ht="135" x14ac:dyDescent="0.25">
      <c r="A8" s="46" t="str">
        <f t="shared" si="0"/>
        <v>BARRCRD024844AUTOSERVICIOBPO</v>
      </c>
      <c r="B8" s="126" t="s">
        <v>3</v>
      </c>
      <c r="C8" s="126">
        <v>32943</v>
      </c>
      <c r="D8" s="126" t="s">
        <v>140</v>
      </c>
      <c r="E8" s="126" t="s">
        <v>177</v>
      </c>
      <c r="F8" s="127">
        <v>44531</v>
      </c>
      <c r="G8" s="126" t="s">
        <v>175</v>
      </c>
      <c r="H8" s="126" t="s">
        <v>176</v>
      </c>
      <c r="I8" s="126">
        <v>1</v>
      </c>
      <c r="J8" s="126" t="s">
        <v>184</v>
      </c>
      <c r="K8" s="126" t="s">
        <v>371</v>
      </c>
      <c r="L8" s="126" t="s">
        <v>1213</v>
      </c>
      <c r="M8" s="126">
        <v>0</v>
      </c>
      <c r="N8" s="126">
        <v>52800017794</v>
      </c>
      <c r="O8" s="126" t="s">
        <v>458</v>
      </c>
      <c r="P8" s="126" t="s">
        <v>171</v>
      </c>
      <c r="Q8" s="126" t="s">
        <v>461</v>
      </c>
      <c r="R8" s="126" t="s">
        <v>461</v>
      </c>
      <c r="S8" s="126" t="s">
        <v>462</v>
      </c>
      <c r="T8" s="126" t="s">
        <v>160</v>
      </c>
      <c r="U8" s="126"/>
      <c r="V8" s="128">
        <v>500000000</v>
      </c>
      <c r="W8" s="128">
        <v>500000000</v>
      </c>
      <c r="X8" s="126" t="s">
        <v>1209</v>
      </c>
      <c r="Y8" s="126">
        <v>0</v>
      </c>
      <c r="Z8" s="126">
        <v>0</v>
      </c>
      <c r="AA8" s="126" t="s">
        <v>0</v>
      </c>
      <c r="AB8" s="126" t="s">
        <v>161</v>
      </c>
      <c r="AC8" s="126" t="s">
        <v>162</v>
      </c>
      <c r="AD8" s="126"/>
      <c r="AE8" s="126"/>
      <c r="AF8" s="126"/>
      <c r="AG8" s="126"/>
      <c r="AH8" s="126" t="s">
        <v>371</v>
      </c>
      <c r="AI8" s="126" t="s">
        <v>1219</v>
      </c>
    </row>
    <row r="9" spans="1:36" ht="135" x14ac:dyDescent="0.25">
      <c r="A9" s="46" t="str">
        <f t="shared" si="0"/>
        <v>BARRCRD024842AUTOSERVICIOBPO</v>
      </c>
      <c r="B9" s="126" t="s">
        <v>3</v>
      </c>
      <c r="C9" s="126">
        <v>32943</v>
      </c>
      <c r="D9" s="126" t="s">
        <v>140</v>
      </c>
      <c r="E9" s="126" t="s">
        <v>177</v>
      </c>
      <c r="F9" s="127">
        <v>44531</v>
      </c>
      <c r="G9" s="126" t="s">
        <v>175</v>
      </c>
      <c r="H9" s="126" t="s">
        <v>176</v>
      </c>
      <c r="I9" s="126">
        <v>1</v>
      </c>
      <c r="J9" s="126" t="s">
        <v>184</v>
      </c>
      <c r="K9" s="126" t="s">
        <v>371</v>
      </c>
      <c r="L9" s="126" t="s">
        <v>1213</v>
      </c>
      <c r="M9" s="126">
        <v>0</v>
      </c>
      <c r="N9" s="126">
        <v>52800017794</v>
      </c>
      <c r="O9" s="126" t="s">
        <v>458</v>
      </c>
      <c r="P9" s="126" t="s">
        <v>171</v>
      </c>
      <c r="Q9" s="126" t="s">
        <v>459</v>
      </c>
      <c r="R9" s="126" t="s">
        <v>459</v>
      </c>
      <c r="S9" s="126" t="s">
        <v>460</v>
      </c>
      <c r="T9" s="126" t="s">
        <v>160</v>
      </c>
      <c r="U9" s="126"/>
      <c r="V9" s="128">
        <v>500000000</v>
      </c>
      <c r="W9" s="128">
        <v>500000000</v>
      </c>
      <c r="X9" s="126" t="s">
        <v>1209</v>
      </c>
      <c r="Y9" s="126">
        <v>0</v>
      </c>
      <c r="Z9" s="126">
        <v>0</v>
      </c>
      <c r="AA9" s="126" t="s">
        <v>0</v>
      </c>
      <c r="AB9" s="126" t="s">
        <v>161</v>
      </c>
      <c r="AC9" s="126" t="s">
        <v>162</v>
      </c>
      <c r="AD9" s="126"/>
      <c r="AE9" s="126"/>
      <c r="AF9" s="126"/>
      <c r="AG9" s="126"/>
      <c r="AH9" s="126" t="s">
        <v>371</v>
      </c>
      <c r="AI9" s="126" t="s">
        <v>1220</v>
      </c>
    </row>
    <row r="10" spans="1:36" ht="135" x14ac:dyDescent="0.25">
      <c r="A10" s="46" t="str">
        <f t="shared" si="0"/>
        <v>BARRCRD024843AUTOSERVICIOBPO</v>
      </c>
      <c r="B10" s="126" t="s">
        <v>3</v>
      </c>
      <c r="C10" s="126">
        <v>32943</v>
      </c>
      <c r="D10" s="126" t="s">
        <v>140</v>
      </c>
      <c r="E10" s="126" t="s">
        <v>177</v>
      </c>
      <c r="F10" s="127">
        <v>44531</v>
      </c>
      <c r="G10" s="126" t="s">
        <v>175</v>
      </c>
      <c r="H10" s="126" t="s">
        <v>176</v>
      </c>
      <c r="I10" s="126">
        <v>1</v>
      </c>
      <c r="J10" s="126" t="s">
        <v>184</v>
      </c>
      <c r="K10" s="126" t="s">
        <v>371</v>
      </c>
      <c r="L10" s="126" t="s">
        <v>1213</v>
      </c>
      <c r="M10" s="126">
        <v>0</v>
      </c>
      <c r="N10" s="126">
        <v>52800017794</v>
      </c>
      <c r="O10" s="126" t="s">
        <v>458</v>
      </c>
      <c r="P10" s="126" t="s">
        <v>171</v>
      </c>
      <c r="Q10" s="126" t="s">
        <v>463</v>
      </c>
      <c r="R10" s="126" t="s">
        <v>463</v>
      </c>
      <c r="S10" s="126" t="s">
        <v>1214</v>
      </c>
      <c r="T10" s="126" t="s">
        <v>160</v>
      </c>
      <c r="U10" s="126"/>
      <c r="V10" s="128">
        <v>500000000</v>
      </c>
      <c r="W10" s="128">
        <v>500000000</v>
      </c>
      <c r="X10" s="126" t="s">
        <v>1209</v>
      </c>
      <c r="Y10" s="126">
        <v>0</v>
      </c>
      <c r="Z10" s="126">
        <v>0</v>
      </c>
      <c r="AA10" s="126" t="s">
        <v>0</v>
      </c>
      <c r="AB10" s="126" t="s">
        <v>161</v>
      </c>
      <c r="AC10" s="126" t="s">
        <v>162</v>
      </c>
      <c r="AD10" s="126"/>
      <c r="AE10" s="126"/>
      <c r="AF10" s="126"/>
      <c r="AG10" s="126"/>
      <c r="AH10" s="126" t="s">
        <v>371</v>
      </c>
      <c r="AI10" s="126" t="s">
        <v>1221</v>
      </c>
    </row>
    <row r="11" spans="1:36" ht="135" x14ac:dyDescent="0.25">
      <c r="A11" s="46" t="str">
        <f t="shared" si="0"/>
        <v>BARRCRD024842CADENASBPO</v>
      </c>
      <c r="B11" s="126" t="s">
        <v>3</v>
      </c>
      <c r="C11" s="126">
        <v>32943</v>
      </c>
      <c r="D11" s="126" t="s">
        <v>140</v>
      </c>
      <c r="E11" s="126" t="s">
        <v>177</v>
      </c>
      <c r="F11" s="127">
        <v>44531</v>
      </c>
      <c r="G11" s="126" t="s">
        <v>175</v>
      </c>
      <c r="H11" s="126" t="s">
        <v>176</v>
      </c>
      <c r="I11" s="126">
        <v>1</v>
      </c>
      <c r="J11" s="126" t="s">
        <v>184</v>
      </c>
      <c r="K11" s="126" t="s">
        <v>371</v>
      </c>
      <c r="L11" s="126" t="s">
        <v>1213</v>
      </c>
      <c r="M11" s="126">
        <v>0</v>
      </c>
      <c r="N11" s="126">
        <v>52800017794</v>
      </c>
      <c r="O11" s="126" t="s">
        <v>458</v>
      </c>
      <c r="P11" s="126" t="s">
        <v>171</v>
      </c>
      <c r="Q11" s="126" t="s">
        <v>459</v>
      </c>
      <c r="R11" s="126" t="s">
        <v>459</v>
      </c>
      <c r="S11" s="126" t="s">
        <v>460</v>
      </c>
      <c r="T11" s="126" t="s">
        <v>160</v>
      </c>
      <c r="U11" s="126"/>
      <c r="V11" s="128">
        <v>1500000000</v>
      </c>
      <c r="W11" s="128">
        <v>1500000000</v>
      </c>
      <c r="X11" s="126" t="s">
        <v>1209</v>
      </c>
      <c r="Y11" s="126">
        <v>0</v>
      </c>
      <c r="Z11" s="126">
        <v>0</v>
      </c>
      <c r="AA11" s="126" t="s">
        <v>1</v>
      </c>
      <c r="AB11" s="126" t="s">
        <v>161</v>
      </c>
      <c r="AC11" s="126" t="s">
        <v>162</v>
      </c>
      <c r="AD11" s="126"/>
      <c r="AE11" s="126"/>
      <c r="AF11" s="126"/>
      <c r="AG11" s="126"/>
      <c r="AH11" s="126" t="s">
        <v>371</v>
      </c>
      <c r="AI11" s="126" t="s">
        <v>1222</v>
      </c>
    </row>
    <row r="12" spans="1:36" ht="90" x14ac:dyDescent="0.25">
      <c r="A12" s="46" t="str">
        <f t="shared" si="0"/>
        <v>BARRCRD024124CADENASNUTRESA</v>
      </c>
      <c r="B12" s="126" t="s">
        <v>3</v>
      </c>
      <c r="C12" s="126">
        <v>32955</v>
      </c>
      <c r="D12" s="126" t="s">
        <v>140</v>
      </c>
      <c r="E12" s="126" t="s">
        <v>177</v>
      </c>
      <c r="F12" s="127">
        <v>44532</v>
      </c>
      <c r="G12" s="126" t="s">
        <v>175</v>
      </c>
      <c r="H12" s="126" t="s">
        <v>176</v>
      </c>
      <c r="I12" s="126">
        <v>1</v>
      </c>
      <c r="J12" s="126" t="s">
        <v>183</v>
      </c>
      <c r="K12" s="126" t="s">
        <v>371</v>
      </c>
      <c r="L12" s="126" t="s">
        <v>1223</v>
      </c>
      <c r="M12" s="126">
        <v>0</v>
      </c>
      <c r="N12" s="126">
        <v>0</v>
      </c>
      <c r="O12" s="126" t="s">
        <v>466</v>
      </c>
      <c r="P12" s="126" t="s">
        <v>171</v>
      </c>
      <c r="Q12" s="126" t="s">
        <v>270</v>
      </c>
      <c r="R12" s="126" t="s">
        <v>270</v>
      </c>
      <c r="S12" s="126" t="s">
        <v>1224</v>
      </c>
      <c r="T12" s="126" t="s">
        <v>160</v>
      </c>
      <c r="U12" s="126"/>
      <c r="V12" s="128">
        <v>1000000</v>
      </c>
      <c r="W12" s="128">
        <v>1000000</v>
      </c>
      <c r="X12" s="126" t="s">
        <v>1209</v>
      </c>
      <c r="Y12" s="126">
        <v>0</v>
      </c>
      <c r="Z12" s="126">
        <v>0</v>
      </c>
      <c r="AA12" s="126" t="s">
        <v>1</v>
      </c>
      <c r="AB12" s="126" t="s">
        <v>140</v>
      </c>
      <c r="AC12" s="126" t="s">
        <v>162</v>
      </c>
      <c r="AD12" s="126"/>
      <c r="AE12" s="126"/>
      <c r="AF12" s="126"/>
      <c r="AG12" s="126"/>
      <c r="AH12" s="126" t="s">
        <v>371</v>
      </c>
      <c r="AI12" s="126" t="s">
        <v>1225</v>
      </c>
    </row>
    <row r="13" spans="1:36" ht="150" x14ac:dyDescent="0.25">
      <c r="A13" s="46" t="str">
        <f t="shared" si="0"/>
        <v>BARRCRD024849AUTOSERVICIONUTRESA</v>
      </c>
      <c r="B13" s="126" t="s">
        <v>3</v>
      </c>
      <c r="C13" s="126">
        <v>32959</v>
      </c>
      <c r="D13" s="126" t="s">
        <v>140</v>
      </c>
      <c r="E13" s="126" t="s">
        <v>177</v>
      </c>
      <c r="F13" s="127">
        <v>44532</v>
      </c>
      <c r="G13" s="126" t="s">
        <v>175</v>
      </c>
      <c r="H13" s="126" t="s">
        <v>176</v>
      </c>
      <c r="I13" s="126">
        <v>1</v>
      </c>
      <c r="J13" s="126" t="s">
        <v>184</v>
      </c>
      <c r="K13" s="126" t="s">
        <v>371</v>
      </c>
      <c r="L13" s="126" t="s">
        <v>1226</v>
      </c>
      <c r="M13" s="126">
        <v>0</v>
      </c>
      <c r="N13" s="126">
        <v>999070186250</v>
      </c>
      <c r="O13" s="126" t="s">
        <v>1227</v>
      </c>
      <c r="P13" s="126" t="s">
        <v>168</v>
      </c>
      <c r="Q13" s="126" t="s">
        <v>467</v>
      </c>
      <c r="R13" s="126" t="s">
        <v>467</v>
      </c>
      <c r="S13" s="126" t="s">
        <v>468</v>
      </c>
      <c r="T13" s="126" t="s">
        <v>160</v>
      </c>
      <c r="U13" s="126"/>
      <c r="V13" s="128">
        <v>3000000000</v>
      </c>
      <c r="W13" s="128">
        <v>3000000000</v>
      </c>
      <c r="X13" s="126" t="s">
        <v>1209</v>
      </c>
      <c r="Y13" s="126">
        <v>0</v>
      </c>
      <c r="Z13" s="126">
        <v>0</v>
      </c>
      <c r="AA13" s="126" t="s">
        <v>0</v>
      </c>
      <c r="AB13" s="126" t="s">
        <v>140</v>
      </c>
      <c r="AC13" s="126" t="s">
        <v>162</v>
      </c>
      <c r="AD13" s="126"/>
      <c r="AE13" s="126"/>
      <c r="AF13" s="126"/>
      <c r="AG13" s="126"/>
      <c r="AH13" s="126" t="s">
        <v>371</v>
      </c>
      <c r="AI13" s="126" t="s">
        <v>1228</v>
      </c>
    </row>
    <row r="14" spans="1:36" ht="315" x14ac:dyDescent="0.25">
      <c r="A14" s="46" t="str">
        <f t="shared" si="0"/>
        <v>BARRCRD025003CADENASBPO</v>
      </c>
      <c r="B14" s="126" t="s">
        <v>3</v>
      </c>
      <c r="C14" s="126">
        <v>32990</v>
      </c>
      <c r="D14" s="126" t="s">
        <v>140</v>
      </c>
      <c r="E14" s="126" t="s">
        <v>177</v>
      </c>
      <c r="F14" s="127">
        <v>44536</v>
      </c>
      <c r="G14" s="126" t="s">
        <v>175</v>
      </c>
      <c r="H14" s="126" t="s">
        <v>176</v>
      </c>
      <c r="I14" s="126">
        <v>1</v>
      </c>
      <c r="J14" s="126" t="s">
        <v>184</v>
      </c>
      <c r="K14" s="126" t="s">
        <v>371</v>
      </c>
      <c r="L14" s="126" t="s">
        <v>1229</v>
      </c>
      <c r="M14" s="126">
        <v>0</v>
      </c>
      <c r="N14" s="126">
        <v>60010417</v>
      </c>
      <c r="O14" s="126" t="s">
        <v>1230</v>
      </c>
      <c r="P14" s="126" t="s">
        <v>171</v>
      </c>
      <c r="Q14" s="126" t="s">
        <v>469</v>
      </c>
      <c r="R14" s="126" t="s">
        <v>469</v>
      </c>
      <c r="S14" s="126" t="s">
        <v>1231</v>
      </c>
      <c r="T14" s="126" t="s">
        <v>160</v>
      </c>
      <c r="U14" s="126"/>
      <c r="V14" s="128">
        <v>80000000</v>
      </c>
      <c r="W14" s="128">
        <v>80000000</v>
      </c>
      <c r="X14" s="126" t="s">
        <v>1209</v>
      </c>
      <c r="Y14" s="126">
        <v>0</v>
      </c>
      <c r="Z14" s="126">
        <v>0</v>
      </c>
      <c r="AA14" s="126" t="s">
        <v>1</v>
      </c>
      <c r="AB14" s="126" t="s">
        <v>161</v>
      </c>
      <c r="AC14" s="126" t="s">
        <v>162</v>
      </c>
      <c r="AD14" s="126"/>
      <c r="AE14" s="126"/>
      <c r="AF14" s="126"/>
      <c r="AG14" s="126"/>
      <c r="AH14" s="126" t="s">
        <v>371</v>
      </c>
      <c r="AI14" s="126" t="s">
        <v>1232</v>
      </c>
    </row>
    <row r="15" spans="1:36" ht="315" x14ac:dyDescent="0.25">
      <c r="A15" s="46" t="str">
        <f t="shared" si="0"/>
        <v>BARRCRD024648TRADICIONALNUTRESA</v>
      </c>
      <c r="B15" s="126" t="s">
        <v>3</v>
      </c>
      <c r="C15" s="126">
        <v>32998</v>
      </c>
      <c r="D15" s="126" t="s">
        <v>140</v>
      </c>
      <c r="E15" s="126" t="s">
        <v>177</v>
      </c>
      <c r="F15" s="127">
        <v>44536</v>
      </c>
      <c r="G15" s="126" t="s">
        <v>175</v>
      </c>
      <c r="H15" s="126" t="s">
        <v>176</v>
      </c>
      <c r="I15" s="126">
        <v>1</v>
      </c>
      <c r="J15" s="126" t="s">
        <v>184</v>
      </c>
      <c r="K15" s="126" t="s">
        <v>371</v>
      </c>
      <c r="L15" s="126" t="s">
        <v>1233</v>
      </c>
      <c r="M15" s="126">
        <v>0</v>
      </c>
      <c r="N15" s="126">
        <v>3152635171</v>
      </c>
      <c r="O15" s="126" t="s">
        <v>470</v>
      </c>
      <c r="P15" s="126" t="s">
        <v>171</v>
      </c>
      <c r="Q15" s="126" t="s">
        <v>396</v>
      </c>
      <c r="R15" s="126" t="s">
        <v>396</v>
      </c>
      <c r="S15" s="126" t="s">
        <v>397</v>
      </c>
      <c r="T15" s="126" t="s">
        <v>163</v>
      </c>
      <c r="U15" s="126"/>
      <c r="V15" s="128">
        <v>12000000</v>
      </c>
      <c r="W15" s="128">
        <v>12000000</v>
      </c>
      <c r="X15" s="126" t="s">
        <v>1209</v>
      </c>
      <c r="Y15" s="126">
        <v>0</v>
      </c>
      <c r="Z15" s="126">
        <v>0</v>
      </c>
      <c r="AA15" s="126" t="s">
        <v>2</v>
      </c>
      <c r="AB15" s="126" t="s">
        <v>140</v>
      </c>
      <c r="AC15" s="126" t="s">
        <v>162</v>
      </c>
      <c r="AD15" s="126"/>
      <c r="AE15" s="126"/>
      <c r="AF15" s="126"/>
      <c r="AG15" s="126"/>
      <c r="AH15" s="126" t="s">
        <v>371</v>
      </c>
      <c r="AI15" s="126" t="s">
        <v>1234</v>
      </c>
    </row>
    <row r="16" spans="1:36" ht="330" x14ac:dyDescent="0.25">
      <c r="A16" s="46" t="str">
        <f t="shared" si="0"/>
        <v>BARRACT000436AUTOSERVICIOBPO</v>
      </c>
      <c r="B16" s="126" t="s">
        <v>3</v>
      </c>
      <c r="C16" s="126">
        <v>33000</v>
      </c>
      <c r="D16" s="126" t="s">
        <v>140</v>
      </c>
      <c r="E16" s="126" t="s">
        <v>177</v>
      </c>
      <c r="F16" s="127">
        <v>44537</v>
      </c>
      <c r="G16" s="126" t="s">
        <v>175</v>
      </c>
      <c r="H16" s="126" t="s">
        <v>176</v>
      </c>
      <c r="I16" s="126">
        <v>1</v>
      </c>
      <c r="J16" s="126" t="s">
        <v>183</v>
      </c>
      <c r="K16" s="126" t="s">
        <v>371</v>
      </c>
      <c r="L16" s="126" t="s">
        <v>1235</v>
      </c>
      <c r="M16" s="126">
        <v>0</v>
      </c>
      <c r="N16" s="126">
        <v>0</v>
      </c>
      <c r="O16" s="126" t="s">
        <v>471</v>
      </c>
      <c r="P16" s="126" t="s">
        <v>170</v>
      </c>
      <c r="Q16" s="126" t="s">
        <v>349</v>
      </c>
      <c r="R16" s="126" t="s">
        <v>349</v>
      </c>
      <c r="S16" s="126" t="s">
        <v>350</v>
      </c>
      <c r="T16" s="126" t="s">
        <v>160</v>
      </c>
      <c r="U16" s="126"/>
      <c r="V16" s="128">
        <v>1000000</v>
      </c>
      <c r="W16" s="128">
        <v>1000000</v>
      </c>
      <c r="X16" s="126" t="s">
        <v>1209</v>
      </c>
      <c r="Y16" s="126">
        <v>122368</v>
      </c>
      <c r="Z16" s="126">
        <v>0</v>
      </c>
      <c r="AA16" s="126" t="s">
        <v>0</v>
      </c>
      <c r="AB16" s="126" t="s">
        <v>161</v>
      </c>
      <c r="AC16" s="126" t="s">
        <v>165</v>
      </c>
      <c r="AD16" s="126"/>
      <c r="AE16" s="126"/>
      <c r="AF16" s="126"/>
      <c r="AG16" s="126"/>
      <c r="AH16" s="126" t="s">
        <v>371</v>
      </c>
      <c r="AI16" s="126" t="s">
        <v>1236</v>
      </c>
    </row>
    <row r="17" spans="1:35" ht="120" x14ac:dyDescent="0.25">
      <c r="A17" s="46" t="str">
        <f t="shared" si="0"/>
        <v>BARRCRD025017CADENASNUTRESA</v>
      </c>
      <c r="B17" s="126" t="s">
        <v>3</v>
      </c>
      <c r="C17" s="126">
        <v>33004</v>
      </c>
      <c r="D17" s="126" t="s">
        <v>140</v>
      </c>
      <c r="E17" s="126" t="s">
        <v>177</v>
      </c>
      <c r="F17" s="127">
        <v>44537</v>
      </c>
      <c r="G17" s="126" t="s">
        <v>175</v>
      </c>
      <c r="H17" s="126" t="s">
        <v>176</v>
      </c>
      <c r="I17" s="126">
        <v>1</v>
      </c>
      <c r="J17" s="126" t="s">
        <v>184</v>
      </c>
      <c r="K17" s="126" t="s">
        <v>371</v>
      </c>
      <c r="L17" s="126" t="s">
        <v>1237</v>
      </c>
      <c r="M17" s="126">
        <v>0</v>
      </c>
      <c r="N17" s="126">
        <v>14000358833</v>
      </c>
      <c r="O17" s="126" t="s">
        <v>472</v>
      </c>
      <c r="P17" s="126" t="s">
        <v>171</v>
      </c>
      <c r="Q17" s="126" t="s">
        <v>473</v>
      </c>
      <c r="R17" s="126" t="s">
        <v>473</v>
      </c>
      <c r="S17" s="126" t="s">
        <v>474</v>
      </c>
      <c r="T17" s="126" t="s">
        <v>160</v>
      </c>
      <c r="U17" s="126"/>
      <c r="V17" s="128">
        <v>1000000</v>
      </c>
      <c r="W17" s="128">
        <v>1000000</v>
      </c>
      <c r="X17" s="126" t="s">
        <v>1209</v>
      </c>
      <c r="Y17" s="126">
        <v>0</v>
      </c>
      <c r="Z17" s="126">
        <v>0</v>
      </c>
      <c r="AA17" s="126" t="s">
        <v>1</v>
      </c>
      <c r="AB17" s="126" t="s">
        <v>140</v>
      </c>
      <c r="AC17" s="126" t="s">
        <v>162</v>
      </c>
      <c r="AD17" s="126"/>
      <c r="AE17" s="126"/>
      <c r="AF17" s="126"/>
      <c r="AG17" s="126"/>
      <c r="AH17" s="126" t="s">
        <v>371</v>
      </c>
      <c r="AI17" s="126" t="s">
        <v>1238</v>
      </c>
    </row>
    <row r="18" spans="1:35" ht="375" x14ac:dyDescent="0.25">
      <c r="A18" s="46" t="str">
        <f t="shared" si="0"/>
        <v>BARRCRD024645TRADICIONALNUTRESA</v>
      </c>
      <c r="B18" s="126" t="s">
        <v>3</v>
      </c>
      <c r="C18" s="126">
        <v>33015</v>
      </c>
      <c r="D18" s="126" t="s">
        <v>140</v>
      </c>
      <c r="E18" s="126" t="s">
        <v>177</v>
      </c>
      <c r="F18" s="127">
        <v>44540</v>
      </c>
      <c r="G18" s="126" t="s">
        <v>175</v>
      </c>
      <c r="H18" s="126" t="s">
        <v>176</v>
      </c>
      <c r="I18" s="126">
        <v>1</v>
      </c>
      <c r="J18" s="126" t="s">
        <v>184</v>
      </c>
      <c r="K18" s="126" t="s">
        <v>371</v>
      </c>
      <c r="L18" s="126" t="s">
        <v>1239</v>
      </c>
      <c r="M18" s="126">
        <v>0</v>
      </c>
      <c r="N18" s="126">
        <v>0</v>
      </c>
      <c r="O18" s="126" t="s">
        <v>475</v>
      </c>
      <c r="P18" s="126" t="s">
        <v>171</v>
      </c>
      <c r="Q18" s="126" t="s">
        <v>476</v>
      </c>
      <c r="R18" s="126" t="s">
        <v>476</v>
      </c>
      <c r="S18" s="126" t="s">
        <v>477</v>
      </c>
      <c r="T18" s="126" t="s">
        <v>160</v>
      </c>
      <c r="U18" s="126"/>
      <c r="V18" s="128">
        <v>1200000000</v>
      </c>
      <c r="W18" s="128">
        <v>1200000000</v>
      </c>
      <c r="X18" s="126" t="s">
        <v>1209</v>
      </c>
      <c r="Y18" s="126">
        <v>0</v>
      </c>
      <c r="Z18" s="126">
        <v>0</v>
      </c>
      <c r="AA18" s="126" t="s">
        <v>2</v>
      </c>
      <c r="AB18" s="126" t="s">
        <v>140</v>
      </c>
      <c r="AC18" s="126" t="s">
        <v>162</v>
      </c>
      <c r="AD18" s="126"/>
      <c r="AE18" s="126"/>
      <c r="AF18" s="126"/>
      <c r="AG18" s="126"/>
      <c r="AH18" s="126" t="s">
        <v>371</v>
      </c>
      <c r="AI18" s="126" t="s">
        <v>1240</v>
      </c>
    </row>
    <row r="19" spans="1:35" ht="375" x14ac:dyDescent="0.25">
      <c r="A19" s="46" t="str">
        <f t="shared" si="0"/>
        <v>BARRCRD024647TRADICIONALNUTRESA</v>
      </c>
      <c r="B19" s="126" t="s">
        <v>3</v>
      </c>
      <c r="C19" s="126">
        <v>33015</v>
      </c>
      <c r="D19" s="126" t="s">
        <v>140</v>
      </c>
      <c r="E19" s="126" t="s">
        <v>177</v>
      </c>
      <c r="F19" s="127">
        <v>44540</v>
      </c>
      <c r="G19" s="126" t="s">
        <v>175</v>
      </c>
      <c r="H19" s="126" t="s">
        <v>176</v>
      </c>
      <c r="I19" s="126">
        <v>1</v>
      </c>
      <c r="J19" s="126" t="s">
        <v>184</v>
      </c>
      <c r="K19" s="126" t="s">
        <v>371</v>
      </c>
      <c r="L19" s="126" t="s">
        <v>1239</v>
      </c>
      <c r="M19" s="126">
        <v>0</v>
      </c>
      <c r="N19" s="126">
        <v>0</v>
      </c>
      <c r="O19" s="126" t="s">
        <v>475</v>
      </c>
      <c r="P19" s="126" t="s">
        <v>171</v>
      </c>
      <c r="Q19" s="126" t="s">
        <v>480</v>
      </c>
      <c r="R19" s="126" t="s">
        <v>480</v>
      </c>
      <c r="S19" s="126" t="s">
        <v>481</v>
      </c>
      <c r="T19" s="126" t="s">
        <v>160</v>
      </c>
      <c r="U19" s="126"/>
      <c r="V19" s="128">
        <v>1198000000</v>
      </c>
      <c r="W19" s="128">
        <v>1198000000</v>
      </c>
      <c r="X19" s="126" t="s">
        <v>1209</v>
      </c>
      <c r="Y19" s="126">
        <v>0</v>
      </c>
      <c r="Z19" s="126">
        <v>0</v>
      </c>
      <c r="AA19" s="126" t="s">
        <v>2</v>
      </c>
      <c r="AB19" s="126" t="s">
        <v>140</v>
      </c>
      <c r="AC19" s="126" t="s">
        <v>162</v>
      </c>
      <c r="AD19" s="126"/>
      <c r="AE19" s="126"/>
      <c r="AF19" s="126"/>
      <c r="AG19" s="126"/>
      <c r="AH19" s="126" t="s">
        <v>371</v>
      </c>
      <c r="AI19" s="126" t="s">
        <v>1241</v>
      </c>
    </row>
    <row r="20" spans="1:35" ht="375" x14ac:dyDescent="0.25">
      <c r="A20" s="46" t="str">
        <f t="shared" si="0"/>
        <v>BARRCRD024644TRADICIONALNUTRESA</v>
      </c>
      <c r="B20" s="126" t="s">
        <v>3</v>
      </c>
      <c r="C20" s="126">
        <v>33015</v>
      </c>
      <c r="D20" s="126" t="s">
        <v>140</v>
      </c>
      <c r="E20" s="126" t="s">
        <v>177</v>
      </c>
      <c r="F20" s="127">
        <v>44540</v>
      </c>
      <c r="G20" s="126" t="s">
        <v>175</v>
      </c>
      <c r="H20" s="126" t="s">
        <v>176</v>
      </c>
      <c r="I20" s="126">
        <v>1</v>
      </c>
      <c r="J20" s="126" t="s">
        <v>184</v>
      </c>
      <c r="K20" s="126" t="s">
        <v>371</v>
      </c>
      <c r="L20" s="126" t="s">
        <v>1239</v>
      </c>
      <c r="M20" s="126">
        <v>0</v>
      </c>
      <c r="N20" s="126">
        <v>0</v>
      </c>
      <c r="O20" s="126" t="s">
        <v>475</v>
      </c>
      <c r="P20" s="126" t="s">
        <v>171</v>
      </c>
      <c r="Q20" s="126" t="s">
        <v>478</v>
      </c>
      <c r="R20" s="126" t="s">
        <v>478</v>
      </c>
      <c r="S20" s="126" t="s">
        <v>479</v>
      </c>
      <c r="T20" s="126" t="s">
        <v>160</v>
      </c>
      <c r="U20" s="126"/>
      <c r="V20" s="128">
        <v>1200000000</v>
      </c>
      <c r="W20" s="128">
        <v>1200000000</v>
      </c>
      <c r="X20" s="126" t="s">
        <v>1209</v>
      </c>
      <c r="Y20" s="126">
        <v>0</v>
      </c>
      <c r="Z20" s="126">
        <v>0</v>
      </c>
      <c r="AA20" s="126" t="s">
        <v>2</v>
      </c>
      <c r="AB20" s="126" t="s">
        <v>140</v>
      </c>
      <c r="AC20" s="126" t="s">
        <v>162</v>
      </c>
      <c r="AD20" s="126"/>
      <c r="AE20" s="126"/>
      <c r="AF20" s="126"/>
      <c r="AG20" s="126"/>
      <c r="AH20" s="126" t="s">
        <v>371</v>
      </c>
      <c r="AI20" s="126" t="s">
        <v>1242</v>
      </c>
    </row>
    <row r="21" spans="1:35" ht="375" x14ac:dyDescent="0.25">
      <c r="A21" s="46" t="str">
        <f t="shared" si="0"/>
        <v>BARRCRD024646TRADICIONALNUTRESA</v>
      </c>
      <c r="B21" s="126" t="s">
        <v>3</v>
      </c>
      <c r="C21" s="126">
        <v>33015</v>
      </c>
      <c r="D21" s="126" t="s">
        <v>140</v>
      </c>
      <c r="E21" s="126" t="s">
        <v>177</v>
      </c>
      <c r="F21" s="127">
        <v>44540</v>
      </c>
      <c r="G21" s="126" t="s">
        <v>175</v>
      </c>
      <c r="H21" s="126" t="s">
        <v>176</v>
      </c>
      <c r="I21" s="126">
        <v>1</v>
      </c>
      <c r="J21" s="126" t="s">
        <v>184</v>
      </c>
      <c r="K21" s="126" t="s">
        <v>371</v>
      </c>
      <c r="L21" s="126" t="s">
        <v>1239</v>
      </c>
      <c r="M21" s="126">
        <v>0</v>
      </c>
      <c r="N21" s="126">
        <v>0</v>
      </c>
      <c r="O21" s="126" t="s">
        <v>475</v>
      </c>
      <c r="P21" s="126" t="s">
        <v>171</v>
      </c>
      <c r="Q21" s="126" t="s">
        <v>482</v>
      </c>
      <c r="R21" s="126" t="s">
        <v>482</v>
      </c>
      <c r="S21" s="126" t="s">
        <v>483</v>
      </c>
      <c r="T21" s="126" t="s">
        <v>160</v>
      </c>
      <c r="U21" s="126"/>
      <c r="V21" s="128">
        <v>1200000000</v>
      </c>
      <c r="W21" s="128">
        <v>1200000000</v>
      </c>
      <c r="X21" s="126" t="s">
        <v>1209</v>
      </c>
      <c r="Y21" s="126">
        <v>0</v>
      </c>
      <c r="Z21" s="126">
        <v>0</v>
      </c>
      <c r="AA21" s="126" t="s">
        <v>2</v>
      </c>
      <c r="AB21" s="126" t="s">
        <v>140</v>
      </c>
      <c r="AC21" s="126" t="s">
        <v>162</v>
      </c>
      <c r="AD21" s="126"/>
      <c r="AE21" s="126"/>
      <c r="AF21" s="126"/>
      <c r="AG21" s="126"/>
      <c r="AH21" s="126" t="s">
        <v>371</v>
      </c>
      <c r="AI21" s="126" t="s">
        <v>1243</v>
      </c>
    </row>
    <row r="22" spans="1:35" ht="150" x14ac:dyDescent="0.25">
      <c r="A22" s="46" t="str">
        <f t="shared" si="0"/>
        <v>BARRCRD025004TRADICIONALNUTRESA</v>
      </c>
      <c r="B22" s="126" t="s">
        <v>3</v>
      </c>
      <c r="C22" s="126">
        <v>33016</v>
      </c>
      <c r="D22" s="126" t="s">
        <v>140</v>
      </c>
      <c r="E22" s="126" t="s">
        <v>177</v>
      </c>
      <c r="F22" s="127">
        <v>44540</v>
      </c>
      <c r="G22" s="126" t="s">
        <v>175</v>
      </c>
      <c r="H22" s="126" t="s">
        <v>176</v>
      </c>
      <c r="I22" s="126">
        <v>1</v>
      </c>
      <c r="J22" s="126" t="s">
        <v>184</v>
      </c>
      <c r="K22" s="126" t="s">
        <v>371</v>
      </c>
      <c r="L22" s="126" t="s">
        <v>1244</v>
      </c>
      <c r="M22" s="126">
        <v>0</v>
      </c>
      <c r="N22" s="126">
        <v>648650666</v>
      </c>
      <c r="O22" s="126" t="s">
        <v>484</v>
      </c>
      <c r="P22" s="126" t="s">
        <v>171</v>
      </c>
      <c r="Q22" s="126" t="s">
        <v>485</v>
      </c>
      <c r="R22" s="126" t="s">
        <v>485</v>
      </c>
      <c r="S22" s="126" t="s">
        <v>1245</v>
      </c>
      <c r="T22" s="126" t="s">
        <v>160</v>
      </c>
      <c r="U22" s="126"/>
      <c r="V22" s="128">
        <v>53000000</v>
      </c>
      <c r="W22" s="128">
        <v>53000000</v>
      </c>
      <c r="X22" s="126" t="s">
        <v>1209</v>
      </c>
      <c r="Y22" s="126">
        <v>0</v>
      </c>
      <c r="Z22" s="126">
        <v>0</v>
      </c>
      <c r="AA22" s="126" t="s">
        <v>2</v>
      </c>
      <c r="AB22" s="126" t="s">
        <v>140</v>
      </c>
      <c r="AC22" s="126" t="s">
        <v>162</v>
      </c>
      <c r="AD22" s="126"/>
      <c r="AE22" s="126"/>
      <c r="AF22" s="126"/>
      <c r="AG22" s="126"/>
      <c r="AH22" s="126" t="s">
        <v>371</v>
      </c>
      <c r="AI22" s="126" t="s">
        <v>1246</v>
      </c>
    </row>
    <row r="23" spans="1:35" ht="150" x14ac:dyDescent="0.25">
      <c r="A23" s="46" t="str">
        <f t="shared" si="0"/>
        <v>BARRCRD025001AUTOSERVICIONUTRESA</v>
      </c>
      <c r="B23" s="126" t="s">
        <v>3</v>
      </c>
      <c r="C23" s="126">
        <v>33057</v>
      </c>
      <c r="D23" s="126" t="s">
        <v>140</v>
      </c>
      <c r="E23" s="126" t="s">
        <v>177</v>
      </c>
      <c r="F23" s="127">
        <v>44543</v>
      </c>
      <c r="G23" s="126" t="s">
        <v>175</v>
      </c>
      <c r="H23" s="126" t="s">
        <v>176</v>
      </c>
      <c r="I23" s="126">
        <v>1</v>
      </c>
      <c r="J23" s="126" t="s">
        <v>184</v>
      </c>
      <c r="K23" s="126" t="s">
        <v>371</v>
      </c>
      <c r="L23" s="126" t="s">
        <v>1247</v>
      </c>
      <c r="M23" s="126">
        <v>0</v>
      </c>
      <c r="N23" s="126">
        <v>52800017818</v>
      </c>
      <c r="O23" s="126" t="s">
        <v>1248</v>
      </c>
      <c r="P23" s="126" t="s">
        <v>171</v>
      </c>
      <c r="Q23" s="126" t="s">
        <v>489</v>
      </c>
      <c r="R23" s="126" t="s">
        <v>489</v>
      </c>
      <c r="S23" s="126" t="s">
        <v>490</v>
      </c>
      <c r="T23" s="126" t="s">
        <v>160</v>
      </c>
      <c r="U23" s="126"/>
      <c r="V23" s="128">
        <v>20000000</v>
      </c>
      <c r="W23" s="128">
        <v>20000000</v>
      </c>
      <c r="X23" s="126" t="s">
        <v>1209</v>
      </c>
      <c r="Y23" s="126">
        <v>0</v>
      </c>
      <c r="Z23" s="126">
        <v>0</v>
      </c>
      <c r="AA23" s="126" t="s">
        <v>0</v>
      </c>
      <c r="AB23" s="126" t="s">
        <v>140</v>
      </c>
      <c r="AC23" s="126" t="s">
        <v>162</v>
      </c>
      <c r="AD23" s="126"/>
      <c r="AE23" s="126"/>
      <c r="AF23" s="126"/>
      <c r="AG23" s="126"/>
      <c r="AH23" s="126" t="s">
        <v>371</v>
      </c>
      <c r="AI23" s="126" t="s">
        <v>1249</v>
      </c>
    </row>
    <row r="24" spans="1:35" ht="150" x14ac:dyDescent="0.25">
      <c r="A24" s="46" t="str">
        <f t="shared" si="0"/>
        <v>BARRCRD025002AUTOSERVICIONUTRESA</v>
      </c>
      <c r="B24" s="126" t="s">
        <v>3</v>
      </c>
      <c r="C24" s="126">
        <v>33057</v>
      </c>
      <c r="D24" s="126" t="s">
        <v>140</v>
      </c>
      <c r="E24" s="126" t="s">
        <v>177</v>
      </c>
      <c r="F24" s="127">
        <v>44543</v>
      </c>
      <c r="G24" s="126" t="s">
        <v>175</v>
      </c>
      <c r="H24" s="126" t="s">
        <v>176</v>
      </c>
      <c r="I24" s="126">
        <v>1</v>
      </c>
      <c r="J24" s="126" t="s">
        <v>184</v>
      </c>
      <c r="K24" s="126" t="s">
        <v>371</v>
      </c>
      <c r="L24" s="126" t="s">
        <v>1247</v>
      </c>
      <c r="M24" s="126">
        <v>0</v>
      </c>
      <c r="N24" s="126">
        <v>52800017818</v>
      </c>
      <c r="O24" s="126" t="s">
        <v>1248</v>
      </c>
      <c r="P24" s="126" t="s">
        <v>171</v>
      </c>
      <c r="Q24" s="126" t="s">
        <v>491</v>
      </c>
      <c r="R24" s="126" t="s">
        <v>491</v>
      </c>
      <c r="S24" s="126" t="s">
        <v>492</v>
      </c>
      <c r="T24" s="126" t="s">
        <v>160</v>
      </c>
      <c r="U24" s="126"/>
      <c r="V24" s="128">
        <v>20000000</v>
      </c>
      <c r="W24" s="128">
        <v>20000000</v>
      </c>
      <c r="X24" s="126" t="s">
        <v>1209</v>
      </c>
      <c r="Y24" s="126">
        <v>0</v>
      </c>
      <c r="Z24" s="126">
        <v>0</v>
      </c>
      <c r="AA24" s="126" t="s">
        <v>0</v>
      </c>
      <c r="AB24" s="126" t="s">
        <v>140</v>
      </c>
      <c r="AC24" s="126" t="s">
        <v>162</v>
      </c>
      <c r="AD24" s="126"/>
      <c r="AE24" s="126"/>
      <c r="AF24" s="126"/>
      <c r="AG24" s="126"/>
      <c r="AH24" s="126" t="s">
        <v>371</v>
      </c>
      <c r="AI24" s="126" t="s">
        <v>1250</v>
      </c>
    </row>
    <row r="25" spans="1:35" ht="150" x14ac:dyDescent="0.25">
      <c r="A25" s="46" t="str">
        <f t="shared" si="0"/>
        <v>BARRCRD025008TRADICIONALNUTRESA</v>
      </c>
      <c r="B25" s="126" t="s">
        <v>3</v>
      </c>
      <c r="C25" s="126">
        <v>33057</v>
      </c>
      <c r="D25" s="126" t="s">
        <v>140</v>
      </c>
      <c r="E25" s="126" t="s">
        <v>177</v>
      </c>
      <c r="F25" s="127">
        <v>44543</v>
      </c>
      <c r="G25" s="126" t="s">
        <v>175</v>
      </c>
      <c r="H25" s="126" t="s">
        <v>176</v>
      </c>
      <c r="I25" s="126">
        <v>1</v>
      </c>
      <c r="J25" s="126" t="s">
        <v>184</v>
      </c>
      <c r="K25" s="126" t="s">
        <v>371</v>
      </c>
      <c r="L25" s="126" t="s">
        <v>1247</v>
      </c>
      <c r="M25" s="126">
        <v>0</v>
      </c>
      <c r="N25" s="126">
        <v>52800017818</v>
      </c>
      <c r="O25" s="126" t="s">
        <v>1248</v>
      </c>
      <c r="P25" s="126" t="s">
        <v>171</v>
      </c>
      <c r="Q25" s="126" t="s">
        <v>486</v>
      </c>
      <c r="R25" s="126" t="s">
        <v>486</v>
      </c>
      <c r="S25" s="126" t="s">
        <v>1251</v>
      </c>
      <c r="T25" s="126" t="s">
        <v>160</v>
      </c>
      <c r="U25" s="126"/>
      <c r="V25" s="128">
        <v>2000000000</v>
      </c>
      <c r="W25" s="128">
        <v>2000000000</v>
      </c>
      <c r="X25" s="126" t="s">
        <v>1209</v>
      </c>
      <c r="Y25" s="126">
        <v>0</v>
      </c>
      <c r="Z25" s="126">
        <v>0</v>
      </c>
      <c r="AA25" s="126" t="s">
        <v>2</v>
      </c>
      <c r="AB25" s="126" t="s">
        <v>140</v>
      </c>
      <c r="AC25" s="126" t="s">
        <v>162</v>
      </c>
      <c r="AD25" s="126"/>
      <c r="AE25" s="126"/>
      <c r="AF25" s="126"/>
      <c r="AG25" s="126"/>
      <c r="AH25" s="126" t="s">
        <v>371</v>
      </c>
      <c r="AI25" s="126" t="s">
        <v>1252</v>
      </c>
    </row>
    <row r="26" spans="1:35" ht="150" x14ac:dyDescent="0.25">
      <c r="A26" s="46" t="str">
        <f t="shared" si="0"/>
        <v>BARRCRD025009TRADICIONALNUTRESA</v>
      </c>
      <c r="B26" s="126" t="s">
        <v>3</v>
      </c>
      <c r="C26" s="126">
        <v>33057</v>
      </c>
      <c r="D26" s="126" t="s">
        <v>140</v>
      </c>
      <c r="E26" s="126" t="s">
        <v>177</v>
      </c>
      <c r="F26" s="127">
        <v>44543</v>
      </c>
      <c r="G26" s="126" t="s">
        <v>175</v>
      </c>
      <c r="H26" s="126" t="s">
        <v>176</v>
      </c>
      <c r="I26" s="126">
        <v>1</v>
      </c>
      <c r="J26" s="126" t="s">
        <v>184</v>
      </c>
      <c r="K26" s="126" t="s">
        <v>371</v>
      </c>
      <c r="L26" s="126" t="s">
        <v>1247</v>
      </c>
      <c r="M26" s="126">
        <v>0</v>
      </c>
      <c r="N26" s="126">
        <v>52800017818</v>
      </c>
      <c r="O26" s="126" t="s">
        <v>1248</v>
      </c>
      <c r="P26" s="126" t="s">
        <v>171</v>
      </c>
      <c r="Q26" s="126" t="s">
        <v>487</v>
      </c>
      <c r="R26" s="126" t="s">
        <v>487</v>
      </c>
      <c r="S26" s="126" t="s">
        <v>1253</v>
      </c>
      <c r="T26" s="126" t="s">
        <v>160</v>
      </c>
      <c r="U26" s="126"/>
      <c r="V26" s="128">
        <v>1400000000</v>
      </c>
      <c r="W26" s="128">
        <v>1400000000</v>
      </c>
      <c r="X26" s="126" t="s">
        <v>1209</v>
      </c>
      <c r="Y26" s="126">
        <v>0</v>
      </c>
      <c r="Z26" s="126">
        <v>0</v>
      </c>
      <c r="AA26" s="126" t="s">
        <v>2</v>
      </c>
      <c r="AB26" s="126" t="s">
        <v>140</v>
      </c>
      <c r="AC26" s="126" t="s">
        <v>162</v>
      </c>
      <c r="AD26" s="126"/>
      <c r="AE26" s="126"/>
      <c r="AF26" s="126"/>
      <c r="AG26" s="126"/>
      <c r="AH26" s="126" t="s">
        <v>371</v>
      </c>
      <c r="AI26" s="126" t="s">
        <v>1254</v>
      </c>
    </row>
    <row r="27" spans="1:35" ht="150" x14ac:dyDescent="0.25">
      <c r="A27" s="46" t="str">
        <f t="shared" si="0"/>
        <v>BARRCRD025010TRADICIONALNUTRESA</v>
      </c>
      <c r="B27" s="126" t="s">
        <v>3</v>
      </c>
      <c r="C27" s="126">
        <v>33057</v>
      </c>
      <c r="D27" s="126" t="s">
        <v>140</v>
      </c>
      <c r="E27" s="126" t="s">
        <v>177</v>
      </c>
      <c r="F27" s="127">
        <v>44543</v>
      </c>
      <c r="G27" s="126" t="s">
        <v>175</v>
      </c>
      <c r="H27" s="126" t="s">
        <v>176</v>
      </c>
      <c r="I27" s="126">
        <v>1</v>
      </c>
      <c r="J27" s="126" t="s">
        <v>184</v>
      </c>
      <c r="K27" s="126" t="s">
        <v>371</v>
      </c>
      <c r="L27" s="126" t="s">
        <v>1247</v>
      </c>
      <c r="M27" s="126">
        <v>0</v>
      </c>
      <c r="N27" s="126">
        <v>52800017818</v>
      </c>
      <c r="O27" s="126" t="s">
        <v>1248</v>
      </c>
      <c r="P27" s="126" t="s">
        <v>171</v>
      </c>
      <c r="Q27" s="126" t="s">
        <v>488</v>
      </c>
      <c r="R27" s="126" t="s">
        <v>488</v>
      </c>
      <c r="S27" s="126" t="s">
        <v>1255</v>
      </c>
      <c r="T27" s="126" t="s">
        <v>160</v>
      </c>
      <c r="U27" s="126"/>
      <c r="V27" s="128">
        <v>1000000000</v>
      </c>
      <c r="W27" s="128">
        <v>1000000000</v>
      </c>
      <c r="X27" s="126" t="s">
        <v>1209</v>
      </c>
      <c r="Y27" s="126">
        <v>0</v>
      </c>
      <c r="Z27" s="126">
        <v>0</v>
      </c>
      <c r="AA27" s="126" t="s">
        <v>2</v>
      </c>
      <c r="AB27" s="126" t="s">
        <v>140</v>
      </c>
      <c r="AC27" s="126" t="s">
        <v>162</v>
      </c>
      <c r="AD27" s="126"/>
      <c r="AE27" s="126"/>
      <c r="AF27" s="126"/>
      <c r="AG27" s="126"/>
      <c r="AH27" s="126" t="s">
        <v>371</v>
      </c>
      <c r="AI27" s="126" t="s">
        <v>1256</v>
      </c>
    </row>
    <row r="28" spans="1:35" ht="375" x14ac:dyDescent="0.25">
      <c r="A28" s="46" t="str">
        <f t="shared" si="0"/>
        <v>BARRCRD024643TRADICIONALNUTRESA</v>
      </c>
      <c r="B28" s="126" t="s">
        <v>3</v>
      </c>
      <c r="C28" s="126">
        <v>33059</v>
      </c>
      <c r="D28" s="126" t="s">
        <v>140</v>
      </c>
      <c r="E28" s="126" t="s">
        <v>177</v>
      </c>
      <c r="F28" s="127">
        <v>44544</v>
      </c>
      <c r="G28" s="126" t="s">
        <v>175</v>
      </c>
      <c r="H28" s="126" t="s">
        <v>176</v>
      </c>
      <c r="I28" s="126">
        <v>1</v>
      </c>
      <c r="J28" s="126" t="s">
        <v>184</v>
      </c>
      <c r="K28" s="126" t="s">
        <v>371</v>
      </c>
      <c r="L28" s="126" t="s">
        <v>1257</v>
      </c>
      <c r="M28" s="126">
        <v>0</v>
      </c>
      <c r="N28" s="126">
        <v>331730749</v>
      </c>
      <c r="O28" s="126" t="s">
        <v>1258</v>
      </c>
      <c r="P28" s="126" t="s">
        <v>171</v>
      </c>
      <c r="Q28" s="126" t="s">
        <v>493</v>
      </c>
      <c r="R28" s="126" t="s">
        <v>493</v>
      </c>
      <c r="S28" s="126" t="s">
        <v>494</v>
      </c>
      <c r="T28" s="126" t="s">
        <v>160</v>
      </c>
      <c r="U28" s="126"/>
      <c r="V28" s="128">
        <v>1196000000</v>
      </c>
      <c r="W28" s="128">
        <v>1196000000</v>
      </c>
      <c r="X28" s="126" t="s">
        <v>1209</v>
      </c>
      <c r="Y28" s="126">
        <v>0</v>
      </c>
      <c r="Z28" s="126">
        <v>0</v>
      </c>
      <c r="AA28" s="126" t="s">
        <v>2</v>
      </c>
      <c r="AB28" s="126" t="s">
        <v>140</v>
      </c>
      <c r="AC28" s="126" t="s">
        <v>162</v>
      </c>
      <c r="AD28" s="126"/>
      <c r="AE28" s="126"/>
      <c r="AF28" s="126"/>
      <c r="AG28" s="126"/>
      <c r="AH28" s="126" t="s">
        <v>371</v>
      </c>
      <c r="AI28" s="126" t="s">
        <v>1259</v>
      </c>
    </row>
    <row r="29" spans="1:35" ht="105" x14ac:dyDescent="0.25">
      <c r="A29" s="46" t="str">
        <f t="shared" si="0"/>
        <v>BARRCRD024847CADENASBPO</v>
      </c>
      <c r="B29" s="126" t="s">
        <v>3</v>
      </c>
      <c r="C29" s="126">
        <v>33087</v>
      </c>
      <c r="D29" s="126" t="s">
        <v>140</v>
      </c>
      <c r="E29" s="126" t="s">
        <v>177</v>
      </c>
      <c r="F29" s="127">
        <v>44545</v>
      </c>
      <c r="G29" s="126" t="s">
        <v>175</v>
      </c>
      <c r="H29" s="126" t="s">
        <v>176</v>
      </c>
      <c r="I29" s="126">
        <v>1</v>
      </c>
      <c r="J29" s="126" t="s">
        <v>184</v>
      </c>
      <c r="K29" s="126" t="s">
        <v>371</v>
      </c>
      <c r="L29" s="126" t="s">
        <v>1260</v>
      </c>
      <c r="M29" s="126">
        <v>0</v>
      </c>
      <c r="N29" s="126">
        <v>0</v>
      </c>
      <c r="O29" s="126" t="s">
        <v>761</v>
      </c>
      <c r="P29" s="126" t="s">
        <v>171</v>
      </c>
      <c r="Q29" s="126" t="s">
        <v>380</v>
      </c>
      <c r="R29" s="126" t="s">
        <v>380</v>
      </c>
      <c r="S29" s="126" t="s">
        <v>381</v>
      </c>
      <c r="T29" s="126" t="s">
        <v>160</v>
      </c>
      <c r="U29" s="126"/>
      <c r="V29" s="128">
        <v>28000000</v>
      </c>
      <c r="W29" s="128">
        <v>28000000</v>
      </c>
      <c r="X29" s="126" t="s">
        <v>1209</v>
      </c>
      <c r="Y29" s="126">
        <v>0</v>
      </c>
      <c r="Z29" s="126">
        <v>0</v>
      </c>
      <c r="AA29" s="126" t="s">
        <v>1</v>
      </c>
      <c r="AB29" s="126" t="s">
        <v>161</v>
      </c>
      <c r="AC29" s="126" t="s">
        <v>162</v>
      </c>
      <c r="AD29" s="126"/>
      <c r="AE29" s="126"/>
      <c r="AF29" s="126"/>
      <c r="AG29" s="126"/>
      <c r="AH29" s="126" t="s">
        <v>371</v>
      </c>
      <c r="AI29" s="126" t="s">
        <v>1261</v>
      </c>
    </row>
    <row r="30" spans="1:35" ht="105" x14ac:dyDescent="0.25">
      <c r="A30" s="46" t="str">
        <f t="shared" si="0"/>
        <v>BARRCRD024262CADENASBPO</v>
      </c>
      <c r="B30" s="126" t="s">
        <v>3</v>
      </c>
      <c r="C30" s="126">
        <v>33087</v>
      </c>
      <c r="D30" s="126" t="s">
        <v>140</v>
      </c>
      <c r="E30" s="126" t="s">
        <v>177</v>
      </c>
      <c r="F30" s="127">
        <v>44545</v>
      </c>
      <c r="G30" s="126" t="s">
        <v>175</v>
      </c>
      <c r="H30" s="126" t="s">
        <v>176</v>
      </c>
      <c r="I30" s="126">
        <v>1</v>
      </c>
      <c r="J30" s="126" t="s">
        <v>184</v>
      </c>
      <c r="K30" s="126" t="s">
        <v>371</v>
      </c>
      <c r="L30" s="126" t="s">
        <v>1260</v>
      </c>
      <c r="M30" s="126">
        <v>0</v>
      </c>
      <c r="N30" s="126">
        <v>0</v>
      </c>
      <c r="O30" s="126" t="s">
        <v>761</v>
      </c>
      <c r="P30" s="126" t="s">
        <v>168</v>
      </c>
      <c r="Q30" s="126" t="s">
        <v>284</v>
      </c>
      <c r="R30" s="126" t="s">
        <v>284</v>
      </c>
      <c r="S30" s="126" t="s">
        <v>285</v>
      </c>
      <c r="T30" s="126" t="s">
        <v>160</v>
      </c>
      <c r="U30" s="126"/>
      <c r="V30" s="128">
        <v>7000000</v>
      </c>
      <c r="W30" s="128">
        <v>7000000</v>
      </c>
      <c r="X30" s="126" t="s">
        <v>1209</v>
      </c>
      <c r="Y30" s="126">
        <v>0</v>
      </c>
      <c r="Z30" s="126">
        <v>0</v>
      </c>
      <c r="AA30" s="126" t="s">
        <v>1</v>
      </c>
      <c r="AB30" s="126" t="s">
        <v>161</v>
      </c>
      <c r="AC30" s="126" t="s">
        <v>162</v>
      </c>
      <c r="AD30" s="126"/>
      <c r="AE30" s="126"/>
      <c r="AF30" s="126"/>
      <c r="AG30" s="126"/>
      <c r="AH30" s="126" t="s">
        <v>371</v>
      </c>
      <c r="AI30" s="126" t="s">
        <v>1262</v>
      </c>
    </row>
    <row r="31" spans="1:35" ht="120" x14ac:dyDescent="0.25">
      <c r="A31" s="46" t="str">
        <f t="shared" si="0"/>
        <v>BARRCRD024971TRADICIONALNUTRESA</v>
      </c>
      <c r="B31" s="126" t="s">
        <v>3</v>
      </c>
      <c r="C31" s="126">
        <v>33093</v>
      </c>
      <c r="D31" s="126" t="s">
        <v>140</v>
      </c>
      <c r="E31" s="126" t="s">
        <v>177</v>
      </c>
      <c r="F31" s="127">
        <v>44545</v>
      </c>
      <c r="G31" s="126" t="s">
        <v>175</v>
      </c>
      <c r="H31" s="126" t="s">
        <v>176</v>
      </c>
      <c r="I31" s="126">
        <v>1</v>
      </c>
      <c r="J31" s="126" t="s">
        <v>184</v>
      </c>
      <c r="K31" s="126" t="s">
        <v>371</v>
      </c>
      <c r="L31" s="126" t="s">
        <v>1263</v>
      </c>
      <c r="M31" s="126">
        <v>0</v>
      </c>
      <c r="N31" s="126">
        <v>300002736835</v>
      </c>
      <c r="O31" s="126" t="s">
        <v>762</v>
      </c>
      <c r="P31" s="126" t="s">
        <v>170</v>
      </c>
      <c r="Q31" s="126" t="s">
        <v>555</v>
      </c>
      <c r="R31" s="126" t="s">
        <v>555</v>
      </c>
      <c r="S31" s="126" t="s">
        <v>556</v>
      </c>
      <c r="T31" s="126" t="s">
        <v>160</v>
      </c>
      <c r="U31" s="126"/>
      <c r="V31" s="128">
        <v>348000000</v>
      </c>
      <c r="W31" s="128">
        <v>348000000</v>
      </c>
      <c r="X31" s="126" t="s">
        <v>1209</v>
      </c>
      <c r="Y31" s="126">
        <v>0</v>
      </c>
      <c r="Z31" s="126">
        <v>0</v>
      </c>
      <c r="AA31" s="126" t="s">
        <v>2</v>
      </c>
      <c r="AB31" s="126" t="s">
        <v>140</v>
      </c>
      <c r="AC31" s="126" t="s">
        <v>162</v>
      </c>
      <c r="AD31" s="126"/>
      <c r="AE31" s="126"/>
      <c r="AF31" s="126"/>
      <c r="AG31" s="126"/>
      <c r="AH31" s="126" t="s">
        <v>371</v>
      </c>
      <c r="AI31" s="126" t="s">
        <v>1264</v>
      </c>
    </row>
    <row r="32" spans="1:35" ht="150" x14ac:dyDescent="0.25">
      <c r="A32" s="46" t="str">
        <f t="shared" si="0"/>
        <v>BARRCRD025006TRADICIONALNUTRESA</v>
      </c>
      <c r="B32" s="126" t="s">
        <v>3</v>
      </c>
      <c r="C32" s="126">
        <v>33097</v>
      </c>
      <c r="D32" s="126" t="s">
        <v>140</v>
      </c>
      <c r="E32" s="126" t="s">
        <v>177</v>
      </c>
      <c r="F32" s="127">
        <v>44545</v>
      </c>
      <c r="G32" s="126" t="s">
        <v>175</v>
      </c>
      <c r="H32" s="126" t="s">
        <v>176</v>
      </c>
      <c r="I32" s="126">
        <v>1</v>
      </c>
      <c r="J32" s="126" t="s">
        <v>184</v>
      </c>
      <c r="K32" s="126" t="s">
        <v>371</v>
      </c>
      <c r="L32" s="126" t="s">
        <v>1265</v>
      </c>
      <c r="M32" s="126">
        <v>0</v>
      </c>
      <c r="N32" s="126">
        <v>348650869</v>
      </c>
      <c r="O32" s="126" t="s">
        <v>763</v>
      </c>
      <c r="P32" s="126" t="s">
        <v>171</v>
      </c>
      <c r="Q32" s="126" t="s">
        <v>579</v>
      </c>
      <c r="R32" s="126" t="s">
        <v>579</v>
      </c>
      <c r="S32" s="126" t="s">
        <v>1266</v>
      </c>
      <c r="T32" s="126" t="s">
        <v>160</v>
      </c>
      <c r="U32" s="126"/>
      <c r="V32" s="128">
        <v>53000000</v>
      </c>
      <c r="W32" s="128">
        <v>53000000</v>
      </c>
      <c r="X32" s="126" t="s">
        <v>1209</v>
      </c>
      <c r="Y32" s="126">
        <v>0</v>
      </c>
      <c r="Z32" s="126">
        <v>0</v>
      </c>
      <c r="AA32" s="126" t="s">
        <v>2</v>
      </c>
      <c r="AB32" s="126" t="s">
        <v>140</v>
      </c>
      <c r="AC32" s="126" t="s">
        <v>162</v>
      </c>
      <c r="AD32" s="126"/>
      <c r="AE32" s="126"/>
      <c r="AF32" s="126"/>
      <c r="AG32" s="126"/>
      <c r="AH32" s="126" t="s">
        <v>371</v>
      </c>
      <c r="AI32" s="126" t="s">
        <v>1267</v>
      </c>
    </row>
    <row r="33" spans="1:35" ht="210" x14ac:dyDescent="0.25">
      <c r="A33" s="46" t="str">
        <f t="shared" si="0"/>
        <v>BARRCRD020181CADENASBPO</v>
      </c>
      <c r="B33" s="126" t="s">
        <v>3</v>
      </c>
      <c r="C33" s="126">
        <v>33116</v>
      </c>
      <c r="D33" s="126" t="s">
        <v>140</v>
      </c>
      <c r="E33" s="126" t="s">
        <v>177</v>
      </c>
      <c r="F33" s="127">
        <v>44547</v>
      </c>
      <c r="G33" s="126" t="s">
        <v>175</v>
      </c>
      <c r="H33" s="126" t="s">
        <v>176</v>
      </c>
      <c r="I33" s="126">
        <v>1</v>
      </c>
      <c r="J33" s="126" t="s">
        <v>183</v>
      </c>
      <c r="K33" s="126" t="s">
        <v>371</v>
      </c>
      <c r="L33" s="126" t="s">
        <v>1268</v>
      </c>
      <c r="M33" s="126">
        <v>0</v>
      </c>
      <c r="N33" s="126">
        <v>0</v>
      </c>
      <c r="O33" s="126" t="s">
        <v>1269</v>
      </c>
      <c r="P33" s="126" t="s">
        <v>171</v>
      </c>
      <c r="Q33" s="126" t="s">
        <v>323</v>
      </c>
      <c r="R33" s="126" t="s">
        <v>323</v>
      </c>
      <c r="S33" s="126" t="s">
        <v>1270</v>
      </c>
      <c r="T33" s="126" t="s">
        <v>160</v>
      </c>
      <c r="U33" s="126"/>
      <c r="V33" s="128">
        <v>1000000</v>
      </c>
      <c r="W33" s="128">
        <v>1000000</v>
      </c>
      <c r="X33" s="126" t="s">
        <v>1209</v>
      </c>
      <c r="Y33" s="126">
        <v>0</v>
      </c>
      <c r="Z33" s="126">
        <v>0</v>
      </c>
      <c r="AA33" s="126" t="s">
        <v>1</v>
      </c>
      <c r="AB33" s="126" t="s">
        <v>161</v>
      </c>
      <c r="AC33" s="126" t="s">
        <v>162</v>
      </c>
      <c r="AD33" s="126"/>
      <c r="AE33" s="126"/>
      <c r="AF33" s="126"/>
      <c r="AG33" s="126"/>
      <c r="AH33" s="126" t="s">
        <v>371</v>
      </c>
      <c r="AI33" s="126" t="s">
        <v>1271</v>
      </c>
    </row>
    <row r="34" spans="1:35" ht="210" x14ac:dyDescent="0.25">
      <c r="A34" s="46" t="str">
        <f t="shared" si="0"/>
        <v>BARRCRD008430CADENASBPO</v>
      </c>
      <c r="B34" s="126" t="s">
        <v>3</v>
      </c>
      <c r="C34" s="126">
        <v>33116</v>
      </c>
      <c r="D34" s="126" t="s">
        <v>140</v>
      </c>
      <c r="E34" s="126" t="s">
        <v>177</v>
      </c>
      <c r="F34" s="127">
        <v>44547</v>
      </c>
      <c r="G34" s="126" t="s">
        <v>175</v>
      </c>
      <c r="H34" s="126" t="s">
        <v>176</v>
      </c>
      <c r="I34" s="126">
        <v>1</v>
      </c>
      <c r="J34" s="126" t="s">
        <v>183</v>
      </c>
      <c r="K34" s="126" t="s">
        <v>371</v>
      </c>
      <c r="L34" s="126" t="s">
        <v>1268</v>
      </c>
      <c r="M34" s="126">
        <v>0</v>
      </c>
      <c r="N34" s="126">
        <v>0</v>
      </c>
      <c r="O34" s="126" t="s">
        <v>1269</v>
      </c>
      <c r="P34" s="126" t="s">
        <v>169</v>
      </c>
      <c r="Q34" s="126" t="s">
        <v>147</v>
      </c>
      <c r="R34" s="126" t="s">
        <v>147</v>
      </c>
      <c r="S34" s="126" t="s">
        <v>204</v>
      </c>
      <c r="T34" s="126" t="s">
        <v>160</v>
      </c>
      <c r="U34" s="126"/>
      <c r="V34" s="128">
        <v>1000000</v>
      </c>
      <c r="W34" s="128">
        <v>1000000</v>
      </c>
      <c r="X34" s="126" t="s">
        <v>1209</v>
      </c>
      <c r="Y34" s="126">
        <v>0</v>
      </c>
      <c r="Z34" s="126">
        <v>0</v>
      </c>
      <c r="AA34" s="126" t="s">
        <v>1</v>
      </c>
      <c r="AB34" s="126" t="s">
        <v>161</v>
      </c>
      <c r="AC34" s="126" t="s">
        <v>213</v>
      </c>
      <c r="AD34" s="126"/>
      <c r="AE34" s="126"/>
      <c r="AF34" s="126"/>
      <c r="AG34" s="126"/>
      <c r="AH34" s="126" t="s">
        <v>371</v>
      </c>
      <c r="AI34" s="126" t="s">
        <v>1272</v>
      </c>
    </row>
    <row r="35" spans="1:35" ht="225" x14ac:dyDescent="0.25">
      <c r="A35" s="46" t="str">
        <f t="shared" si="0"/>
        <v>BARRCRD008430CADENASBPO</v>
      </c>
      <c r="B35" s="126" t="s">
        <v>3</v>
      </c>
      <c r="C35" s="126">
        <v>33117</v>
      </c>
      <c r="D35" s="126" t="s">
        <v>140</v>
      </c>
      <c r="E35" s="126" t="s">
        <v>177</v>
      </c>
      <c r="F35" s="127">
        <v>44547</v>
      </c>
      <c r="G35" s="126" t="s">
        <v>175</v>
      </c>
      <c r="H35" s="126" t="s">
        <v>176</v>
      </c>
      <c r="I35" s="126">
        <v>1</v>
      </c>
      <c r="J35" s="126" t="s">
        <v>183</v>
      </c>
      <c r="K35" s="126" t="s">
        <v>371</v>
      </c>
      <c r="L35" s="126" t="s">
        <v>1273</v>
      </c>
      <c r="M35" s="126">
        <v>0</v>
      </c>
      <c r="N35" s="126">
        <v>0</v>
      </c>
      <c r="O35" s="126" t="s">
        <v>1274</v>
      </c>
      <c r="P35" s="126" t="s">
        <v>169</v>
      </c>
      <c r="Q35" s="126" t="s">
        <v>147</v>
      </c>
      <c r="R35" s="126" t="s">
        <v>147</v>
      </c>
      <c r="S35" s="126" t="s">
        <v>204</v>
      </c>
      <c r="T35" s="126" t="s">
        <v>160</v>
      </c>
      <c r="U35" s="126"/>
      <c r="V35" s="128">
        <v>1000000</v>
      </c>
      <c r="W35" s="128">
        <v>1000000</v>
      </c>
      <c r="X35" s="126" t="s">
        <v>1209</v>
      </c>
      <c r="Y35" s="126">
        <v>0</v>
      </c>
      <c r="Z35" s="126">
        <v>0</v>
      </c>
      <c r="AA35" s="126" t="s">
        <v>1</v>
      </c>
      <c r="AB35" s="126" t="s">
        <v>161</v>
      </c>
      <c r="AC35" s="126" t="s">
        <v>213</v>
      </c>
      <c r="AD35" s="126"/>
      <c r="AE35" s="126"/>
      <c r="AF35" s="126"/>
      <c r="AG35" s="126"/>
      <c r="AH35" s="126" t="s">
        <v>371</v>
      </c>
      <c r="AI35" s="126" t="s">
        <v>1275</v>
      </c>
    </row>
    <row r="36" spans="1:35" ht="225" x14ac:dyDescent="0.25">
      <c r="A36" s="46" t="str">
        <f t="shared" si="0"/>
        <v>BARRCRD020181CADENASBPO</v>
      </c>
      <c r="B36" s="126" t="s">
        <v>3</v>
      </c>
      <c r="C36" s="126">
        <v>33117</v>
      </c>
      <c r="D36" s="126" t="s">
        <v>140</v>
      </c>
      <c r="E36" s="126" t="s">
        <v>177</v>
      </c>
      <c r="F36" s="127">
        <v>44547</v>
      </c>
      <c r="G36" s="126" t="s">
        <v>175</v>
      </c>
      <c r="H36" s="126" t="s">
        <v>176</v>
      </c>
      <c r="I36" s="126">
        <v>1</v>
      </c>
      <c r="J36" s="126" t="s">
        <v>183</v>
      </c>
      <c r="K36" s="126" t="s">
        <v>371</v>
      </c>
      <c r="L36" s="126" t="s">
        <v>1273</v>
      </c>
      <c r="M36" s="126">
        <v>0</v>
      </c>
      <c r="N36" s="126">
        <v>0</v>
      </c>
      <c r="O36" s="126" t="s">
        <v>1274</v>
      </c>
      <c r="P36" s="126" t="s">
        <v>171</v>
      </c>
      <c r="Q36" s="126" t="s">
        <v>323</v>
      </c>
      <c r="R36" s="126" t="s">
        <v>323</v>
      </c>
      <c r="S36" s="126" t="s">
        <v>1270</v>
      </c>
      <c r="T36" s="126" t="s">
        <v>160</v>
      </c>
      <c r="U36" s="126"/>
      <c r="V36" s="128">
        <v>1000000</v>
      </c>
      <c r="W36" s="128">
        <v>1000000</v>
      </c>
      <c r="X36" s="126" t="s">
        <v>1209</v>
      </c>
      <c r="Y36" s="126">
        <v>0</v>
      </c>
      <c r="Z36" s="126">
        <v>0</v>
      </c>
      <c r="AA36" s="126" t="s">
        <v>1</v>
      </c>
      <c r="AB36" s="126" t="s">
        <v>161</v>
      </c>
      <c r="AC36" s="126" t="s">
        <v>162</v>
      </c>
      <c r="AD36" s="126"/>
      <c r="AE36" s="126"/>
      <c r="AF36" s="126"/>
      <c r="AG36" s="126"/>
      <c r="AH36" s="126" t="s">
        <v>371</v>
      </c>
      <c r="AI36" s="126" t="s">
        <v>1276</v>
      </c>
    </row>
    <row r="37" spans="1:35" ht="120" x14ac:dyDescent="0.25">
      <c r="A37" s="46" t="str">
        <f t="shared" si="0"/>
        <v>BARRCRD025013CADENASNUTRESA</v>
      </c>
      <c r="B37" s="126" t="s">
        <v>3</v>
      </c>
      <c r="C37" s="126">
        <v>33121</v>
      </c>
      <c r="D37" s="126" t="s">
        <v>140</v>
      </c>
      <c r="E37" s="126" t="s">
        <v>177</v>
      </c>
      <c r="F37" s="127">
        <v>44550</v>
      </c>
      <c r="G37" s="126" t="s">
        <v>175</v>
      </c>
      <c r="H37" s="126" t="s">
        <v>176</v>
      </c>
      <c r="I37" s="126">
        <v>1</v>
      </c>
      <c r="J37" s="126" t="s">
        <v>184</v>
      </c>
      <c r="K37" s="126"/>
      <c r="L37" s="126" t="s">
        <v>1277</v>
      </c>
      <c r="M37" s="126">
        <v>0</v>
      </c>
      <c r="N37" s="126">
        <v>300002761099</v>
      </c>
      <c r="O37" s="126" t="s">
        <v>1278</v>
      </c>
      <c r="P37" s="126" t="s">
        <v>171</v>
      </c>
      <c r="Q37" s="126" t="s">
        <v>1279</v>
      </c>
      <c r="R37" s="126" t="s">
        <v>1279</v>
      </c>
      <c r="S37" s="126" t="s">
        <v>1280</v>
      </c>
      <c r="T37" s="126" t="s">
        <v>160</v>
      </c>
      <c r="U37" s="126"/>
      <c r="V37" s="128">
        <v>1000000</v>
      </c>
      <c r="W37" s="128">
        <v>1000000</v>
      </c>
      <c r="X37" s="126" t="s">
        <v>1209</v>
      </c>
      <c r="Y37" s="126">
        <v>0</v>
      </c>
      <c r="Z37" s="126">
        <v>0</v>
      </c>
      <c r="AA37" s="126" t="s">
        <v>1</v>
      </c>
      <c r="AB37" s="126" t="s">
        <v>140</v>
      </c>
      <c r="AC37" s="126" t="s">
        <v>162</v>
      </c>
      <c r="AD37" s="126"/>
      <c r="AE37" s="126"/>
      <c r="AF37" s="126"/>
      <c r="AG37" s="126"/>
      <c r="AH37" s="126" t="s">
        <v>371</v>
      </c>
      <c r="AI37" s="126" t="s">
        <v>1281</v>
      </c>
    </row>
    <row r="38" spans="1:35" ht="120" x14ac:dyDescent="0.25">
      <c r="A38" s="46" t="str">
        <f t="shared" si="0"/>
        <v>BARRCRD025015CADENASNUTRESA</v>
      </c>
      <c r="B38" s="126" t="s">
        <v>3</v>
      </c>
      <c r="C38" s="126">
        <v>33121</v>
      </c>
      <c r="D38" s="126" t="s">
        <v>140</v>
      </c>
      <c r="E38" s="126" t="s">
        <v>177</v>
      </c>
      <c r="F38" s="127">
        <v>44550</v>
      </c>
      <c r="G38" s="126" t="s">
        <v>175</v>
      </c>
      <c r="H38" s="126" t="s">
        <v>176</v>
      </c>
      <c r="I38" s="126">
        <v>1</v>
      </c>
      <c r="J38" s="126" t="s">
        <v>184</v>
      </c>
      <c r="K38" s="126"/>
      <c r="L38" s="126" t="s">
        <v>1277</v>
      </c>
      <c r="M38" s="126">
        <v>0</v>
      </c>
      <c r="N38" s="126">
        <v>300002761099</v>
      </c>
      <c r="O38" s="126" t="s">
        <v>1278</v>
      </c>
      <c r="P38" s="126" t="s">
        <v>171</v>
      </c>
      <c r="Q38" s="126" t="s">
        <v>1282</v>
      </c>
      <c r="R38" s="126" t="s">
        <v>1282</v>
      </c>
      <c r="S38" s="126" t="s">
        <v>1283</v>
      </c>
      <c r="T38" s="126" t="s">
        <v>160</v>
      </c>
      <c r="U38" s="126"/>
      <c r="V38" s="128">
        <v>11000000</v>
      </c>
      <c r="W38" s="128">
        <v>11000000</v>
      </c>
      <c r="X38" s="126" t="s">
        <v>1209</v>
      </c>
      <c r="Y38" s="126">
        <v>0</v>
      </c>
      <c r="Z38" s="126">
        <v>0</v>
      </c>
      <c r="AA38" s="126" t="s">
        <v>1</v>
      </c>
      <c r="AB38" s="126" t="s">
        <v>140</v>
      </c>
      <c r="AC38" s="126" t="s">
        <v>162</v>
      </c>
      <c r="AD38" s="126"/>
      <c r="AE38" s="126"/>
      <c r="AF38" s="126"/>
      <c r="AG38" s="126"/>
      <c r="AH38" s="126" t="s">
        <v>371</v>
      </c>
      <c r="AI38" s="126" t="s">
        <v>1284</v>
      </c>
    </row>
    <row r="39" spans="1:35" ht="120" x14ac:dyDescent="0.25">
      <c r="A39" s="46" t="str">
        <f t="shared" si="0"/>
        <v>BARRCRD025014CADENASNUTRESA</v>
      </c>
      <c r="B39" s="126" t="s">
        <v>3</v>
      </c>
      <c r="C39" s="126">
        <v>33121</v>
      </c>
      <c r="D39" s="126" t="s">
        <v>140</v>
      </c>
      <c r="E39" s="126" t="s">
        <v>177</v>
      </c>
      <c r="F39" s="127">
        <v>44550</v>
      </c>
      <c r="G39" s="126" t="s">
        <v>175</v>
      </c>
      <c r="H39" s="126" t="s">
        <v>176</v>
      </c>
      <c r="I39" s="126">
        <v>1</v>
      </c>
      <c r="J39" s="126" t="s">
        <v>184</v>
      </c>
      <c r="K39" s="126"/>
      <c r="L39" s="126" t="s">
        <v>1277</v>
      </c>
      <c r="M39" s="126">
        <v>0</v>
      </c>
      <c r="N39" s="126">
        <v>300002761099</v>
      </c>
      <c r="O39" s="126" t="s">
        <v>1278</v>
      </c>
      <c r="P39" s="126" t="s">
        <v>171</v>
      </c>
      <c r="Q39" s="126" t="s">
        <v>1285</v>
      </c>
      <c r="R39" s="126" t="s">
        <v>1285</v>
      </c>
      <c r="S39" s="126" t="s">
        <v>1286</v>
      </c>
      <c r="T39" s="126" t="s">
        <v>160</v>
      </c>
      <c r="U39" s="126"/>
      <c r="V39" s="128">
        <v>8000000</v>
      </c>
      <c r="W39" s="128">
        <v>8000000</v>
      </c>
      <c r="X39" s="126" t="s">
        <v>1209</v>
      </c>
      <c r="Y39" s="126">
        <v>0</v>
      </c>
      <c r="Z39" s="126">
        <v>0</v>
      </c>
      <c r="AA39" s="126" t="s">
        <v>1</v>
      </c>
      <c r="AB39" s="126" t="s">
        <v>140</v>
      </c>
      <c r="AC39" s="126" t="s">
        <v>162</v>
      </c>
      <c r="AD39" s="126"/>
      <c r="AE39" s="126"/>
      <c r="AF39" s="126"/>
      <c r="AG39" s="126"/>
      <c r="AH39" s="126" t="s">
        <v>371</v>
      </c>
      <c r="AI39" s="126" t="s">
        <v>1287</v>
      </c>
    </row>
    <row r="40" spans="1:35" ht="120" x14ac:dyDescent="0.25">
      <c r="A40" s="46" t="str">
        <f t="shared" si="0"/>
        <v>BARRCRD025012CADENASNUTRESA</v>
      </c>
      <c r="B40" s="126" t="s">
        <v>3</v>
      </c>
      <c r="C40" s="126">
        <v>33121</v>
      </c>
      <c r="D40" s="126" t="s">
        <v>140</v>
      </c>
      <c r="E40" s="126" t="s">
        <v>177</v>
      </c>
      <c r="F40" s="127">
        <v>44550</v>
      </c>
      <c r="G40" s="126" t="s">
        <v>175</v>
      </c>
      <c r="H40" s="126" t="s">
        <v>176</v>
      </c>
      <c r="I40" s="126">
        <v>1</v>
      </c>
      <c r="J40" s="126" t="s">
        <v>184</v>
      </c>
      <c r="K40" s="126"/>
      <c r="L40" s="126" t="s">
        <v>1277</v>
      </c>
      <c r="M40" s="126">
        <v>0</v>
      </c>
      <c r="N40" s="126">
        <v>300002761099</v>
      </c>
      <c r="O40" s="126" t="s">
        <v>1278</v>
      </c>
      <c r="P40" s="126" t="s">
        <v>171</v>
      </c>
      <c r="Q40" s="126" t="s">
        <v>1288</v>
      </c>
      <c r="R40" s="126" t="s">
        <v>1288</v>
      </c>
      <c r="S40" s="126" t="s">
        <v>1289</v>
      </c>
      <c r="T40" s="126" t="s">
        <v>160</v>
      </c>
      <c r="U40" s="126"/>
      <c r="V40" s="128">
        <v>2000000</v>
      </c>
      <c r="W40" s="128">
        <v>2000000</v>
      </c>
      <c r="X40" s="126" t="s">
        <v>1209</v>
      </c>
      <c r="Y40" s="126">
        <v>0</v>
      </c>
      <c r="Z40" s="126">
        <v>0</v>
      </c>
      <c r="AA40" s="126" t="s">
        <v>1</v>
      </c>
      <c r="AB40" s="126" t="s">
        <v>140</v>
      </c>
      <c r="AC40" s="126" t="s">
        <v>162</v>
      </c>
      <c r="AD40" s="126"/>
      <c r="AE40" s="126"/>
      <c r="AF40" s="126"/>
      <c r="AG40" s="126"/>
      <c r="AH40" s="126" t="s">
        <v>371</v>
      </c>
      <c r="AI40" s="126" t="s">
        <v>1290</v>
      </c>
    </row>
    <row r="41" spans="1:35" ht="120" x14ac:dyDescent="0.25">
      <c r="A41" s="46" t="str">
        <f t="shared" si="0"/>
        <v>BARRCRD025023AUTOSERVICIONUTRESA</v>
      </c>
      <c r="B41" s="126" t="s">
        <v>3</v>
      </c>
      <c r="C41" s="126">
        <v>33123</v>
      </c>
      <c r="D41" s="126" t="s">
        <v>140</v>
      </c>
      <c r="E41" s="126" t="s">
        <v>177</v>
      </c>
      <c r="F41" s="127">
        <v>44550</v>
      </c>
      <c r="G41" s="126" t="s">
        <v>175</v>
      </c>
      <c r="H41" s="126" t="s">
        <v>176</v>
      </c>
      <c r="I41" s="126">
        <v>1</v>
      </c>
      <c r="J41" s="126" t="s">
        <v>184</v>
      </c>
      <c r="K41" s="126"/>
      <c r="L41" s="126" t="s">
        <v>1291</v>
      </c>
      <c r="M41" s="126">
        <v>0</v>
      </c>
      <c r="N41" s="126">
        <v>300002761099</v>
      </c>
      <c r="O41" s="126" t="s">
        <v>1292</v>
      </c>
      <c r="P41" s="126" t="s">
        <v>170</v>
      </c>
      <c r="Q41" s="126" t="s">
        <v>765</v>
      </c>
      <c r="R41" s="126" t="s">
        <v>765</v>
      </c>
      <c r="S41" s="126" t="s">
        <v>766</v>
      </c>
      <c r="T41" s="126" t="s">
        <v>160</v>
      </c>
      <c r="U41" s="126"/>
      <c r="V41" s="128">
        <v>7000000</v>
      </c>
      <c r="W41" s="128">
        <v>7000000</v>
      </c>
      <c r="X41" s="126" t="s">
        <v>1209</v>
      </c>
      <c r="Y41" s="126">
        <v>0</v>
      </c>
      <c r="Z41" s="126">
        <v>0</v>
      </c>
      <c r="AA41" s="126" t="s">
        <v>0</v>
      </c>
      <c r="AB41" s="126" t="s">
        <v>140</v>
      </c>
      <c r="AC41" s="126" t="s">
        <v>162</v>
      </c>
      <c r="AD41" s="126"/>
      <c r="AE41" s="126"/>
      <c r="AF41" s="126"/>
      <c r="AG41" s="126"/>
      <c r="AH41" s="126" t="s">
        <v>371</v>
      </c>
      <c r="AI41" s="126" t="s">
        <v>1293</v>
      </c>
    </row>
    <row r="42" spans="1:35" ht="240" x14ac:dyDescent="0.25">
      <c r="A42" s="46" t="str">
        <f t="shared" si="0"/>
        <v>BARRCRD019238CADENASBPO</v>
      </c>
      <c r="B42" s="126" t="s">
        <v>3</v>
      </c>
      <c r="C42" s="126">
        <v>33134</v>
      </c>
      <c r="D42" s="126" t="s">
        <v>140</v>
      </c>
      <c r="E42" s="126" t="s">
        <v>177</v>
      </c>
      <c r="F42" s="127">
        <v>44551</v>
      </c>
      <c r="G42" s="126" t="s">
        <v>175</v>
      </c>
      <c r="H42" s="126" t="s">
        <v>176</v>
      </c>
      <c r="I42" s="126">
        <v>1</v>
      </c>
      <c r="J42" s="126" t="s">
        <v>183</v>
      </c>
      <c r="K42" s="126"/>
      <c r="L42" s="126" t="s">
        <v>1294</v>
      </c>
      <c r="M42" s="126">
        <v>0</v>
      </c>
      <c r="N42" s="126">
        <v>0</v>
      </c>
      <c r="O42" s="126" t="s">
        <v>1295</v>
      </c>
      <c r="P42" s="126" t="s">
        <v>169</v>
      </c>
      <c r="Q42" s="126" t="s">
        <v>182</v>
      </c>
      <c r="R42" s="126" t="s">
        <v>182</v>
      </c>
      <c r="S42" s="126" t="s">
        <v>206</v>
      </c>
      <c r="T42" s="126" t="s">
        <v>160</v>
      </c>
      <c r="U42" s="126"/>
      <c r="V42" s="128">
        <v>1000000</v>
      </c>
      <c r="W42" s="128">
        <v>1000000</v>
      </c>
      <c r="X42" s="126" t="s">
        <v>1209</v>
      </c>
      <c r="Y42" s="126">
        <v>0</v>
      </c>
      <c r="Z42" s="126">
        <v>0</v>
      </c>
      <c r="AA42" s="126" t="s">
        <v>1</v>
      </c>
      <c r="AB42" s="126" t="s">
        <v>161</v>
      </c>
      <c r="AC42" s="126" t="s">
        <v>165</v>
      </c>
      <c r="AD42" s="126"/>
      <c r="AE42" s="126"/>
      <c r="AF42" s="126"/>
      <c r="AG42" s="126"/>
      <c r="AH42" s="126" t="s">
        <v>371</v>
      </c>
      <c r="AI42" s="126" t="s">
        <v>1296</v>
      </c>
    </row>
    <row r="43" spans="1:35" ht="255" x14ac:dyDescent="0.25">
      <c r="A43" s="46" t="str">
        <f t="shared" si="0"/>
        <v>BARRCRD019238CADENASBPO</v>
      </c>
      <c r="B43" s="126" t="s">
        <v>3</v>
      </c>
      <c r="C43" s="126">
        <v>33135</v>
      </c>
      <c r="D43" s="126" t="s">
        <v>140</v>
      </c>
      <c r="E43" s="126" t="s">
        <v>177</v>
      </c>
      <c r="F43" s="127">
        <v>44551</v>
      </c>
      <c r="G43" s="126" t="s">
        <v>175</v>
      </c>
      <c r="H43" s="126" t="s">
        <v>176</v>
      </c>
      <c r="I43" s="126">
        <v>1</v>
      </c>
      <c r="J43" s="126" t="s">
        <v>183</v>
      </c>
      <c r="K43" s="126"/>
      <c r="L43" s="126" t="s">
        <v>1297</v>
      </c>
      <c r="M43" s="126">
        <v>0</v>
      </c>
      <c r="N43" s="126">
        <v>0</v>
      </c>
      <c r="O43" s="126" t="s">
        <v>1298</v>
      </c>
      <c r="P43" s="126" t="s">
        <v>169</v>
      </c>
      <c r="Q43" s="126" t="s">
        <v>182</v>
      </c>
      <c r="R43" s="126" t="s">
        <v>182</v>
      </c>
      <c r="S43" s="126" t="s">
        <v>206</v>
      </c>
      <c r="T43" s="126" t="s">
        <v>160</v>
      </c>
      <c r="U43" s="126"/>
      <c r="V43" s="128">
        <v>1000000</v>
      </c>
      <c r="W43" s="128">
        <v>1000000</v>
      </c>
      <c r="X43" s="126" t="s">
        <v>1209</v>
      </c>
      <c r="Y43" s="126">
        <v>0</v>
      </c>
      <c r="Z43" s="126">
        <v>0</v>
      </c>
      <c r="AA43" s="126" t="s">
        <v>1</v>
      </c>
      <c r="AB43" s="126" t="s">
        <v>161</v>
      </c>
      <c r="AC43" s="126" t="s">
        <v>165</v>
      </c>
      <c r="AD43" s="126"/>
      <c r="AE43" s="126"/>
      <c r="AF43" s="126"/>
      <c r="AG43" s="126"/>
      <c r="AH43" s="126" t="s">
        <v>371</v>
      </c>
      <c r="AI43" s="126" t="s">
        <v>1299</v>
      </c>
    </row>
    <row r="44" spans="1:35" ht="315" x14ac:dyDescent="0.25">
      <c r="A44" s="46" t="str">
        <f t="shared" si="0"/>
        <v>BARRACT000225TRADICIONALNUTRESA</v>
      </c>
      <c r="B44" s="126" t="s">
        <v>3</v>
      </c>
      <c r="C44" s="126">
        <v>33136</v>
      </c>
      <c r="D44" s="126" t="s">
        <v>140</v>
      </c>
      <c r="E44" s="126" t="s">
        <v>177</v>
      </c>
      <c r="F44" s="127">
        <v>44551</v>
      </c>
      <c r="G44" s="126" t="s">
        <v>175</v>
      </c>
      <c r="H44" s="126" t="s">
        <v>176</v>
      </c>
      <c r="I44" s="126">
        <v>1</v>
      </c>
      <c r="J44" s="126" t="s">
        <v>183</v>
      </c>
      <c r="K44" s="126"/>
      <c r="L44" s="126" t="s">
        <v>1300</v>
      </c>
      <c r="M44" s="126">
        <v>0</v>
      </c>
      <c r="N44" s="126">
        <v>0</v>
      </c>
      <c r="O44" s="126" t="s">
        <v>1301</v>
      </c>
      <c r="P44" s="126" t="s">
        <v>170</v>
      </c>
      <c r="Q44" s="126" t="s">
        <v>136</v>
      </c>
      <c r="R44" s="126" t="s">
        <v>136</v>
      </c>
      <c r="S44" s="126" t="s">
        <v>173</v>
      </c>
      <c r="T44" s="126" t="s">
        <v>160</v>
      </c>
      <c r="U44" s="126" t="s">
        <v>136</v>
      </c>
      <c r="V44" s="128">
        <v>1000000</v>
      </c>
      <c r="W44" s="128">
        <v>1000000</v>
      </c>
      <c r="X44" s="126" t="s">
        <v>1209</v>
      </c>
      <c r="Y44" s="126">
        <v>127769</v>
      </c>
      <c r="Z44" s="126">
        <v>0</v>
      </c>
      <c r="AA44" s="126" t="s">
        <v>2</v>
      </c>
      <c r="AB44" s="126" t="s">
        <v>140</v>
      </c>
      <c r="AC44" s="126" t="s">
        <v>165</v>
      </c>
      <c r="AD44" s="126"/>
      <c r="AE44" s="126"/>
      <c r="AF44" s="126"/>
      <c r="AG44" s="126"/>
      <c r="AH44" s="126" t="s">
        <v>371</v>
      </c>
      <c r="AI44" s="126" t="s">
        <v>1302</v>
      </c>
    </row>
    <row r="45" spans="1:35" ht="135" x14ac:dyDescent="0.25">
      <c r="A45" s="46" t="str">
        <f t="shared" si="0"/>
        <v>BARRCRD025016AUTOSERVICIONUTRESA</v>
      </c>
      <c r="B45" s="126" t="s">
        <v>3</v>
      </c>
      <c r="C45" s="126">
        <v>33137</v>
      </c>
      <c r="D45" s="126" t="s">
        <v>140</v>
      </c>
      <c r="E45" s="126" t="s">
        <v>177</v>
      </c>
      <c r="F45" s="127">
        <v>44551</v>
      </c>
      <c r="G45" s="126" t="s">
        <v>175</v>
      </c>
      <c r="H45" s="126" t="s">
        <v>176</v>
      </c>
      <c r="I45" s="126">
        <v>1</v>
      </c>
      <c r="J45" s="126" t="s">
        <v>184</v>
      </c>
      <c r="K45" s="126"/>
      <c r="L45" s="126" t="s">
        <v>1303</v>
      </c>
      <c r="M45" s="126">
        <v>0</v>
      </c>
      <c r="N45" s="126">
        <v>332029999</v>
      </c>
      <c r="O45" s="126" t="s">
        <v>1304</v>
      </c>
      <c r="P45" s="126" t="s">
        <v>171</v>
      </c>
      <c r="Q45" s="126" t="s">
        <v>1305</v>
      </c>
      <c r="R45" s="126" t="s">
        <v>1305</v>
      </c>
      <c r="S45" s="126" t="s">
        <v>1306</v>
      </c>
      <c r="T45" s="126" t="s">
        <v>160</v>
      </c>
      <c r="U45" s="126"/>
      <c r="V45" s="128">
        <v>20000000</v>
      </c>
      <c r="W45" s="128">
        <v>20000000</v>
      </c>
      <c r="X45" s="126" t="s">
        <v>1209</v>
      </c>
      <c r="Y45" s="126">
        <v>0</v>
      </c>
      <c r="Z45" s="126">
        <v>0</v>
      </c>
      <c r="AA45" s="126" t="s">
        <v>0</v>
      </c>
      <c r="AB45" s="126" t="s">
        <v>140</v>
      </c>
      <c r="AC45" s="126" t="s">
        <v>162</v>
      </c>
      <c r="AD45" s="126"/>
      <c r="AE45" s="126"/>
      <c r="AF45" s="126"/>
      <c r="AG45" s="126"/>
      <c r="AH45" s="126" t="s">
        <v>371</v>
      </c>
      <c r="AI45" s="126" t="s">
        <v>1307</v>
      </c>
    </row>
    <row r="46" spans="1:35" ht="135" x14ac:dyDescent="0.25">
      <c r="A46" s="46" t="str">
        <f t="shared" si="0"/>
        <v>BARRCRD025021AUTOSERVICIONUTRESA</v>
      </c>
      <c r="B46" s="126" t="s">
        <v>3</v>
      </c>
      <c r="C46" s="126">
        <v>33138</v>
      </c>
      <c r="D46" s="126" t="s">
        <v>140</v>
      </c>
      <c r="E46" s="126" t="s">
        <v>177</v>
      </c>
      <c r="F46" s="127">
        <v>44551</v>
      </c>
      <c r="G46" s="126" t="s">
        <v>175</v>
      </c>
      <c r="H46" s="126" t="s">
        <v>176</v>
      </c>
      <c r="I46" s="126">
        <v>1</v>
      </c>
      <c r="J46" s="126" t="s">
        <v>184</v>
      </c>
      <c r="K46" s="126"/>
      <c r="L46" s="126" t="s">
        <v>1308</v>
      </c>
      <c r="M46" s="126">
        <v>0</v>
      </c>
      <c r="N46" s="126">
        <v>134624280</v>
      </c>
      <c r="O46" s="126" t="s">
        <v>1309</v>
      </c>
      <c r="P46" s="126" t="s">
        <v>171</v>
      </c>
      <c r="Q46" s="126" t="s">
        <v>815</v>
      </c>
      <c r="R46" s="126" t="s">
        <v>815</v>
      </c>
      <c r="S46" s="126" t="s">
        <v>816</v>
      </c>
      <c r="T46" s="126" t="s">
        <v>160</v>
      </c>
      <c r="U46" s="126"/>
      <c r="V46" s="128">
        <v>30000000</v>
      </c>
      <c r="W46" s="128">
        <v>30000000</v>
      </c>
      <c r="X46" s="126" t="s">
        <v>1209</v>
      </c>
      <c r="Y46" s="126">
        <v>0</v>
      </c>
      <c r="Z46" s="126">
        <v>0</v>
      </c>
      <c r="AA46" s="126" t="s">
        <v>0</v>
      </c>
      <c r="AB46" s="126" t="s">
        <v>140</v>
      </c>
      <c r="AC46" s="126" t="s">
        <v>162</v>
      </c>
      <c r="AD46" s="126"/>
      <c r="AE46" s="126"/>
      <c r="AF46" s="126"/>
      <c r="AG46" s="126"/>
      <c r="AH46" s="126" t="s">
        <v>371</v>
      </c>
      <c r="AI46" s="126" t="s">
        <v>1310</v>
      </c>
    </row>
    <row r="47" spans="1:35" ht="120" x14ac:dyDescent="0.25">
      <c r="A47" s="46" t="str">
        <f t="shared" si="0"/>
        <v>BARRCRD019356CADENASNUTRESA</v>
      </c>
      <c r="B47" s="126" t="s">
        <v>3</v>
      </c>
      <c r="C47" s="126">
        <v>33144</v>
      </c>
      <c r="D47" s="126" t="s">
        <v>140</v>
      </c>
      <c r="E47" s="126" t="s">
        <v>177</v>
      </c>
      <c r="F47" s="127">
        <v>44551</v>
      </c>
      <c r="G47" s="126" t="s">
        <v>175</v>
      </c>
      <c r="H47" s="126" t="s">
        <v>176</v>
      </c>
      <c r="I47" s="126">
        <v>1</v>
      </c>
      <c r="J47" s="126" t="s">
        <v>184</v>
      </c>
      <c r="K47" s="126"/>
      <c r="L47" s="126" t="s">
        <v>1311</v>
      </c>
      <c r="M47" s="126">
        <v>0</v>
      </c>
      <c r="N47" s="126">
        <v>16004626663</v>
      </c>
      <c r="O47" s="126" t="s">
        <v>1312</v>
      </c>
      <c r="P47" s="126" t="s">
        <v>170</v>
      </c>
      <c r="Q47" s="126" t="s">
        <v>1313</v>
      </c>
      <c r="R47" s="126" t="s">
        <v>1313</v>
      </c>
      <c r="S47" s="126" t="s">
        <v>1314</v>
      </c>
      <c r="T47" s="126" t="s">
        <v>160</v>
      </c>
      <c r="U47" s="126"/>
      <c r="V47" s="128">
        <v>5000000</v>
      </c>
      <c r="W47" s="128">
        <v>5000000</v>
      </c>
      <c r="X47" s="126" t="s">
        <v>1209</v>
      </c>
      <c r="Y47" s="126">
        <v>0</v>
      </c>
      <c r="Z47" s="126">
        <v>0</v>
      </c>
      <c r="AA47" s="126" t="s">
        <v>1</v>
      </c>
      <c r="AB47" s="126" t="s">
        <v>140</v>
      </c>
      <c r="AC47" s="126" t="s">
        <v>162</v>
      </c>
      <c r="AD47" s="126"/>
      <c r="AE47" s="126"/>
      <c r="AF47" s="126"/>
      <c r="AG47" s="126"/>
      <c r="AH47" s="126" t="s">
        <v>371</v>
      </c>
      <c r="AI47" s="126" t="s">
        <v>1315</v>
      </c>
    </row>
    <row r="48" spans="1:35" ht="120" x14ac:dyDescent="0.25">
      <c r="A48" s="46" t="str">
        <f t="shared" si="0"/>
        <v>BARRCRD019355CADENASNUTRESA</v>
      </c>
      <c r="B48" s="126" t="s">
        <v>3</v>
      </c>
      <c r="C48" s="126">
        <v>33144</v>
      </c>
      <c r="D48" s="126" t="s">
        <v>140</v>
      </c>
      <c r="E48" s="126" t="s">
        <v>177</v>
      </c>
      <c r="F48" s="127">
        <v>44551</v>
      </c>
      <c r="G48" s="126" t="s">
        <v>175</v>
      </c>
      <c r="H48" s="126" t="s">
        <v>176</v>
      </c>
      <c r="I48" s="126">
        <v>1</v>
      </c>
      <c r="J48" s="126" t="s">
        <v>184</v>
      </c>
      <c r="K48" s="126"/>
      <c r="L48" s="126" t="s">
        <v>1311</v>
      </c>
      <c r="M48" s="126">
        <v>0</v>
      </c>
      <c r="N48" s="126">
        <v>16004626663</v>
      </c>
      <c r="O48" s="126" t="s">
        <v>1312</v>
      </c>
      <c r="P48" s="126" t="s">
        <v>170</v>
      </c>
      <c r="Q48" s="126" t="s">
        <v>1316</v>
      </c>
      <c r="R48" s="126" t="s">
        <v>1316</v>
      </c>
      <c r="S48" s="126" t="s">
        <v>1317</v>
      </c>
      <c r="T48" s="126" t="s">
        <v>160</v>
      </c>
      <c r="U48" s="126"/>
      <c r="V48" s="128">
        <v>5000000</v>
      </c>
      <c r="W48" s="128">
        <v>5000000</v>
      </c>
      <c r="X48" s="126" t="s">
        <v>1209</v>
      </c>
      <c r="Y48" s="126">
        <v>0</v>
      </c>
      <c r="Z48" s="126">
        <v>0</v>
      </c>
      <c r="AA48" s="126" t="s">
        <v>1</v>
      </c>
      <c r="AB48" s="126" t="s">
        <v>140</v>
      </c>
      <c r="AC48" s="126" t="s">
        <v>162</v>
      </c>
      <c r="AD48" s="126"/>
      <c r="AE48" s="126"/>
      <c r="AF48" s="126"/>
      <c r="AG48" s="126"/>
      <c r="AH48" s="126" t="s">
        <v>371</v>
      </c>
      <c r="AI48" s="126" t="s">
        <v>1318</v>
      </c>
    </row>
    <row r="49" spans="1:35" ht="120" x14ac:dyDescent="0.25">
      <c r="A49" s="46" t="str">
        <f t="shared" si="0"/>
        <v>BARRCRD019354CADENASNUTRESA</v>
      </c>
      <c r="B49" s="126" t="s">
        <v>3</v>
      </c>
      <c r="C49" s="126">
        <v>33144</v>
      </c>
      <c r="D49" s="126" t="s">
        <v>140</v>
      </c>
      <c r="E49" s="126" t="s">
        <v>177</v>
      </c>
      <c r="F49" s="127">
        <v>44551</v>
      </c>
      <c r="G49" s="126" t="s">
        <v>175</v>
      </c>
      <c r="H49" s="126" t="s">
        <v>176</v>
      </c>
      <c r="I49" s="126">
        <v>1</v>
      </c>
      <c r="J49" s="126" t="s">
        <v>184</v>
      </c>
      <c r="K49" s="126"/>
      <c r="L49" s="126" t="s">
        <v>1311</v>
      </c>
      <c r="M49" s="126">
        <v>0</v>
      </c>
      <c r="N49" s="126">
        <v>16004626663</v>
      </c>
      <c r="O49" s="126" t="s">
        <v>1312</v>
      </c>
      <c r="P49" s="126" t="s">
        <v>170</v>
      </c>
      <c r="Q49" s="126" t="s">
        <v>1319</v>
      </c>
      <c r="R49" s="126" t="s">
        <v>1319</v>
      </c>
      <c r="S49" s="126" t="s">
        <v>1320</v>
      </c>
      <c r="T49" s="126" t="s">
        <v>160</v>
      </c>
      <c r="U49" s="126"/>
      <c r="V49" s="128">
        <v>7000000</v>
      </c>
      <c r="W49" s="128">
        <v>7000000</v>
      </c>
      <c r="X49" s="126" t="s">
        <v>1209</v>
      </c>
      <c r="Y49" s="126">
        <v>0</v>
      </c>
      <c r="Z49" s="126">
        <v>0</v>
      </c>
      <c r="AA49" s="126" t="s">
        <v>1</v>
      </c>
      <c r="AB49" s="126" t="s">
        <v>140</v>
      </c>
      <c r="AC49" s="126" t="s">
        <v>162</v>
      </c>
      <c r="AD49" s="126"/>
      <c r="AE49" s="126"/>
      <c r="AF49" s="126"/>
      <c r="AG49" s="126"/>
      <c r="AH49" s="126" t="s">
        <v>371</v>
      </c>
      <c r="AI49" s="126" t="s">
        <v>1321</v>
      </c>
    </row>
    <row r="50" spans="1:35" ht="120" x14ac:dyDescent="0.25">
      <c r="A50" s="46" t="str">
        <f t="shared" si="0"/>
        <v>BARRCRD019353CADENASNUTRESA</v>
      </c>
      <c r="B50" s="126" t="s">
        <v>3</v>
      </c>
      <c r="C50" s="126">
        <v>33144</v>
      </c>
      <c r="D50" s="126" t="s">
        <v>140</v>
      </c>
      <c r="E50" s="126" t="s">
        <v>177</v>
      </c>
      <c r="F50" s="127">
        <v>44551</v>
      </c>
      <c r="G50" s="126" t="s">
        <v>175</v>
      </c>
      <c r="H50" s="126" t="s">
        <v>176</v>
      </c>
      <c r="I50" s="126">
        <v>1</v>
      </c>
      <c r="J50" s="126" t="s">
        <v>184</v>
      </c>
      <c r="K50" s="126"/>
      <c r="L50" s="126" t="s">
        <v>1311</v>
      </c>
      <c r="M50" s="126">
        <v>0</v>
      </c>
      <c r="N50" s="126">
        <v>16004626663</v>
      </c>
      <c r="O50" s="126" t="s">
        <v>1312</v>
      </c>
      <c r="P50" s="126" t="s">
        <v>170</v>
      </c>
      <c r="Q50" s="126" t="s">
        <v>1322</v>
      </c>
      <c r="R50" s="126" t="s">
        <v>1322</v>
      </c>
      <c r="S50" s="126" t="s">
        <v>1323</v>
      </c>
      <c r="T50" s="126" t="s">
        <v>160</v>
      </c>
      <c r="U50" s="126"/>
      <c r="V50" s="128">
        <v>3000000</v>
      </c>
      <c r="W50" s="128">
        <v>3000000</v>
      </c>
      <c r="X50" s="126" t="s">
        <v>1209</v>
      </c>
      <c r="Y50" s="126">
        <v>0</v>
      </c>
      <c r="Z50" s="126">
        <v>0</v>
      </c>
      <c r="AA50" s="126" t="s">
        <v>1</v>
      </c>
      <c r="AB50" s="126" t="s">
        <v>140</v>
      </c>
      <c r="AC50" s="126" t="s">
        <v>162</v>
      </c>
      <c r="AD50" s="126"/>
      <c r="AE50" s="126"/>
      <c r="AF50" s="126"/>
      <c r="AG50" s="126"/>
      <c r="AH50" s="126" t="s">
        <v>371</v>
      </c>
      <c r="AI50" s="126" t="s">
        <v>1324</v>
      </c>
    </row>
    <row r="51" spans="1:35" ht="105" x14ac:dyDescent="0.25">
      <c r="A51" s="46" t="str">
        <f t="shared" si="0"/>
        <v>BARRCRD025041TRADICIONALNUTRESA</v>
      </c>
      <c r="B51" s="126" t="s">
        <v>3</v>
      </c>
      <c r="C51" s="126">
        <v>33152</v>
      </c>
      <c r="D51" s="126" t="s">
        <v>140</v>
      </c>
      <c r="E51" s="126" t="s">
        <v>177</v>
      </c>
      <c r="F51" s="127">
        <v>44551</v>
      </c>
      <c r="G51" s="126" t="s">
        <v>175</v>
      </c>
      <c r="H51" s="126" t="s">
        <v>176</v>
      </c>
      <c r="I51" s="126">
        <v>1</v>
      </c>
      <c r="J51" s="126" t="s">
        <v>184</v>
      </c>
      <c r="K51" s="126" t="s">
        <v>371</v>
      </c>
      <c r="L51" s="126" t="s">
        <v>1325</v>
      </c>
      <c r="M51" s="126">
        <v>0</v>
      </c>
      <c r="N51" s="126">
        <v>14114367713</v>
      </c>
      <c r="O51" s="126" t="s">
        <v>1326</v>
      </c>
      <c r="P51" s="126" t="s">
        <v>170</v>
      </c>
      <c r="Q51" s="126" t="s">
        <v>1327</v>
      </c>
      <c r="R51" s="126" t="s">
        <v>1327</v>
      </c>
      <c r="S51" s="126" t="s">
        <v>1328</v>
      </c>
      <c r="T51" s="126" t="s">
        <v>160</v>
      </c>
      <c r="U51" s="126"/>
      <c r="V51" s="128">
        <v>35000000</v>
      </c>
      <c r="W51" s="128">
        <v>35000000</v>
      </c>
      <c r="X51" s="126" t="s">
        <v>1209</v>
      </c>
      <c r="Y51" s="126">
        <v>0</v>
      </c>
      <c r="Z51" s="126">
        <v>0</v>
      </c>
      <c r="AA51" s="126" t="s">
        <v>2</v>
      </c>
      <c r="AB51" s="126" t="s">
        <v>140</v>
      </c>
      <c r="AC51" s="126" t="s">
        <v>162</v>
      </c>
      <c r="AD51" s="126"/>
      <c r="AE51" s="126"/>
      <c r="AF51" s="126"/>
      <c r="AG51" s="126"/>
      <c r="AH51" s="126" t="s">
        <v>371</v>
      </c>
      <c r="AI51" s="126" t="s">
        <v>1329</v>
      </c>
    </row>
    <row r="52" spans="1:35" ht="135" x14ac:dyDescent="0.25">
      <c r="A52" s="46" t="str">
        <f t="shared" si="0"/>
        <v>BGTACRD024946CADENASNUTRESA</v>
      </c>
      <c r="B52" s="126" t="s">
        <v>4</v>
      </c>
      <c r="C52" s="126">
        <v>63981</v>
      </c>
      <c r="D52" s="126" t="s">
        <v>140</v>
      </c>
      <c r="E52" s="126" t="s">
        <v>177</v>
      </c>
      <c r="F52" s="127">
        <v>44530</v>
      </c>
      <c r="G52" s="126" t="s">
        <v>175</v>
      </c>
      <c r="H52" s="126" t="s">
        <v>176</v>
      </c>
      <c r="I52" s="126">
        <v>1</v>
      </c>
      <c r="J52" s="126" t="s">
        <v>184</v>
      </c>
      <c r="K52" s="126" t="s">
        <v>338</v>
      </c>
      <c r="L52" s="126" t="s">
        <v>1330</v>
      </c>
      <c r="M52" s="126" t="s">
        <v>140</v>
      </c>
      <c r="N52" s="126">
        <v>21455</v>
      </c>
      <c r="O52" s="126" t="s">
        <v>501</v>
      </c>
      <c r="P52" s="126" t="s">
        <v>171</v>
      </c>
      <c r="Q52" s="126" t="s">
        <v>449</v>
      </c>
      <c r="R52" s="126" t="s">
        <v>449</v>
      </c>
      <c r="S52" s="126" t="s">
        <v>454</v>
      </c>
      <c r="T52" s="126" t="s">
        <v>160</v>
      </c>
      <c r="U52" s="126"/>
      <c r="V52" s="128">
        <v>2000000</v>
      </c>
      <c r="W52" s="128">
        <v>2000000</v>
      </c>
      <c r="X52" s="126" t="s">
        <v>1209</v>
      </c>
      <c r="Y52" s="126">
        <v>0</v>
      </c>
      <c r="Z52" s="126">
        <v>0</v>
      </c>
      <c r="AA52" s="126" t="s">
        <v>1</v>
      </c>
      <c r="AB52" s="126" t="s">
        <v>140</v>
      </c>
      <c r="AC52" s="126" t="s">
        <v>162</v>
      </c>
      <c r="AD52" s="126"/>
      <c r="AE52" s="126"/>
      <c r="AF52" s="126"/>
      <c r="AG52" s="126"/>
      <c r="AH52" s="126" t="s">
        <v>305</v>
      </c>
      <c r="AI52" s="126" t="s">
        <v>1331</v>
      </c>
    </row>
    <row r="53" spans="1:35" ht="135" x14ac:dyDescent="0.25">
      <c r="A53" s="46" t="str">
        <f t="shared" si="0"/>
        <v>BGTACRD024845AUTOSERVICIOALTILLANO_BPO</v>
      </c>
      <c r="B53" s="126" t="s">
        <v>4</v>
      </c>
      <c r="C53" s="126">
        <v>63985</v>
      </c>
      <c r="D53" s="126" t="s">
        <v>140</v>
      </c>
      <c r="E53" s="126" t="s">
        <v>177</v>
      </c>
      <c r="F53" s="127">
        <v>44530</v>
      </c>
      <c r="G53" s="126" t="s">
        <v>175</v>
      </c>
      <c r="H53" s="126" t="s">
        <v>176</v>
      </c>
      <c r="I53" s="126">
        <v>1</v>
      </c>
      <c r="J53" s="126" t="s">
        <v>184</v>
      </c>
      <c r="K53" s="126" t="s">
        <v>338</v>
      </c>
      <c r="L53" s="126" t="s">
        <v>1332</v>
      </c>
      <c r="M53" s="126" t="s">
        <v>140</v>
      </c>
      <c r="N53" s="126">
        <v>23489</v>
      </c>
      <c r="O53" s="126" t="s">
        <v>502</v>
      </c>
      <c r="P53" s="126" t="s">
        <v>171</v>
      </c>
      <c r="Q53" s="126" t="s">
        <v>464</v>
      </c>
      <c r="R53" s="126" t="s">
        <v>464</v>
      </c>
      <c r="S53" s="126" t="s">
        <v>465</v>
      </c>
      <c r="T53" s="126" t="s">
        <v>160</v>
      </c>
      <c r="U53" s="126"/>
      <c r="V53" s="128">
        <v>500000000</v>
      </c>
      <c r="W53" s="128">
        <v>500000000</v>
      </c>
      <c r="X53" s="126" t="s">
        <v>1209</v>
      </c>
      <c r="Y53" s="126">
        <v>0</v>
      </c>
      <c r="Z53" s="126">
        <v>0</v>
      </c>
      <c r="AA53" s="126" t="s">
        <v>0</v>
      </c>
      <c r="AB53" s="126" t="s">
        <v>215</v>
      </c>
      <c r="AC53" s="126" t="s">
        <v>162</v>
      </c>
      <c r="AD53" s="126"/>
      <c r="AE53" s="126"/>
      <c r="AF53" s="126"/>
      <c r="AG53" s="126"/>
      <c r="AH53" s="126" t="s">
        <v>305</v>
      </c>
      <c r="AI53" s="126" t="s">
        <v>1333</v>
      </c>
    </row>
    <row r="54" spans="1:35" ht="135" x14ac:dyDescent="0.25">
      <c r="A54" s="46" t="str">
        <f t="shared" si="0"/>
        <v>BGTACRD024844AUTOSERVICIOALTILLANO_BPO</v>
      </c>
      <c r="B54" s="126" t="s">
        <v>4</v>
      </c>
      <c r="C54" s="126">
        <v>63985</v>
      </c>
      <c r="D54" s="126" t="s">
        <v>140</v>
      </c>
      <c r="E54" s="126" t="s">
        <v>177</v>
      </c>
      <c r="F54" s="127">
        <v>44530</v>
      </c>
      <c r="G54" s="126" t="s">
        <v>175</v>
      </c>
      <c r="H54" s="126" t="s">
        <v>176</v>
      </c>
      <c r="I54" s="126">
        <v>1</v>
      </c>
      <c r="J54" s="126" t="s">
        <v>184</v>
      </c>
      <c r="K54" s="126" t="s">
        <v>338</v>
      </c>
      <c r="L54" s="126" t="s">
        <v>1332</v>
      </c>
      <c r="M54" s="126" t="s">
        <v>140</v>
      </c>
      <c r="N54" s="126">
        <v>23489</v>
      </c>
      <c r="O54" s="126" t="s">
        <v>502</v>
      </c>
      <c r="P54" s="126" t="s">
        <v>171</v>
      </c>
      <c r="Q54" s="126" t="s">
        <v>461</v>
      </c>
      <c r="R54" s="126" t="s">
        <v>461</v>
      </c>
      <c r="S54" s="126" t="s">
        <v>462</v>
      </c>
      <c r="T54" s="126" t="s">
        <v>160</v>
      </c>
      <c r="U54" s="126"/>
      <c r="V54" s="128">
        <v>500000000</v>
      </c>
      <c r="W54" s="128">
        <v>500000000</v>
      </c>
      <c r="X54" s="126" t="s">
        <v>1209</v>
      </c>
      <c r="Y54" s="126">
        <v>0</v>
      </c>
      <c r="Z54" s="126">
        <v>0</v>
      </c>
      <c r="AA54" s="126" t="s">
        <v>0</v>
      </c>
      <c r="AB54" s="126" t="s">
        <v>215</v>
      </c>
      <c r="AC54" s="126" t="s">
        <v>162</v>
      </c>
      <c r="AD54" s="126"/>
      <c r="AE54" s="126"/>
      <c r="AF54" s="126"/>
      <c r="AG54" s="126"/>
      <c r="AH54" s="126" t="s">
        <v>305</v>
      </c>
      <c r="AI54" s="126" t="s">
        <v>1334</v>
      </c>
    </row>
    <row r="55" spans="1:35" ht="135" x14ac:dyDescent="0.25">
      <c r="A55" s="46" t="str">
        <f t="shared" si="0"/>
        <v>BGTACRD024844AUTOSERVICIOBPO</v>
      </c>
      <c r="B55" s="126" t="s">
        <v>4</v>
      </c>
      <c r="C55" s="126">
        <v>63985</v>
      </c>
      <c r="D55" s="126" t="s">
        <v>140</v>
      </c>
      <c r="E55" s="126" t="s">
        <v>177</v>
      </c>
      <c r="F55" s="127">
        <v>44530</v>
      </c>
      <c r="G55" s="126" t="s">
        <v>175</v>
      </c>
      <c r="H55" s="126" t="s">
        <v>176</v>
      </c>
      <c r="I55" s="126">
        <v>1</v>
      </c>
      <c r="J55" s="126" t="s">
        <v>184</v>
      </c>
      <c r="K55" s="126" t="s">
        <v>338</v>
      </c>
      <c r="L55" s="126" t="s">
        <v>1332</v>
      </c>
      <c r="M55" s="126" t="s">
        <v>140</v>
      </c>
      <c r="N55" s="126">
        <v>23489</v>
      </c>
      <c r="O55" s="126" t="s">
        <v>502</v>
      </c>
      <c r="P55" s="126" t="s">
        <v>171</v>
      </c>
      <c r="Q55" s="126" t="s">
        <v>461</v>
      </c>
      <c r="R55" s="126" t="s">
        <v>461</v>
      </c>
      <c r="S55" s="126" t="s">
        <v>462</v>
      </c>
      <c r="T55" s="126" t="s">
        <v>160</v>
      </c>
      <c r="U55" s="126"/>
      <c r="V55" s="128">
        <v>1000000000</v>
      </c>
      <c r="W55" s="128">
        <v>1000000000</v>
      </c>
      <c r="X55" s="126" t="s">
        <v>1209</v>
      </c>
      <c r="Y55" s="126">
        <v>0</v>
      </c>
      <c r="Z55" s="126">
        <v>0</v>
      </c>
      <c r="AA55" s="126" t="s">
        <v>0</v>
      </c>
      <c r="AB55" s="126" t="s">
        <v>161</v>
      </c>
      <c r="AC55" s="126" t="s">
        <v>162</v>
      </c>
      <c r="AD55" s="126"/>
      <c r="AE55" s="126"/>
      <c r="AF55" s="126"/>
      <c r="AG55" s="126"/>
      <c r="AH55" s="126" t="s">
        <v>305</v>
      </c>
      <c r="AI55" s="126" t="s">
        <v>1335</v>
      </c>
    </row>
    <row r="56" spans="1:35" ht="135" x14ac:dyDescent="0.25">
      <c r="A56" s="46" t="str">
        <f t="shared" si="0"/>
        <v>BGTACRD024845CADENASBPO</v>
      </c>
      <c r="B56" s="126" t="s">
        <v>4</v>
      </c>
      <c r="C56" s="126">
        <v>63985</v>
      </c>
      <c r="D56" s="126" t="s">
        <v>140</v>
      </c>
      <c r="E56" s="126" t="s">
        <v>177</v>
      </c>
      <c r="F56" s="127">
        <v>44530</v>
      </c>
      <c r="G56" s="126" t="s">
        <v>175</v>
      </c>
      <c r="H56" s="126" t="s">
        <v>176</v>
      </c>
      <c r="I56" s="126">
        <v>1</v>
      </c>
      <c r="J56" s="126" t="s">
        <v>184</v>
      </c>
      <c r="K56" s="126" t="s">
        <v>338</v>
      </c>
      <c r="L56" s="126" t="s">
        <v>1332</v>
      </c>
      <c r="M56" s="126" t="s">
        <v>140</v>
      </c>
      <c r="N56" s="126">
        <v>23489</v>
      </c>
      <c r="O56" s="126" t="s">
        <v>502</v>
      </c>
      <c r="P56" s="126" t="s">
        <v>171</v>
      </c>
      <c r="Q56" s="126" t="s">
        <v>464</v>
      </c>
      <c r="R56" s="126" t="s">
        <v>464</v>
      </c>
      <c r="S56" s="126" t="s">
        <v>465</v>
      </c>
      <c r="T56" s="126" t="s">
        <v>160</v>
      </c>
      <c r="U56" s="126"/>
      <c r="V56" s="128">
        <v>3000000000</v>
      </c>
      <c r="W56" s="128">
        <v>3000000000</v>
      </c>
      <c r="X56" s="126" t="s">
        <v>1209</v>
      </c>
      <c r="Y56" s="126">
        <v>0</v>
      </c>
      <c r="Z56" s="126">
        <v>0</v>
      </c>
      <c r="AA56" s="126" t="s">
        <v>1</v>
      </c>
      <c r="AB56" s="126" t="s">
        <v>161</v>
      </c>
      <c r="AC56" s="126" t="s">
        <v>162</v>
      </c>
      <c r="AD56" s="126"/>
      <c r="AE56" s="126"/>
      <c r="AF56" s="126"/>
      <c r="AG56" s="126"/>
      <c r="AH56" s="126" t="s">
        <v>305</v>
      </c>
      <c r="AI56" s="126" t="s">
        <v>1336</v>
      </c>
    </row>
    <row r="57" spans="1:35" ht="135" x14ac:dyDescent="0.25">
      <c r="A57" s="46" t="str">
        <f t="shared" si="0"/>
        <v>BGTACRD024844CADENASBPO</v>
      </c>
      <c r="B57" s="126" t="s">
        <v>4</v>
      </c>
      <c r="C57" s="126">
        <v>63985</v>
      </c>
      <c r="D57" s="126" t="s">
        <v>140</v>
      </c>
      <c r="E57" s="126" t="s">
        <v>177</v>
      </c>
      <c r="F57" s="127">
        <v>44530</v>
      </c>
      <c r="G57" s="126" t="s">
        <v>175</v>
      </c>
      <c r="H57" s="126" t="s">
        <v>176</v>
      </c>
      <c r="I57" s="126">
        <v>1</v>
      </c>
      <c r="J57" s="126" t="s">
        <v>184</v>
      </c>
      <c r="K57" s="126" t="s">
        <v>338</v>
      </c>
      <c r="L57" s="126" t="s">
        <v>1332</v>
      </c>
      <c r="M57" s="126" t="s">
        <v>140</v>
      </c>
      <c r="N57" s="126">
        <v>23489</v>
      </c>
      <c r="O57" s="126" t="s">
        <v>502</v>
      </c>
      <c r="P57" s="126" t="s">
        <v>171</v>
      </c>
      <c r="Q57" s="126" t="s">
        <v>461</v>
      </c>
      <c r="R57" s="126" t="s">
        <v>461</v>
      </c>
      <c r="S57" s="126" t="s">
        <v>462</v>
      </c>
      <c r="T57" s="126" t="s">
        <v>160</v>
      </c>
      <c r="U57" s="126"/>
      <c r="V57" s="128">
        <v>3000000000</v>
      </c>
      <c r="W57" s="128">
        <v>3000000000</v>
      </c>
      <c r="X57" s="126" t="s">
        <v>1209</v>
      </c>
      <c r="Y57" s="126">
        <v>0</v>
      </c>
      <c r="Z57" s="126">
        <v>0</v>
      </c>
      <c r="AA57" s="126" t="s">
        <v>1</v>
      </c>
      <c r="AB57" s="126" t="s">
        <v>161</v>
      </c>
      <c r="AC57" s="126" t="s">
        <v>162</v>
      </c>
      <c r="AD57" s="126"/>
      <c r="AE57" s="126"/>
      <c r="AF57" s="126"/>
      <c r="AG57" s="126"/>
      <c r="AH57" s="126" t="s">
        <v>305</v>
      </c>
      <c r="AI57" s="126" t="s">
        <v>1337</v>
      </c>
    </row>
    <row r="58" spans="1:35" ht="135" x14ac:dyDescent="0.25">
      <c r="A58" s="46" t="str">
        <f t="shared" si="0"/>
        <v>BGTACRD024843AUTOSERVICIOALTILLANO_BPO</v>
      </c>
      <c r="B58" s="126" t="s">
        <v>4</v>
      </c>
      <c r="C58" s="126">
        <v>63985</v>
      </c>
      <c r="D58" s="126" t="s">
        <v>140</v>
      </c>
      <c r="E58" s="126" t="s">
        <v>177</v>
      </c>
      <c r="F58" s="127">
        <v>44530</v>
      </c>
      <c r="G58" s="126" t="s">
        <v>175</v>
      </c>
      <c r="H58" s="126" t="s">
        <v>176</v>
      </c>
      <c r="I58" s="126">
        <v>1</v>
      </c>
      <c r="J58" s="126" t="s">
        <v>184</v>
      </c>
      <c r="K58" s="126" t="s">
        <v>338</v>
      </c>
      <c r="L58" s="126" t="s">
        <v>1332</v>
      </c>
      <c r="M58" s="126" t="s">
        <v>140</v>
      </c>
      <c r="N58" s="126">
        <v>23489</v>
      </c>
      <c r="O58" s="126" t="s">
        <v>502</v>
      </c>
      <c r="P58" s="126" t="s">
        <v>171</v>
      </c>
      <c r="Q58" s="126" t="s">
        <v>463</v>
      </c>
      <c r="R58" s="126" t="s">
        <v>463</v>
      </c>
      <c r="S58" s="126" t="s">
        <v>1214</v>
      </c>
      <c r="T58" s="126" t="s">
        <v>160</v>
      </c>
      <c r="U58" s="126"/>
      <c r="V58" s="128">
        <v>500000000</v>
      </c>
      <c r="W58" s="128">
        <v>500000000</v>
      </c>
      <c r="X58" s="126" t="s">
        <v>1209</v>
      </c>
      <c r="Y58" s="126">
        <v>0</v>
      </c>
      <c r="Z58" s="126">
        <v>0</v>
      </c>
      <c r="AA58" s="126" t="s">
        <v>0</v>
      </c>
      <c r="AB58" s="126" t="s">
        <v>215</v>
      </c>
      <c r="AC58" s="126" t="s">
        <v>162</v>
      </c>
      <c r="AD58" s="126"/>
      <c r="AE58" s="126"/>
      <c r="AF58" s="126"/>
      <c r="AG58" s="126"/>
      <c r="AH58" s="126" t="s">
        <v>305</v>
      </c>
      <c r="AI58" s="126" t="s">
        <v>1338</v>
      </c>
    </row>
    <row r="59" spans="1:35" ht="135" x14ac:dyDescent="0.25">
      <c r="A59" s="46" t="str">
        <f t="shared" si="0"/>
        <v>BGTACRD024842CADENASBPO</v>
      </c>
      <c r="B59" s="126" t="s">
        <v>4</v>
      </c>
      <c r="C59" s="126">
        <v>63985</v>
      </c>
      <c r="D59" s="126" t="s">
        <v>140</v>
      </c>
      <c r="E59" s="126" t="s">
        <v>177</v>
      </c>
      <c r="F59" s="127">
        <v>44530</v>
      </c>
      <c r="G59" s="126" t="s">
        <v>175</v>
      </c>
      <c r="H59" s="126" t="s">
        <v>176</v>
      </c>
      <c r="I59" s="126">
        <v>1</v>
      </c>
      <c r="J59" s="126" t="s">
        <v>184</v>
      </c>
      <c r="K59" s="126" t="s">
        <v>338</v>
      </c>
      <c r="L59" s="126" t="s">
        <v>1332</v>
      </c>
      <c r="M59" s="126" t="s">
        <v>140</v>
      </c>
      <c r="N59" s="126">
        <v>23489</v>
      </c>
      <c r="O59" s="126" t="s">
        <v>502</v>
      </c>
      <c r="P59" s="126" t="s">
        <v>171</v>
      </c>
      <c r="Q59" s="126" t="s">
        <v>459</v>
      </c>
      <c r="R59" s="126" t="s">
        <v>459</v>
      </c>
      <c r="S59" s="126" t="s">
        <v>460</v>
      </c>
      <c r="T59" s="126" t="s">
        <v>160</v>
      </c>
      <c r="U59" s="126"/>
      <c r="V59" s="128">
        <v>3000000000</v>
      </c>
      <c r="W59" s="128">
        <v>3000000000</v>
      </c>
      <c r="X59" s="126" t="s">
        <v>1209</v>
      </c>
      <c r="Y59" s="126">
        <v>0</v>
      </c>
      <c r="Z59" s="126">
        <v>0</v>
      </c>
      <c r="AA59" s="126" t="s">
        <v>1</v>
      </c>
      <c r="AB59" s="126" t="s">
        <v>161</v>
      </c>
      <c r="AC59" s="126" t="s">
        <v>162</v>
      </c>
      <c r="AD59" s="126"/>
      <c r="AE59" s="126"/>
      <c r="AF59" s="126"/>
      <c r="AG59" s="126"/>
      <c r="AH59" s="126" t="s">
        <v>305</v>
      </c>
      <c r="AI59" s="126" t="s">
        <v>1339</v>
      </c>
    </row>
    <row r="60" spans="1:35" ht="135" x14ac:dyDescent="0.25">
      <c r="A60" s="46" t="str">
        <f t="shared" si="0"/>
        <v>BGTACRD024843AUTOSERVICIOBPO</v>
      </c>
      <c r="B60" s="126" t="s">
        <v>4</v>
      </c>
      <c r="C60" s="126">
        <v>63985</v>
      </c>
      <c r="D60" s="126" t="s">
        <v>140</v>
      </c>
      <c r="E60" s="126" t="s">
        <v>177</v>
      </c>
      <c r="F60" s="127">
        <v>44530</v>
      </c>
      <c r="G60" s="126" t="s">
        <v>175</v>
      </c>
      <c r="H60" s="126" t="s">
        <v>176</v>
      </c>
      <c r="I60" s="126">
        <v>1</v>
      </c>
      <c r="J60" s="126" t="s">
        <v>184</v>
      </c>
      <c r="K60" s="126" t="s">
        <v>338</v>
      </c>
      <c r="L60" s="126" t="s">
        <v>1332</v>
      </c>
      <c r="M60" s="126" t="s">
        <v>140</v>
      </c>
      <c r="N60" s="126">
        <v>23489</v>
      </c>
      <c r="O60" s="126" t="s">
        <v>502</v>
      </c>
      <c r="P60" s="126" t="s">
        <v>171</v>
      </c>
      <c r="Q60" s="126" t="s">
        <v>463</v>
      </c>
      <c r="R60" s="126" t="s">
        <v>463</v>
      </c>
      <c r="S60" s="126" t="s">
        <v>1214</v>
      </c>
      <c r="T60" s="126" t="s">
        <v>160</v>
      </c>
      <c r="U60" s="126"/>
      <c r="V60" s="128">
        <v>1000000000</v>
      </c>
      <c r="W60" s="128">
        <v>1000000000</v>
      </c>
      <c r="X60" s="126" t="s">
        <v>1209</v>
      </c>
      <c r="Y60" s="126">
        <v>0</v>
      </c>
      <c r="Z60" s="126">
        <v>0</v>
      </c>
      <c r="AA60" s="126" t="s">
        <v>0</v>
      </c>
      <c r="AB60" s="126" t="s">
        <v>161</v>
      </c>
      <c r="AC60" s="126" t="s">
        <v>162</v>
      </c>
      <c r="AD60" s="126"/>
      <c r="AE60" s="126"/>
      <c r="AF60" s="126"/>
      <c r="AG60" s="126"/>
      <c r="AH60" s="126" t="s">
        <v>305</v>
      </c>
      <c r="AI60" s="126" t="s">
        <v>1340</v>
      </c>
    </row>
    <row r="61" spans="1:35" ht="135" x14ac:dyDescent="0.25">
      <c r="A61" s="46" t="str">
        <f t="shared" si="0"/>
        <v>BGTACRD024842AUTOSERVICIOALTILLANO_BPO</v>
      </c>
      <c r="B61" s="126" t="s">
        <v>4</v>
      </c>
      <c r="C61" s="126">
        <v>63985</v>
      </c>
      <c r="D61" s="126" t="s">
        <v>140</v>
      </c>
      <c r="E61" s="126" t="s">
        <v>177</v>
      </c>
      <c r="F61" s="127">
        <v>44530</v>
      </c>
      <c r="G61" s="126" t="s">
        <v>175</v>
      </c>
      <c r="H61" s="126" t="s">
        <v>176</v>
      </c>
      <c r="I61" s="126">
        <v>1</v>
      </c>
      <c r="J61" s="126" t="s">
        <v>184</v>
      </c>
      <c r="K61" s="126" t="s">
        <v>338</v>
      </c>
      <c r="L61" s="126" t="s">
        <v>1332</v>
      </c>
      <c r="M61" s="126" t="s">
        <v>140</v>
      </c>
      <c r="N61" s="126">
        <v>23489</v>
      </c>
      <c r="O61" s="126" t="s">
        <v>502</v>
      </c>
      <c r="P61" s="126" t="s">
        <v>171</v>
      </c>
      <c r="Q61" s="126" t="s">
        <v>459</v>
      </c>
      <c r="R61" s="126" t="s">
        <v>459</v>
      </c>
      <c r="S61" s="126" t="s">
        <v>460</v>
      </c>
      <c r="T61" s="126" t="s">
        <v>160</v>
      </c>
      <c r="U61" s="126"/>
      <c r="V61" s="128">
        <v>500000000</v>
      </c>
      <c r="W61" s="128">
        <v>500000000</v>
      </c>
      <c r="X61" s="126" t="s">
        <v>1209</v>
      </c>
      <c r="Y61" s="126">
        <v>0</v>
      </c>
      <c r="Z61" s="126">
        <v>0</v>
      </c>
      <c r="AA61" s="126" t="s">
        <v>0</v>
      </c>
      <c r="AB61" s="126" t="s">
        <v>215</v>
      </c>
      <c r="AC61" s="126" t="s">
        <v>162</v>
      </c>
      <c r="AD61" s="126"/>
      <c r="AE61" s="126"/>
      <c r="AF61" s="126"/>
      <c r="AG61" s="126"/>
      <c r="AH61" s="126" t="s">
        <v>305</v>
      </c>
      <c r="AI61" s="126" t="s">
        <v>1341</v>
      </c>
    </row>
    <row r="62" spans="1:35" ht="135" x14ac:dyDescent="0.25">
      <c r="A62" s="46" t="str">
        <f t="shared" si="0"/>
        <v>BGTACRD024845AUTOSERVICIOBPO</v>
      </c>
      <c r="B62" s="126" t="s">
        <v>4</v>
      </c>
      <c r="C62" s="126">
        <v>63985</v>
      </c>
      <c r="D62" s="126" t="s">
        <v>140</v>
      </c>
      <c r="E62" s="126" t="s">
        <v>177</v>
      </c>
      <c r="F62" s="127">
        <v>44530</v>
      </c>
      <c r="G62" s="126" t="s">
        <v>175</v>
      </c>
      <c r="H62" s="126" t="s">
        <v>176</v>
      </c>
      <c r="I62" s="126">
        <v>1</v>
      </c>
      <c r="J62" s="126" t="s">
        <v>184</v>
      </c>
      <c r="K62" s="126" t="s">
        <v>338</v>
      </c>
      <c r="L62" s="126" t="s">
        <v>1332</v>
      </c>
      <c r="M62" s="126" t="s">
        <v>140</v>
      </c>
      <c r="N62" s="126">
        <v>23489</v>
      </c>
      <c r="O62" s="126" t="s">
        <v>502</v>
      </c>
      <c r="P62" s="126" t="s">
        <v>171</v>
      </c>
      <c r="Q62" s="126" t="s">
        <v>464</v>
      </c>
      <c r="R62" s="126" t="s">
        <v>464</v>
      </c>
      <c r="S62" s="126" t="s">
        <v>465</v>
      </c>
      <c r="T62" s="126" t="s">
        <v>160</v>
      </c>
      <c r="U62" s="126"/>
      <c r="V62" s="128">
        <v>1000000000</v>
      </c>
      <c r="W62" s="128">
        <v>1000000000</v>
      </c>
      <c r="X62" s="126" t="s">
        <v>1209</v>
      </c>
      <c r="Y62" s="126">
        <v>0</v>
      </c>
      <c r="Z62" s="126">
        <v>0</v>
      </c>
      <c r="AA62" s="126" t="s">
        <v>0</v>
      </c>
      <c r="AB62" s="126" t="s">
        <v>161</v>
      </c>
      <c r="AC62" s="126" t="s">
        <v>162</v>
      </c>
      <c r="AD62" s="126"/>
      <c r="AE62" s="126"/>
      <c r="AF62" s="126"/>
      <c r="AG62" s="126"/>
      <c r="AH62" s="126" t="s">
        <v>305</v>
      </c>
      <c r="AI62" s="126" t="s">
        <v>1342</v>
      </c>
    </row>
    <row r="63" spans="1:35" ht="135" x14ac:dyDescent="0.25">
      <c r="A63" s="46" t="str">
        <f t="shared" si="0"/>
        <v>BGTACRD024843CADENASBPO</v>
      </c>
      <c r="B63" s="126" t="s">
        <v>4</v>
      </c>
      <c r="C63" s="126">
        <v>63985</v>
      </c>
      <c r="D63" s="126" t="s">
        <v>140</v>
      </c>
      <c r="E63" s="126" t="s">
        <v>177</v>
      </c>
      <c r="F63" s="127">
        <v>44530</v>
      </c>
      <c r="G63" s="126" t="s">
        <v>175</v>
      </c>
      <c r="H63" s="126" t="s">
        <v>176</v>
      </c>
      <c r="I63" s="126">
        <v>1</v>
      </c>
      <c r="J63" s="126" t="s">
        <v>184</v>
      </c>
      <c r="K63" s="126" t="s">
        <v>338</v>
      </c>
      <c r="L63" s="126" t="s">
        <v>1332</v>
      </c>
      <c r="M63" s="126" t="s">
        <v>140</v>
      </c>
      <c r="N63" s="126">
        <v>23489</v>
      </c>
      <c r="O63" s="126" t="s">
        <v>502</v>
      </c>
      <c r="P63" s="126" t="s">
        <v>171</v>
      </c>
      <c r="Q63" s="126" t="s">
        <v>463</v>
      </c>
      <c r="R63" s="126" t="s">
        <v>463</v>
      </c>
      <c r="S63" s="126" t="s">
        <v>1214</v>
      </c>
      <c r="T63" s="126" t="s">
        <v>160</v>
      </c>
      <c r="U63" s="126"/>
      <c r="V63" s="128">
        <v>3000000000</v>
      </c>
      <c r="W63" s="128">
        <v>3000000000</v>
      </c>
      <c r="X63" s="126" t="s">
        <v>1209</v>
      </c>
      <c r="Y63" s="126">
        <v>0</v>
      </c>
      <c r="Z63" s="126">
        <v>0</v>
      </c>
      <c r="AA63" s="126" t="s">
        <v>1</v>
      </c>
      <c r="AB63" s="126" t="s">
        <v>161</v>
      </c>
      <c r="AC63" s="126" t="s">
        <v>162</v>
      </c>
      <c r="AD63" s="126"/>
      <c r="AE63" s="126"/>
      <c r="AF63" s="126"/>
      <c r="AG63" s="126"/>
      <c r="AH63" s="126" t="s">
        <v>305</v>
      </c>
      <c r="AI63" s="126" t="s">
        <v>1343</v>
      </c>
    </row>
    <row r="64" spans="1:35" ht="135" x14ac:dyDescent="0.25">
      <c r="A64" s="46" t="str">
        <f t="shared" si="0"/>
        <v>BGTACRD024842AUTOSERVICIOBPO</v>
      </c>
      <c r="B64" s="126" t="s">
        <v>4</v>
      </c>
      <c r="C64" s="126">
        <v>63985</v>
      </c>
      <c r="D64" s="126" t="s">
        <v>140</v>
      </c>
      <c r="E64" s="126" t="s">
        <v>177</v>
      </c>
      <c r="F64" s="127">
        <v>44530</v>
      </c>
      <c r="G64" s="126" t="s">
        <v>175</v>
      </c>
      <c r="H64" s="126" t="s">
        <v>176</v>
      </c>
      <c r="I64" s="126">
        <v>1</v>
      </c>
      <c r="J64" s="126" t="s">
        <v>184</v>
      </c>
      <c r="K64" s="126" t="s">
        <v>338</v>
      </c>
      <c r="L64" s="126" t="s">
        <v>1332</v>
      </c>
      <c r="M64" s="126" t="s">
        <v>140</v>
      </c>
      <c r="N64" s="126">
        <v>23489</v>
      </c>
      <c r="O64" s="126" t="s">
        <v>502</v>
      </c>
      <c r="P64" s="126" t="s">
        <v>171</v>
      </c>
      <c r="Q64" s="126" t="s">
        <v>459</v>
      </c>
      <c r="R64" s="126" t="s">
        <v>459</v>
      </c>
      <c r="S64" s="126" t="s">
        <v>460</v>
      </c>
      <c r="T64" s="126" t="s">
        <v>160</v>
      </c>
      <c r="U64" s="126"/>
      <c r="V64" s="128">
        <v>1000000000</v>
      </c>
      <c r="W64" s="128">
        <v>1000000000</v>
      </c>
      <c r="X64" s="126" t="s">
        <v>1209</v>
      </c>
      <c r="Y64" s="126">
        <v>0</v>
      </c>
      <c r="Z64" s="126">
        <v>0</v>
      </c>
      <c r="AA64" s="126" t="s">
        <v>0</v>
      </c>
      <c r="AB64" s="126" t="s">
        <v>161</v>
      </c>
      <c r="AC64" s="126" t="s">
        <v>162</v>
      </c>
      <c r="AD64" s="126"/>
      <c r="AE64" s="126"/>
      <c r="AF64" s="126"/>
      <c r="AG64" s="126"/>
      <c r="AH64" s="126" t="s">
        <v>305</v>
      </c>
      <c r="AI64" s="126" t="s">
        <v>1344</v>
      </c>
    </row>
    <row r="65" spans="1:35" ht="135" x14ac:dyDescent="0.25">
      <c r="A65" s="46" t="str">
        <f t="shared" si="0"/>
        <v>BGTAACT000120AUTOSERVICIONUTRESA</v>
      </c>
      <c r="B65" s="126" t="s">
        <v>4</v>
      </c>
      <c r="C65" s="126">
        <v>63990</v>
      </c>
      <c r="D65" s="126" t="s">
        <v>140</v>
      </c>
      <c r="E65" s="126" t="s">
        <v>177</v>
      </c>
      <c r="F65" s="127">
        <v>44530</v>
      </c>
      <c r="G65" s="126" t="s">
        <v>175</v>
      </c>
      <c r="H65" s="126" t="s">
        <v>176</v>
      </c>
      <c r="I65" s="126">
        <v>1</v>
      </c>
      <c r="J65" s="126" t="s">
        <v>184</v>
      </c>
      <c r="K65" s="126" t="s">
        <v>338</v>
      </c>
      <c r="L65" s="126" t="s">
        <v>1345</v>
      </c>
      <c r="M65" s="126" t="s">
        <v>140</v>
      </c>
      <c r="N65" s="126">
        <v>12403</v>
      </c>
      <c r="O65" s="126" t="s">
        <v>503</v>
      </c>
      <c r="P65" s="126" t="s">
        <v>170</v>
      </c>
      <c r="Q65" s="126" t="s">
        <v>504</v>
      </c>
      <c r="R65" s="126" t="s">
        <v>504</v>
      </c>
      <c r="S65" s="126" t="s">
        <v>505</v>
      </c>
      <c r="T65" s="126" t="s">
        <v>160</v>
      </c>
      <c r="U65" s="126"/>
      <c r="V65" s="128">
        <v>1000000</v>
      </c>
      <c r="W65" s="128">
        <v>1000000</v>
      </c>
      <c r="X65" s="126" t="s">
        <v>1209</v>
      </c>
      <c r="Y65" s="126">
        <v>91097</v>
      </c>
      <c r="Z65" s="126">
        <v>0</v>
      </c>
      <c r="AA65" s="126" t="s">
        <v>0</v>
      </c>
      <c r="AB65" s="126" t="s">
        <v>140</v>
      </c>
      <c r="AC65" s="126" t="s">
        <v>218</v>
      </c>
      <c r="AD65" s="126"/>
      <c r="AE65" s="126"/>
      <c r="AF65" s="126"/>
      <c r="AG65" s="126"/>
      <c r="AH65" s="126" t="s">
        <v>305</v>
      </c>
      <c r="AI65" s="126" t="s">
        <v>1346</v>
      </c>
    </row>
    <row r="66" spans="1:35" ht="135" x14ac:dyDescent="0.25">
      <c r="A66" s="46" t="str">
        <f t="shared" si="0"/>
        <v>BGTACRD022670CADENASBPO</v>
      </c>
      <c r="B66" s="126" t="s">
        <v>4</v>
      </c>
      <c r="C66" s="126">
        <v>64012</v>
      </c>
      <c r="D66" s="126" t="s">
        <v>140</v>
      </c>
      <c r="E66" s="126" t="s">
        <v>177</v>
      </c>
      <c r="F66" s="127">
        <v>44531</v>
      </c>
      <c r="G66" s="126" t="s">
        <v>175</v>
      </c>
      <c r="H66" s="126" t="s">
        <v>176</v>
      </c>
      <c r="I66" s="126">
        <v>1</v>
      </c>
      <c r="J66" s="126" t="s">
        <v>184</v>
      </c>
      <c r="K66" s="126" t="s">
        <v>305</v>
      </c>
      <c r="L66" s="126" t="s">
        <v>1347</v>
      </c>
      <c r="M66" s="126" t="s">
        <v>506</v>
      </c>
      <c r="N66" s="126">
        <v>4587</v>
      </c>
      <c r="O66" s="126" t="s">
        <v>507</v>
      </c>
      <c r="P66" s="126" t="s">
        <v>172</v>
      </c>
      <c r="Q66" s="126" t="s">
        <v>309</v>
      </c>
      <c r="R66" s="126" t="s">
        <v>309</v>
      </c>
      <c r="S66" s="126" t="s">
        <v>310</v>
      </c>
      <c r="T66" s="126" t="s">
        <v>160</v>
      </c>
      <c r="U66" s="126"/>
      <c r="V66" s="128">
        <v>220000000</v>
      </c>
      <c r="W66" s="128">
        <v>220000000</v>
      </c>
      <c r="X66" s="126" t="s">
        <v>1209</v>
      </c>
      <c r="Y66" s="126">
        <v>0</v>
      </c>
      <c r="Z66" s="126" t="s">
        <v>318</v>
      </c>
      <c r="AA66" s="126" t="s">
        <v>1</v>
      </c>
      <c r="AB66" s="126" t="s">
        <v>161</v>
      </c>
      <c r="AC66" s="126" t="s">
        <v>162</v>
      </c>
      <c r="AD66" s="127">
        <v>44598</v>
      </c>
      <c r="AE66" s="126"/>
      <c r="AF66" s="127">
        <v>44598</v>
      </c>
      <c r="AG66" s="126"/>
      <c r="AH66" s="126" t="s">
        <v>305</v>
      </c>
      <c r="AI66" s="126" t="s">
        <v>1348</v>
      </c>
    </row>
    <row r="67" spans="1:35" ht="135" x14ac:dyDescent="0.25">
      <c r="A67" s="46" t="str">
        <f t="shared" ref="A67:A130" si="1">+CONCATENATE(B67,Q67,AA67,AB67)</f>
        <v>BGTACRD016151CADENASBPO</v>
      </c>
      <c r="B67" s="126" t="s">
        <v>4</v>
      </c>
      <c r="C67" s="126">
        <v>64012</v>
      </c>
      <c r="D67" s="126" t="s">
        <v>140</v>
      </c>
      <c r="E67" s="126" t="s">
        <v>177</v>
      </c>
      <c r="F67" s="127">
        <v>44531</v>
      </c>
      <c r="G67" s="126" t="s">
        <v>175</v>
      </c>
      <c r="H67" s="126" t="s">
        <v>176</v>
      </c>
      <c r="I67" s="126">
        <v>1</v>
      </c>
      <c r="J67" s="126" t="s">
        <v>184</v>
      </c>
      <c r="K67" s="126" t="s">
        <v>305</v>
      </c>
      <c r="L67" s="126" t="s">
        <v>1347</v>
      </c>
      <c r="M67" s="126" t="s">
        <v>506</v>
      </c>
      <c r="N67" s="126">
        <v>4587</v>
      </c>
      <c r="O67" s="126" t="s">
        <v>507</v>
      </c>
      <c r="P67" s="126" t="s">
        <v>168</v>
      </c>
      <c r="Q67" s="126" t="s">
        <v>146</v>
      </c>
      <c r="R67" s="126" t="s">
        <v>146</v>
      </c>
      <c r="S67" s="126" t="s">
        <v>203</v>
      </c>
      <c r="T67" s="126" t="s">
        <v>160</v>
      </c>
      <c r="U67" s="126"/>
      <c r="V67" s="128">
        <v>220000000</v>
      </c>
      <c r="W67" s="128">
        <v>220000000</v>
      </c>
      <c r="X67" s="126" t="s">
        <v>1209</v>
      </c>
      <c r="Y67" s="126">
        <v>0</v>
      </c>
      <c r="Z67" s="126">
        <v>0</v>
      </c>
      <c r="AA67" s="126" t="s">
        <v>1</v>
      </c>
      <c r="AB67" s="126" t="s">
        <v>161</v>
      </c>
      <c r="AC67" s="126" t="s">
        <v>162</v>
      </c>
      <c r="AD67" s="126"/>
      <c r="AE67" s="126"/>
      <c r="AF67" s="126"/>
      <c r="AG67" s="126"/>
      <c r="AH67" s="126" t="s">
        <v>305</v>
      </c>
      <c r="AI67" s="126" t="s">
        <v>1349</v>
      </c>
    </row>
    <row r="68" spans="1:35" ht="135" x14ac:dyDescent="0.25">
      <c r="A68" s="46" t="str">
        <f t="shared" si="1"/>
        <v>BGTACRD014117CADENASBPO</v>
      </c>
      <c r="B68" s="126" t="s">
        <v>4</v>
      </c>
      <c r="C68" s="126">
        <v>64012</v>
      </c>
      <c r="D68" s="126" t="s">
        <v>140</v>
      </c>
      <c r="E68" s="126" t="s">
        <v>177</v>
      </c>
      <c r="F68" s="127">
        <v>44531</v>
      </c>
      <c r="G68" s="126" t="s">
        <v>175</v>
      </c>
      <c r="H68" s="126" t="s">
        <v>176</v>
      </c>
      <c r="I68" s="126">
        <v>1</v>
      </c>
      <c r="J68" s="126" t="s">
        <v>184</v>
      </c>
      <c r="K68" s="126" t="s">
        <v>305</v>
      </c>
      <c r="L68" s="126" t="s">
        <v>1347</v>
      </c>
      <c r="M68" s="126" t="s">
        <v>506</v>
      </c>
      <c r="N68" s="126">
        <v>4587</v>
      </c>
      <c r="O68" s="126" t="s">
        <v>507</v>
      </c>
      <c r="P68" s="126" t="s">
        <v>172</v>
      </c>
      <c r="Q68" s="126" t="s">
        <v>508</v>
      </c>
      <c r="R68" s="126" t="s">
        <v>508</v>
      </c>
      <c r="S68" s="126" t="s">
        <v>509</v>
      </c>
      <c r="T68" s="126" t="s">
        <v>160</v>
      </c>
      <c r="U68" s="126"/>
      <c r="V68" s="128">
        <v>220000000</v>
      </c>
      <c r="W68" s="128">
        <v>220000000</v>
      </c>
      <c r="X68" s="126" t="s">
        <v>1209</v>
      </c>
      <c r="Y68" s="126">
        <v>0</v>
      </c>
      <c r="Z68" s="126" t="s">
        <v>318</v>
      </c>
      <c r="AA68" s="126" t="s">
        <v>1</v>
      </c>
      <c r="AB68" s="126" t="s">
        <v>161</v>
      </c>
      <c r="AC68" s="126" t="s">
        <v>162</v>
      </c>
      <c r="AD68" s="127">
        <v>44598</v>
      </c>
      <c r="AE68" s="126"/>
      <c r="AF68" s="127">
        <v>44598</v>
      </c>
      <c r="AG68" s="126"/>
      <c r="AH68" s="126" t="s">
        <v>305</v>
      </c>
      <c r="AI68" s="126" t="s">
        <v>1350</v>
      </c>
    </row>
    <row r="69" spans="1:35" ht="135" x14ac:dyDescent="0.25">
      <c r="A69" s="46" t="str">
        <f t="shared" si="1"/>
        <v>BGTACRD025003CADENASBPO</v>
      </c>
      <c r="B69" s="126" t="s">
        <v>4</v>
      </c>
      <c r="C69" s="126">
        <v>64065</v>
      </c>
      <c r="D69" s="126" t="s">
        <v>140</v>
      </c>
      <c r="E69" s="126" t="s">
        <v>177</v>
      </c>
      <c r="F69" s="127">
        <v>44532</v>
      </c>
      <c r="G69" s="126" t="s">
        <v>175</v>
      </c>
      <c r="H69" s="126" t="s">
        <v>176</v>
      </c>
      <c r="I69" s="126">
        <v>1</v>
      </c>
      <c r="J69" s="126" t="s">
        <v>184</v>
      </c>
      <c r="K69" s="126" t="s">
        <v>305</v>
      </c>
      <c r="L69" s="126" t="s">
        <v>1351</v>
      </c>
      <c r="M69" s="126" t="s">
        <v>140</v>
      </c>
      <c r="N69" s="126">
        <v>30645</v>
      </c>
      <c r="O69" s="126" t="s">
        <v>510</v>
      </c>
      <c r="P69" s="126" t="s">
        <v>171</v>
      </c>
      <c r="Q69" s="126" t="s">
        <v>469</v>
      </c>
      <c r="R69" s="126" t="s">
        <v>469</v>
      </c>
      <c r="S69" s="126" t="s">
        <v>1231</v>
      </c>
      <c r="T69" s="126" t="s">
        <v>160</v>
      </c>
      <c r="U69" s="126"/>
      <c r="V69" s="128">
        <v>220000000</v>
      </c>
      <c r="W69" s="128">
        <v>220000000</v>
      </c>
      <c r="X69" s="126" t="s">
        <v>1209</v>
      </c>
      <c r="Y69" s="126">
        <v>0</v>
      </c>
      <c r="Z69" s="126">
        <v>0</v>
      </c>
      <c r="AA69" s="126" t="s">
        <v>1</v>
      </c>
      <c r="AB69" s="126" t="s">
        <v>161</v>
      </c>
      <c r="AC69" s="126" t="s">
        <v>162</v>
      </c>
      <c r="AD69" s="126"/>
      <c r="AE69" s="126"/>
      <c r="AF69" s="126"/>
      <c r="AG69" s="126"/>
      <c r="AH69" s="126" t="s">
        <v>305</v>
      </c>
      <c r="AI69" s="126" t="s">
        <v>1352</v>
      </c>
    </row>
    <row r="70" spans="1:35" ht="135" x14ac:dyDescent="0.25">
      <c r="A70" s="46" t="str">
        <f t="shared" si="1"/>
        <v>BGTACRD024981AUTOSERVICIONUTRESA</v>
      </c>
      <c r="B70" s="126" t="s">
        <v>4</v>
      </c>
      <c r="C70" s="126">
        <v>64071</v>
      </c>
      <c r="D70" s="126" t="s">
        <v>140</v>
      </c>
      <c r="E70" s="126" t="s">
        <v>177</v>
      </c>
      <c r="F70" s="127">
        <v>44533</v>
      </c>
      <c r="G70" s="126" t="s">
        <v>175</v>
      </c>
      <c r="H70" s="126" t="s">
        <v>176</v>
      </c>
      <c r="I70" s="126">
        <v>1</v>
      </c>
      <c r="J70" s="126" t="s">
        <v>184</v>
      </c>
      <c r="K70" s="126" t="s">
        <v>338</v>
      </c>
      <c r="L70" s="126" t="s">
        <v>1353</v>
      </c>
      <c r="M70" s="126" t="s">
        <v>140</v>
      </c>
      <c r="N70" s="126" t="s">
        <v>511</v>
      </c>
      <c r="O70" s="126" t="s">
        <v>512</v>
      </c>
      <c r="P70" s="126" t="s">
        <v>172</v>
      </c>
      <c r="Q70" s="126" t="s">
        <v>513</v>
      </c>
      <c r="R70" s="126" t="s">
        <v>513</v>
      </c>
      <c r="S70" s="126" t="s">
        <v>514</v>
      </c>
      <c r="T70" s="126" t="s">
        <v>160</v>
      </c>
      <c r="U70" s="126"/>
      <c r="V70" s="128">
        <v>275000000</v>
      </c>
      <c r="W70" s="128">
        <v>275000000</v>
      </c>
      <c r="X70" s="126" t="s">
        <v>1209</v>
      </c>
      <c r="Y70" s="126">
        <v>0</v>
      </c>
      <c r="Z70" s="126" t="s">
        <v>515</v>
      </c>
      <c r="AA70" s="126" t="s">
        <v>0</v>
      </c>
      <c r="AB70" s="126" t="s">
        <v>140</v>
      </c>
      <c r="AC70" s="126" t="s">
        <v>162</v>
      </c>
      <c r="AD70" s="127">
        <v>44720</v>
      </c>
      <c r="AE70" s="126"/>
      <c r="AF70" s="127">
        <v>44720</v>
      </c>
      <c r="AG70" s="126"/>
      <c r="AH70" s="126" t="s">
        <v>387</v>
      </c>
      <c r="AI70" s="126" t="s">
        <v>1354</v>
      </c>
    </row>
    <row r="71" spans="1:35" ht="135" x14ac:dyDescent="0.25">
      <c r="A71" s="46" t="str">
        <f t="shared" si="1"/>
        <v>BGTACRD024981AUTOSERVICIOALTILLANO</v>
      </c>
      <c r="B71" s="126" t="s">
        <v>4</v>
      </c>
      <c r="C71" s="126">
        <v>64072</v>
      </c>
      <c r="D71" s="126" t="s">
        <v>140</v>
      </c>
      <c r="E71" s="126" t="s">
        <v>177</v>
      </c>
      <c r="F71" s="127">
        <v>44533</v>
      </c>
      <c r="G71" s="126" t="s">
        <v>175</v>
      </c>
      <c r="H71" s="126" t="s">
        <v>176</v>
      </c>
      <c r="I71" s="126">
        <v>1</v>
      </c>
      <c r="J71" s="126" t="s">
        <v>184</v>
      </c>
      <c r="K71" s="126" t="s">
        <v>338</v>
      </c>
      <c r="L71" s="126" t="s">
        <v>1355</v>
      </c>
      <c r="M71" s="126" t="s">
        <v>140</v>
      </c>
      <c r="N71" s="126" t="s">
        <v>516</v>
      </c>
      <c r="O71" s="126" t="s">
        <v>517</v>
      </c>
      <c r="P71" s="126" t="s">
        <v>172</v>
      </c>
      <c r="Q71" s="126" t="s">
        <v>513</v>
      </c>
      <c r="R71" s="126" t="s">
        <v>513</v>
      </c>
      <c r="S71" s="126" t="s">
        <v>514</v>
      </c>
      <c r="T71" s="126" t="s">
        <v>160</v>
      </c>
      <c r="U71" s="126"/>
      <c r="V71" s="128">
        <v>67000000</v>
      </c>
      <c r="W71" s="128">
        <v>67000000</v>
      </c>
      <c r="X71" s="126" t="s">
        <v>1209</v>
      </c>
      <c r="Y71" s="126">
        <v>0</v>
      </c>
      <c r="Z71" s="126" t="s">
        <v>515</v>
      </c>
      <c r="AA71" s="126" t="s">
        <v>0</v>
      </c>
      <c r="AB71" s="126" t="s">
        <v>145</v>
      </c>
      <c r="AC71" s="126" t="s">
        <v>162</v>
      </c>
      <c r="AD71" s="127">
        <v>44720</v>
      </c>
      <c r="AE71" s="126"/>
      <c r="AF71" s="127">
        <v>44720</v>
      </c>
      <c r="AG71" s="126"/>
      <c r="AH71" s="126" t="s">
        <v>387</v>
      </c>
      <c r="AI71" s="126" t="s">
        <v>1356</v>
      </c>
    </row>
    <row r="72" spans="1:35" ht="135" x14ac:dyDescent="0.25">
      <c r="A72" s="46" t="str">
        <f t="shared" si="1"/>
        <v>BGTACRD012726CADENASNUTRESA</v>
      </c>
      <c r="B72" s="126" t="s">
        <v>4</v>
      </c>
      <c r="C72" s="126">
        <v>64073</v>
      </c>
      <c r="D72" s="126" t="s">
        <v>140</v>
      </c>
      <c r="E72" s="126" t="s">
        <v>177</v>
      </c>
      <c r="F72" s="127">
        <v>44533</v>
      </c>
      <c r="G72" s="126" t="s">
        <v>175</v>
      </c>
      <c r="H72" s="126" t="s">
        <v>176</v>
      </c>
      <c r="I72" s="126">
        <v>1</v>
      </c>
      <c r="J72" s="126" t="s">
        <v>184</v>
      </c>
      <c r="K72" s="126" t="s">
        <v>338</v>
      </c>
      <c r="L72" s="126" t="s">
        <v>1357</v>
      </c>
      <c r="M72" s="126" t="s">
        <v>140</v>
      </c>
      <c r="N72" s="126" t="s">
        <v>518</v>
      </c>
      <c r="O72" s="126" t="s">
        <v>519</v>
      </c>
      <c r="P72" s="126" t="s">
        <v>172</v>
      </c>
      <c r="Q72" s="126" t="s">
        <v>526</v>
      </c>
      <c r="R72" s="126" t="s">
        <v>526</v>
      </c>
      <c r="S72" s="126" t="s">
        <v>527</v>
      </c>
      <c r="T72" s="126" t="s">
        <v>160</v>
      </c>
      <c r="U72" s="126"/>
      <c r="V72" s="128">
        <v>4000000</v>
      </c>
      <c r="W72" s="128">
        <v>4000000</v>
      </c>
      <c r="X72" s="126" t="s">
        <v>1209</v>
      </c>
      <c r="Y72" s="126">
        <v>0</v>
      </c>
      <c r="Z72" s="126" t="s">
        <v>528</v>
      </c>
      <c r="AA72" s="126" t="s">
        <v>1</v>
      </c>
      <c r="AB72" s="126" t="s">
        <v>140</v>
      </c>
      <c r="AC72" s="126" t="s">
        <v>162</v>
      </c>
      <c r="AD72" s="127">
        <v>45054</v>
      </c>
      <c r="AE72" s="126"/>
      <c r="AF72" s="127">
        <v>45054</v>
      </c>
      <c r="AG72" s="126"/>
      <c r="AH72" s="126" t="s">
        <v>387</v>
      </c>
      <c r="AI72" s="126" t="s">
        <v>1358</v>
      </c>
    </row>
    <row r="73" spans="1:35" ht="135" x14ac:dyDescent="0.25">
      <c r="A73" s="46" t="str">
        <f t="shared" si="1"/>
        <v>BGTACRD012721CADENASNUTRESA</v>
      </c>
      <c r="B73" s="126" t="s">
        <v>4</v>
      </c>
      <c r="C73" s="126">
        <v>64073</v>
      </c>
      <c r="D73" s="126" t="s">
        <v>140</v>
      </c>
      <c r="E73" s="126" t="s">
        <v>177</v>
      </c>
      <c r="F73" s="127">
        <v>44533</v>
      </c>
      <c r="G73" s="126" t="s">
        <v>175</v>
      </c>
      <c r="H73" s="126" t="s">
        <v>176</v>
      </c>
      <c r="I73" s="126">
        <v>1</v>
      </c>
      <c r="J73" s="126" t="s">
        <v>184</v>
      </c>
      <c r="K73" s="126" t="s">
        <v>338</v>
      </c>
      <c r="L73" s="126" t="s">
        <v>1357</v>
      </c>
      <c r="M73" s="126" t="s">
        <v>140</v>
      </c>
      <c r="N73" s="126" t="s">
        <v>518</v>
      </c>
      <c r="O73" s="126" t="s">
        <v>519</v>
      </c>
      <c r="P73" s="126" t="s">
        <v>172</v>
      </c>
      <c r="Q73" s="126" t="s">
        <v>536</v>
      </c>
      <c r="R73" s="126" t="s">
        <v>536</v>
      </c>
      <c r="S73" s="126" t="s">
        <v>1359</v>
      </c>
      <c r="T73" s="126" t="s">
        <v>163</v>
      </c>
      <c r="U73" s="126"/>
      <c r="V73" s="128">
        <v>4000000</v>
      </c>
      <c r="W73" s="128">
        <v>4000000</v>
      </c>
      <c r="X73" s="126" t="s">
        <v>1209</v>
      </c>
      <c r="Y73" s="126">
        <v>0</v>
      </c>
      <c r="Z73" s="126" t="s">
        <v>537</v>
      </c>
      <c r="AA73" s="126" t="s">
        <v>1</v>
      </c>
      <c r="AB73" s="126" t="s">
        <v>140</v>
      </c>
      <c r="AC73" s="126" t="s">
        <v>162</v>
      </c>
      <c r="AD73" s="127">
        <v>44755</v>
      </c>
      <c r="AE73" s="126"/>
      <c r="AF73" s="127">
        <v>44755</v>
      </c>
      <c r="AG73" s="126"/>
      <c r="AH73" s="126" t="s">
        <v>387</v>
      </c>
      <c r="AI73" s="126" t="s">
        <v>1360</v>
      </c>
    </row>
    <row r="74" spans="1:35" ht="135" x14ac:dyDescent="0.25">
      <c r="A74" s="46" t="str">
        <f t="shared" si="1"/>
        <v>BGTACRD012719CADENASNUTRESA</v>
      </c>
      <c r="B74" s="126" t="s">
        <v>4</v>
      </c>
      <c r="C74" s="126">
        <v>64073</v>
      </c>
      <c r="D74" s="126" t="s">
        <v>140</v>
      </c>
      <c r="E74" s="126" t="s">
        <v>177</v>
      </c>
      <c r="F74" s="127">
        <v>44533</v>
      </c>
      <c r="G74" s="126" t="s">
        <v>175</v>
      </c>
      <c r="H74" s="126" t="s">
        <v>176</v>
      </c>
      <c r="I74" s="126">
        <v>1</v>
      </c>
      <c r="J74" s="126" t="s">
        <v>184</v>
      </c>
      <c r="K74" s="126" t="s">
        <v>338</v>
      </c>
      <c r="L74" s="126" t="s">
        <v>1357</v>
      </c>
      <c r="M74" s="126" t="s">
        <v>140</v>
      </c>
      <c r="N74" s="126" t="s">
        <v>518</v>
      </c>
      <c r="O74" s="126" t="s">
        <v>519</v>
      </c>
      <c r="P74" s="126" t="s">
        <v>172</v>
      </c>
      <c r="Q74" s="126" t="s">
        <v>533</v>
      </c>
      <c r="R74" s="126" t="s">
        <v>533</v>
      </c>
      <c r="S74" s="126" t="s">
        <v>534</v>
      </c>
      <c r="T74" s="126" t="s">
        <v>160</v>
      </c>
      <c r="U74" s="126"/>
      <c r="V74" s="128">
        <v>4000000</v>
      </c>
      <c r="W74" s="128">
        <v>4000000</v>
      </c>
      <c r="X74" s="126" t="s">
        <v>1209</v>
      </c>
      <c r="Y74" s="126">
        <v>0</v>
      </c>
      <c r="Z74" s="126" t="s">
        <v>535</v>
      </c>
      <c r="AA74" s="126" t="s">
        <v>1</v>
      </c>
      <c r="AB74" s="126" t="s">
        <v>140</v>
      </c>
      <c r="AC74" s="126" t="s">
        <v>162</v>
      </c>
      <c r="AD74" s="127">
        <v>44766</v>
      </c>
      <c r="AE74" s="126"/>
      <c r="AF74" s="127">
        <v>44766</v>
      </c>
      <c r="AG74" s="126"/>
      <c r="AH74" s="126" t="s">
        <v>387</v>
      </c>
      <c r="AI74" s="126" t="s">
        <v>1361</v>
      </c>
    </row>
    <row r="75" spans="1:35" ht="135" x14ac:dyDescent="0.25">
      <c r="A75" s="46" t="str">
        <f t="shared" si="1"/>
        <v>BGTACRD002384CADENASNUTRESA</v>
      </c>
      <c r="B75" s="126" t="s">
        <v>4</v>
      </c>
      <c r="C75" s="126">
        <v>64073</v>
      </c>
      <c r="D75" s="126" t="s">
        <v>140</v>
      </c>
      <c r="E75" s="126" t="s">
        <v>177</v>
      </c>
      <c r="F75" s="127">
        <v>44533</v>
      </c>
      <c r="G75" s="126" t="s">
        <v>175</v>
      </c>
      <c r="H75" s="126" t="s">
        <v>176</v>
      </c>
      <c r="I75" s="126">
        <v>1</v>
      </c>
      <c r="J75" s="126" t="s">
        <v>184</v>
      </c>
      <c r="K75" s="126" t="s">
        <v>338</v>
      </c>
      <c r="L75" s="126" t="s">
        <v>1357</v>
      </c>
      <c r="M75" s="126" t="s">
        <v>140</v>
      </c>
      <c r="N75" s="126" t="s">
        <v>518</v>
      </c>
      <c r="O75" s="126" t="s">
        <v>519</v>
      </c>
      <c r="P75" s="126" t="s">
        <v>172</v>
      </c>
      <c r="Q75" s="126" t="s">
        <v>361</v>
      </c>
      <c r="R75" s="126" t="s">
        <v>361</v>
      </c>
      <c r="S75" s="126" t="s">
        <v>362</v>
      </c>
      <c r="T75" s="126" t="s">
        <v>160</v>
      </c>
      <c r="U75" s="126"/>
      <c r="V75" s="128">
        <v>4000000</v>
      </c>
      <c r="W75" s="128">
        <v>4000000</v>
      </c>
      <c r="X75" s="126" t="s">
        <v>1209</v>
      </c>
      <c r="Y75" s="126">
        <v>0</v>
      </c>
      <c r="Z75" s="126" t="s">
        <v>532</v>
      </c>
      <c r="AA75" s="126" t="s">
        <v>1</v>
      </c>
      <c r="AB75" s="126" t="s">
        <v>140</v>
      </c>
      <c r="AC75" s="126" t="s">
        <v>162</v>
      </c>
      <c r="AD75" s="127">
        <v>44787</v>
      </c>
      <c r="AE75" s="126"/>
      <c r="AF75" s="127">
        <v>44787</v>
      </c>
      <c r="AG75" s="126"/>
      <c r="AH75" s="126" t="s">
        <v>387</v>
      </c>
      <c r="AI75" s="126" t="s">
        <v>1362</v>
      </c>
    </row>
    <row r="76" spans="1:35" ht="135" x14ac:dyDescent="0.25">
      <c r="A76" s="46" t="str">
        <f t="shared" si="1"/>
        <v>BGTACRD001185CADENASNUTRESA</v>
      </c>
      <c r="B76" s="126" t="s">
        <v>4</v>
      </c>
      <c r="C76" s="126">
        <v>64073</v>
      </c>
      <c r="D76" s="126" t="s">
        <v>140</v>
      </c>
      <c r="E76" s="126" t="s">
        <v>177</v>
      </c>
      <c r="F76" s="127">
        <v>44533</v>
      </c>
      <c r="G76" s="126" t="s">
        <v>175</v>
      </c>
      <c r="H76" s="126" t="s">
        <v>176</v>
      </c>
      <c r="I76" s="126">
        <v>1</v>
      </c>
      <c r="J76" s="126" t="s">
        <v>184</v>
      </c>
      <c r="K76" s="126" t="s">
        <v>338</v>
      </c>
      <c r="L76" s="126" t="s">
        <v>1357</v>
      </c>
      <c r="M76" s="126" t="s">
        <v>140</v>
      </c>
      <c r="N76" s="126" t="s">
        <v>518</v>
      </c>
      <c r="O76" s="126" t="s">
        <v>519</v>
      </c>
      <c r="P76" s="126" t="s">
        <v>172</v>
      </c>
      <c r="Q76" s="126" t="s">
        <v>356</v>
      </c>
      <c r="R76" s="126" t="s">
        <v>356</v>
      </c>
      <c r="S76" s="126" t="s">
        <v>357</v>
      </c>
      <c r="T76" s="126" t="s">
        <v>163</v>
      </c>
      <c r="U76" s="126"/>
      <c r="V76" s="128">
        <v>4000000</v>
      </c>
      <c r="W76" s="128">
        <v>4000000</v>
      </c>
      <c r="X76" s="126" t="s">
        <v>1209</v>
      </c>
      <c r="Y76" s="126">
        <v>0</v>
      </c>
      <c r="Z76" s="126" t="s">
        <v>333</v>
      </c>
      <c r="AA76" s="126" t="s">
        <v>1</v>
      </c>
      <c r="AB76" s="126" t="s">
        <v>140</v>
      </c>
      <c r="AC76" s="126" t="s">
        <v>162</v>
      </c>
      <c r="AD76" s="127">
        <v>44867</v>
      </c>
      <c r="AE76" s="126"/>
      <c r="AF76" s="127">
        <v>44867</v>
      </c>
      <c r="AG76" s="126"/>
      <c r="AH76" s="126" t="s">
        <v>387</v>
      </c>
      <c r="AI76" s="126" t="s">
        <v>1363</v>
      </c>
    </row>
    <row r="77" spans="1:35" ht="135" x14ac:dyDescent="0.25">
      <c r="A77" s="46" t="str">
        <f t="shared" si="1"/>
        <v>BGTACRD021829CADENASNUTRESA</v>
      </c>
      <c r="B77" s="126" t="s">
        <v>4</v>
      </c>
      <c r="C77" s="126">
        <v>64073</v>
      </c>
      <c r="D77" s="126" t="s">
        <v>140</v>
      </c>
      <c r="E77" s="126" t="s">
        <v>177</v>
      </c>
      <c r="F77" s="127">
        <v>44533</v>
      </c>
      <c r="G77" s="126" t="s">
        <v>175</v>
      </c>
      <c r="H77" s="126" t="s">
        <v>176</v>
      </c>
      <c r="I77" s="126">
        <v>1</v>
      </c>
      <c r="J77" s="126" t="s">
        <v>184</v>
      </c>
      <c r="K77" s="126" t="s">
        <v>338</v>
      </c>
      <c r="L77" s="126" t="s">
        <v>1357</v>
      </c>
      <c r="M77" s="126" t="s">
        <v>140</v>
      </c>
      <c r="N77" s="126" t="s">
        <v>518</v>
      </c>
      <c r="O77" s="126" t="s">
        <v>519</v>
      </c>
      <c r="P77" s="126" t="s">
        <v>172</v>
      </c>
      <c r="Q77" s="126" t="s">
        <v>529</v>
      </c>
      <c r="R77" s="126" t="s">
        <v>529</v>
      </c>
      <c r="S77" s="126" t="s">
        <v>530</v>
      </c>
      <c r="T77" s="126" t="s">
        <v>160</v>
      </c>
      <c r="U77" s="126"/>
      <c r="V77" s="128">
        <v>3000000</v>
      </c>
      <c r="W77" s="128">
        <v>3000000</v>
      </c>
      <c r="X77" s="126" t="s">
        <v>1209</v>
      </c>
      <c r="Y77" s="126">
        <v>0</v>
      </c>
      <c r="Z77" s="126" t="s">
        <v>531</v>
      </c>
      <c r="AA77" s="126" t="s">
        <v>1</v>
      </c>
      <c r="AB77" s="126" t="s">
        <v>140</v>
      </c>
      <c r="AC77" s="126" t="s">
        <v>162</v>
      </c>
      <c r="AD77" s="127">
        <v>45555</v>
      </c>
      <c r="AE77" s="126"/>
      <c r="AF77" s="127">
        <v>45555</v>
      </c>
      <c r="AG77" s="126"/>
      <c r="AH77" s="126" t="s">
        <v>387</v>
      </c>
      <c r="AI77" s="126" t="s">
        <v>1364</v>
      </c>
    </row>
    <row r="78" spans="1:35" ht="135" x14ac:dyDescent="0.25">
      <c r="A78" s="46" t="str">
        <f t="shared" si="1"/>
        <v>BGTACRD012466CADENASNUTRESA</v>
      </c>
      <c r="B78" s="126" t="s">
        <v>4</v>
      </c>
      <c r="C78" s="126">
        <v>64073</v>
      </c>
      <c r="D78" s="126" t="s">
        <v>140</v>
      </c>
      <c r="E78" s="126" t="s">
        <v>177</v>
      </c>
      <c r="F78" s="127">
        <v>44533</v>
      </c>
      <c r="G78" s="126" t="s">
        <v>175</v>
      </c>
      <c r="H78" s="126" t="s">
        <v>176</v>
      </c>
      <c r="I78" s="126">
        <v>1</v>
      </c>
      <c r="J78" s="126" t="s">
        <v>184</v>
      </c>
      <c r="K78" s="126" t="s">
        <v>338</v>
      </c>
      <c r="L78" s="126" t="s">
        <v>1357</v>
      </c>
      <c r="M78" s="126" t="s">
        <v>140</v>
      </c>
      <c r="N78" s="126" t="s">
        <v>518</v>
      </c>
      <c r="O78" s="126" t="s">
        <v>519</v>
      </c>
      <c r="P78" s="126" t="s">
        <v>172</v>
      </c>
      <c r="Q78" s="126" t="s">
        <v>520</v>
      </c>
      <c r="R78" s="126" t="s">
        <v>520</v>
      </c>
      <c r="S78" s="126" t="s">
        <v>521</v>
      </c>
      <c r="T78" s="126" t="s">
        <v>160</v>
      </c>
      <c r="U78" s="126"/>
      <c r="V78" s="128">
        <v>4000000</v>
      </c>
      <c r="W78" s="128">
        <v>4000000</v>
      </c>
      <c r="X78" s="126" t="s">
        <v>1209</v>
      </c>
      <c r="Y78" s="126">
        <v>0</v>
      </c>
      <c r="Z78" s="126" t="s">
        <v>522</v>
      </c>
      <c r="AA78" s="126" t="s">
        <v>1</v>
      </c>
      <c r="AB78" s="126" t="s">
        <v>140</v>
      </c>
      <c r="AC78" s="126" t="s">
        <v>162</v>
      </c>
      <c r="AD78" s="127">
        <v>45241</v>
      </c>
      <c r="AE78" s="126"/>
      <c r="AF78" s="127">
        <v>45241</v>
      </c>
      <c r="AG78" s="126"/>
      <c r="AH78" s="126" t="s">
        <v>387</v>
      </c>
      <c r="AI78" s="126" t="s">
        <v>1365</v>
      </c>
    </row>
    <row r="79" spans="1:35" ht="135" x14ac:dyDescent="0.25">
      <c r="A79" s="46" t="str">
        <f t="shared" si="1"/>
        <v>BGTACRD023444CADENASNUTRESA</v>
      </c>
      <c r="B79" s="126" t="s">
        <v>4</v>
      </c>
      <c r="C79" s="126">
        <v>64073</v>
      </c>
      <c r="D79" s="126" t="s">
        <v>140</v>
      </c>
      <c r="E79" s="126" t="s">
        <v>177</v>
      </c>
      <c r="F79" s="127">
        <v>44533</v>
      </c>
      <c r="G79" s="126" t="s">
        <v>175</v>
      </c>
      <c r="H79" s="126" t="s">
        <v>176</v>
      </c>
      <c r="I79" s="126">
        <v>1</v>
      </c>
      <c r="J79" s="126" t="s">
        <v>184</v>
      </c>
      <c r="K79" s="126" t="s">
        <v>338</v>
      </c>
      <c r="L79" s="126" t="s">
        <v>1357</v>
      </c>
      <c r="M79" s="126" t="s">
        <v>140</v>
      </c>
      <c r="N79" s="126" t="s">
        <v>518</v>
      </c>
      <c r="O79" s="126" t="s">
        <v>519</v>
      </c>
      <c r="P79" s="126" t="s">
        <v>172</v>
      </c>
      <c r="Q79" s="126" t="s">
        <v>523</v>
      </c>
      <c r="R79" s="126" t="s">
        <v>523</v>
      </c>
      <c r="S79" s="126" t="s">
        <v>524</v>
      </c>
      <c r="T79" s="126" t="s">
        <v>160</v>
      </c>
      <c r="U79" s="126"/>
      <c r="V79" s="128">
        <v>4000000</v>
      </c>
      <c r="W79" s="128">
        <v>4000000</v>
      </c>
      <c r="X79" s="126" t="s">
        <v>1209</v>
      </c>
      <c r="Y79" s="126">
        <v>0</v>
      </c>
      <c r="Z79" s="126" t="s">
        <v>525</v>
      </c>
      <c r="AA79" s="126" t="s">
        <v>1</v>
      </c>
      <c r="AB79" s="126" t="s">
        <v>140</v>
      </c>
      <c r="AC79" s="126" t="s">
        <v>162</v>
      </c>
      <c r="AD79" s="127">
        <v>44888</v>
      </c>
      <c r="AE79" s="126"/>
      <c r="AF79" s="127">
        <v>44888</v>
      </c>
      <c r="AG79" s="126"/>
      <c r="AH79" s="126" t="s">
        <v>387</v>
      </c>
      <c r="AI79" s="126" t="s">
        <v>1366</v>
      </c>
    </row>
    <row r="80" spans="1:35" ht="135" x14ac:dyDescent="0.25">
      <c r="A80" s="46" t="str">
        <f t="shared" si="1"/>
        <v>BGTACRD025017CADENASNUTRESA</v>
      </c>
      <c r="B80" s="126" t="s">
        <v>4</v>
      </c>
      <c r="C80" s="126">
        <v>64089</v>
      </c>
      <c r="D80" s="126" t="s">
        <v>140</v>
      </c>
      <c r="E80" s="126" t="s">
        <v>177</v>
      </c>
      <c r="F80" s="127">
        <v>44533</v>
      </c>
      <c r="G80" s="126" t="s">
        <v>175</v>
      </c>
      <c r="H80" s="126" t="s">
        <v>176</v>
      </c>
      <c r="I80" s="126">
        <v>1</v>
      </c>
      <c r="J80" s="126" t="s">
        <v>184</v>
      </c>
      <c r="K80" s="126" t="s">
        <v>305</v>
      </c>
      <c r="L80" s="126" t="s">
        <v>1367</v>
      </c>
      <c r="M80" s="126" t="s">
        <v>140</v>
      </c>
      <c r="N80" s="126">
        <v>2852</v>
      </c>
      <c r="O80" s="126" t="s">
        <v>538</v>
      </c>
      <c r="P80" s="126" t="s">
        <v>171</v>
      </c>
      <c r="Q80" s="126" t="s">
        <v>473</v>
      </c>
      <c r="R80" s="126" t="s">
        <v>473</v>
      </c>
      <c r="S80" s="126" t="s">
        <v>474</v>
      </c>
      <c r="T80" s="126" t="s">
        <v>160</v>
      </c>
      <c r="U80" s="126"/>
      <c r="V80" s="128">
        <v>10000000</v>
      </c>
      <c r="W80" s="128">
        <v>10000000</v>
      </c>
      <c r="X80" s="126" t="s">
        <v>1209</v>
      </c>
      <c r="Y80" s="126">
        <v>0</v>
      </c>
      <c r="Z80" s="126">
        <v>0</v>
      </c>
      <c r="AA80" s="126" t="s">
        <v>1</v>
      </c>
      <c r="AB80" s="126" t="s">
        <v>140</v>
      </c>
      <c r="AC80" s="126" t="s">
        <v>162</v>
      </c>
      <c r="AD80" s="126"/>
      <c r="AE80" s="126"/>
      <c r="AF80" s="126"/>
      <c r="AG80" s="126"/>
      <c r="AH80" s="126" t="s">
        <v>305</v>
      </c>
      <c r="AI80" s="126" t="s">
        <v>1368</v>
      </c>
    </row>
    <row r="81" spans="1:35" ht="165" x14ac:dyDescent="0.25">
      <c r="A81" s="46" t="str">
        <f t="shared" si="1"/>
        <v>BGTACRD024849AUTOSERVICIONUTRESA</v>
      </c>
      <c r="B81" s="126" t="s">
        <v>4</v>
      </c>
      <c r="C81" s="126">
        <v>64091</v>
      </c>
      <c r="D81" s="126" t="s">
        <v>140</v>
      </c>
      <c r="E81" s="126" t="s">
        <v>177</v>
      </c>
      <c r="F81" s="127">
        <v>44533</v>
      </c>
      <c r="G81" s="126" t="s">
        <v>175</v>
      </c>
      <c r="H81" s="126" t="s">
        <v>176</v>
      </c>
      <c r="I81" s="126">
        <v>1</v>
      </c>
      <c r="J81" s="126" t="s">
        <v>184</v>
      </c>
      <c r="K81" s="126" t="s">
        <v>305</v>
      </c>
      <c r="L81" s="126" t="s">
        <v>1369</v>
      </c>
      <c r="M81" s="126" t="s">
        <v>140</v>
      </c>
      <c r="N81" s="126" t="s">
        <v>539</v>
      </c>
      <c r="O81" s="126" t="s">
        <v>540</v>
      </c>
      <c r="P81" s="126" t="s">
        <v>168</v>
      </c>
      <c r="Q81" s="126" t="s">
        <v>467</v>
      </c>
      <c r="R81" s="126" t="s">
        <v>467</v>
      </c>
      <c r="S81" s="126" t="s">
        <v>468</v>
      </c>
      <c r="T81" s="126" t="s">
        <v>160</v>
      </c>
      <c r="U81" s="126"/>
      <c r="V81" s="128">
        <v>35000000000</v>
      </c>
      <c r="W81" s="128">
        <v>35000000000</v>
      </c>
      <c r="X81" s="126" t="s">
        <v>1209</v>
      </c>
      <c r="Y81" s="126">
        <v>0</v>
      </c>
      <c r="Z81" s="126">
        <v>0</v>
      </c>
      <c r="AA81" s="126" t="s">
        <v>0</v>
      </c>
      <c r="AB81" s="126" t="s">
        <v>140</v>
      </c>
      <c r="AC81" s="126" t="s">
        <v>162</v>
      </c>
      <c r="AD81" s="126"/>
      <c r="AE81" s="126"/>
      <c r="AF81" s="126"/>
      <c r="AG81" s="126"/>
      <c r="AH81" s="126" t="s">
        <v>370</v>
      </c>
      <c r="AI81" s="126" t="s">
        <v>1370</v>
      </c>
    </row>
    <row r="82" spans="1:35" ht="165" x14ac:dyDescent="0.25">
      <c r="A82" s="46" t="str">
        <f t="shared" si="1"/>
        <v>BGTACRD024849AUTOSERVICIONUTRESA</v>
      </c>
      <c r="B82" s="126" t="s">
        <v>4</v>
      </c>
      <c r="C82" s="126">
        <v>64092</v>
      </c>
      <c r="D82" s="126" t="s">
        <v>140</v>
      </c>
      <c r="E82" s="126" t="s">
        <v>177</v>
      </c>
      <c r="F82" s="127">
        <v>44533</v>
      </c>
      <c r="G82" s="126" t="s">
        <v>175</v>
      </c>
      <c r="H82" s="126" t="s">
        <v>176</v>
      </c>
      <c r="I82" s="126">
        <v>1</v>
      </c>
      <c r="J82" s="126" t="s">
        <v>184</v>
      </c>
      <c r="K82" s="126" t="s">
        <v>305</v>
      </c>
      <c r="L82" s="126" t="s">
        <v>1371</v>
      </c>
      <c r="M82" s="126" t="s">
        <v>140</v>
      </c>
      <c r="N82" s="126" t="s">
        <v>539</v>
      </c>
      <c r="O82" s="126" t="s">
        <v>541</v>
      </c>
      <c r="P82" s="126" t="s">
        <v>168</v>
      </c>
      <c r="Q82" s="126" t="s">
        <v>467</v>
      </c>
      <c r="R82" s="126" t="s">
        <v>467</v>
      </c>
      <c r="S82" s="126" t="s">
        <v>468</v>
      </c>
      <c r="T82" s="126" t="s">
        <v>160</v>
      </c>
      <c r="U82" s="126"/>
      <c r="V82" s="128">
        <v>15000000000</v>
      </c>
      <c r="W82" s="128">
        <v>15000000000</v>
      </c>
      <c r="X82" s="126" t="s">
        <v>1209</v>
      </c>
      <c r="Y82" s="126">
        <v>0</v>
      </c>
      <c r="Z82" s="126">
        <v>0</v>
      </c>
      <c r="AA82" s="126" t="s">
        <v>0</v>
      </c>
      <c r="AB82" s="126" t="s">
        <v>140</v>
      </c>
      <c r="AC82" s="126" t="s">
        <v>162</v>
      </c>
      <c r="AD82" s="126"/>
      <c r="AE82" s="126"/>
      <c r="AF82" s="126"/>
      <c r="AG82" s="126"/>
      <c r="AH82" s="126" t="s">
        <v>370</v>
      </c>
      <c r="AI82" s="126" t="s">
        <v>1372</v>
      </c>
    </row>
    <row r="83" spans="1:35" ht="135" x14ac:dyDescent="0.25">
      <c r="A83" s="46" t="str">
        <f t="shared" si="1"/>
        <v>BGTACRD025007CADENASNUTRESA</v>
      </c>
      <c r="B83" s="126" t="s">
        <v>4</v>
      </c>
      <c r="C83" s="126">
        <v>64112</v>
      </c>
      <c r="D83" s="126" t="s">
        <v>140</v>
      </c>
      <c r="E83" s="126" t="s">
        <v>177</v>
      </c>
      <c r="F83" s="127">
        <v>44534</v>
      </c>
      <c r="G83" s="126" t="s">
        <v>175</v>
      </c>
      <c r="H83" s="126" t="s">
        <v>176</v>
      </c>
      <c r="I83" s="126">
        <v>1</v>
      </c>
      <c r="J83" s="126" t="s">
        <v>184</v>
      </c>
      <c r="K83" s="126" t="s">
        <v>305</v>
      </c>
      <c r="L83" s="126" t="s">
        <v>1373</v>
      </c>
      <c r="M83" s="126" t="s">
        <v>140</v>
      </c>
      <c r="N83" s="126" t="s">
        <v>542</v>
      </c>
      <c r="O83" s="126" t="s">
        <v>543</v>
      </c>
      <c r="P83" s="126" t="s">
        <v>172</v>
      </c>
      <c r="Q83" s="126" t="s">
        <v>544</v>
      </c>
      <c r="R83" s="126" t="s">
        <v>544</v>
      </c>
      <c r="S83" s="126" t="s">
        <v>545</v>
      </c>
      <c r="T83" s="126" t="s">
        <v>160</v>
      </c>
      <c r="U83" s="126"/>
      <c r="V83" s="128">
        <v>68000000</v>
      </c>
      <c r="W83" s="128">
        <v>68000000</v>
      </c>
      <c r="X83" s="126" t="s">
        <v>1209</v>
      </c>
      <c r="Y83" s="126">
        <v>0</v>
      </c>
      <c r="Z83" s="126" t="s">
        <v>546</v>
      </c>
      <c r="AA83" s="126" t="s">
        <v>1</v>
      </c>
      <c r="AB83" s="126" t="s">
        <v>140</v>
      </c>
      <c r="AC83" s="126" t="s">
        <v>162</v>
      </c>
      <c r="AD83" s="127">
        <v>44668</v>
      </c>
      <c r="AE83" s="126"/>
      <c r="AF83" s="127">
        <v>44668</v>
      </c>
      <c r="AG83" s="126"/>
      <c r="AH83" s="126" t="s">
        <v>387</v>
      </c>
      <c r="AI83" s="126" t="s">
        <v>1374</v>
      </c>
    </row>
    <row r="84" spans="1:35" ht="135" x14ac:dyDescent="0.25">
      <c r="A84" s="46" t="str">
        <f t="shared" si="1"/>
        <v>BGTACRD024830AUTOSERVICIONUTRESA</v>
      </c>
      <c r="B84" s="126" t="s">
        <v>4</v>
      </c>
      <c r="C84" s="126">
        <v>64143</v>
      </c>
      <c r="D84" s="126" t="s">
        <v>140</v>
      </c>
      <c r="E84" s="126" t="s">
        <v>177</v>
      </c>
      <c r="F84" s="127">
        <v>44536</v>
      </c>
      <c r="G84" s="126" t="s">
        <v>175</v>
      </c>
      <c r="H84" s="126" t="s">
        <v>176</v>
      </c>
      <c r="I84" s="126">
        <v>1</v>
      </c>
      <c r="J84" s="126" t="s">
        <v>184</v>
      </c>
      <c r="K84" s="126" t="s">
        <v>338</v>
      </c>
      <c r="L84" s="126" t="s">
        <v>1375</v>
      </c>
      <c r="M84" s="126" t="s">
        <v>140</v>
      </c>
      <c r="N84" s="126">
        <v>9914</v>
      </c>
      <c r="O84" s="126" t="s">
        <v>547</v>
      </c>
      <c r="P84" s="126" t="s">
        <v>168</v>
      </c>
      <c r="Q84" s="126" t="s">
        <v>548</v>
      </c>
      <c r="R84" s="126" t="s">
        <v>548</v>
      </c>
      <c r="S84" s="126" t="s">
        <v>549</v>
      </c>
      <c r="T84" s="126" t="s">
        <v>160</v>
      </c>
      <c r="U84" s="126"/>
      <c r="V84" s="128">
        <v>2000000</v>
      </c>
      <c r="W84" s="128">
        <v>2000000</v>
      </c>
      <c r="X84" s="126" t="s">
        <v>1209</v>
      </c>
      <c r="Y84" s="126">
        <v>0</v>
      </c>
      <c r="Z84" s="126">
        <v>0</v>
      </c>
      <c r="AA84" s="126" t="s">
        <v>0</v>
      </c>
      <c r="AB84" s="126" t="s">
        <v>140</v>
      </c>
      <c r="AC84" s="126" t="s">
        <v>162</v>
      </c>
      <c r="AD84" s="126"/>
      <c r="AE84" s="126"/>
      <c r="AF84" s="126"/>
      <c r="AG84" s="126"/>
      <c r="AH84" s="126" t="s">
        <v>305</v>
      </c>
      <c r="AI84" s="126" t="s">
        <v>1376</v>
      </c>
    </row>
    <row r="85" spans="1:35" ht="135" x14ac:dyDescent="0.25">
      <c r="A85" s="46" t="str">
        <f t="shared" si="1"/>
        <v>BGTACRD024126AUTOSERVICIONUTRESA</v>
      </c>
      <c r="B85" s="126" t="s">
        <v>4</v>
      </c>
      <c r="C85" s="126">
        <v>64189</v>
      </c>
      <c r="D85" s="126" t="s">
        <v>140</v>
      </c>
      <c r="E85" s="126" t="s">
        <v>177</v>
      </c>
      <c r="F85" s="127">
        <v>44537</v>
      </c>
      <c r="G85" s="126" t="s">
        <v>175</v>
      </c>
      <c r="H85" s="126" t="s">
        <v>176</v>
      </c>
      <c r="I85" s="126">
        <v>1</v>
      </c>
      <c r="J85" s="126" t="s">
        <v>184</v>
      </c>
      <c r="K85" s="126" t="s">
        <v>338</v>
      </c>
      <c r="L85" s="126" t="s">
        <v>1377</v>
      </c>
      <c r="M85" s="126" t="s">
        <v>140</v>
      </c>
      <c r="N85" s="126">
        <v>286111</v>
      </c>
      <c r="O85" s="126" t="s">
        <v>550</v>
      </c>
      <c r="P85" s="126" t="s">
        <v>171</v>
      </c>
      <c r="Q85" s="126" t="s">
        <v>272</v>
      </c>
      <c r="R85" s="126" t="s">
        <v>272</v>
      </c>
      <c r="S85" s="126" t="s">
        <v>339</v>
      </c>
      <c r="T85" s="126" t="s">
        <v>160</v>
      </c>
      <c r="U85" s="126"/>
      <c r="V85" s="128">
        <v>1000000</v>
      </c>
      <c r="W85" s="128">
        <v>1000000</v>
      </c>
      <c r="X85" s="126" t="s">
        <v>1209</v>
      </c>
      <c r="Y85" s="126">
        <v>0</v>
      </c>
      <c r="Z85" s="126">
        <v>0</v>
      </c>
      <c r="AA85" s="126" t="s">
        <v>0</v>
      </c>
      <c r="AB85" s="126" t="s">
        <v>140</v>
      </c>
      <c r="AC85" s="126" t="s">
        <v>162</v>
      </c>
      <c r="AD85" s="126"/>
      <c r="AE85" s="126"/>
      <c r="AF85" s="126"/>
      <c r="AG85" s="126"/>
      <c r="AH85" s="126" t="s">
        <v>305</v>
      </c>
      <c r="AI85" s="126" t="s">
        <v>1378</v>
      </c>
    </row>
    <row r="86" spans="1:35" ht="135" x14ac:dyDescent="0.25">
      <c r="A86" s="46" t="str">
        <f t="shared" si="1"/>
        <v>BGTACRD025004TRADICIONALNUTRESA</v>
      </c>
      <c r="B86" s="126" t="s">
        <v>4</v>
      </c>
      <c r="C86" s="126">
        <v>64198</v>
      </c>
      <c r="D86" s="126" t="s">
        <v>140</v>
      </c>
      <c r="E86" s="126" t="s">
        <v>177</v>
      </c>
      <c r="F86" s="127">
        <v>44537</v>
      </c>
      <c r="G86" s="126" t="s">
        <v>175</v>
      </c>
      <c r="H86" s="126" t="s">
        <v>176</v>
      </c>
      <c r="I86" s="126">
        <v>1</v>
      </c>
      <c r="J86" s="126" t="s">
        <v>184</v>
      </c>
      <c r="K86" s="126" t="s">
        <v>338</v>
      </c>
      <c r="L86" s="126" t="s">
        <v>1379</v>
      </c>
      <c r="M86" s="126" t="s">
        <v>140</v>
      </c>
      <c r="N86" s="126">
        <v>32278</v>
      </c>
      <c r="O86" s="126" t="s">
        <v>551</v>
      </c>
      <c r="P86" s="126" t="s">
        <v>171</v>
      </c>
      <c r="Q86" s="126" t="s">
        <v>485</v>
      </c>
      <c r="R86" s="126" t="s">
        <v>485</v>
      </c>
      <c r="S86" s="126" t="s">
        <v>1245</v>
      </c>
      <c r="T86" s="126" t="s">
        <v>160</v>
      </c>
      <c r="U86" s="126"/>
      <c r="V86" s="128">
        <v>130000000</v>
      </c>
      <c r="W86" s="128">
        <v>130000000</v>
      </c>
      <c r="X86" s="126" t="s">
        <v>1209</v>
      </c>
      <c r="Y86" s="126">
        <v>0</v>
      </c>
      <c r="Z86" s="126">
        <v>0</v>
      </c>
      <c r="AA86" s="126" t="s">
        <v>2</v>
      </c>
      <c r="AB86" s="126" t="s">
        <v>140</v>
      </c>
      <c r="AC86" s="126" t="s">
        <v>162</v>
      </c>
      <c r="AD86" s="126"/>
      <c r="AE86" s="126"/>
      <c r="AF86" s="126"/>
      <c r="AG86" s="126"/>
      <c r="AH86" s="126" t="s">
        <v>305</v>
      </c>
      <c r="AI86" s="126" t="s">
        <v>1380</v>
      </c>
    </row>
    <row r="87" spans="1:35" ht="135" x14ac:dyDescent="0.25">
      <c r="A87" s="46" t="str">
        <f t="shared" si="1"/>
        <v>BGTACRD025004TRADICIONALALTILLANO</v>
      </c>
      <c r="B87" s="126" t="s">
        <v>4</v>
      </c>
      <c r="C87" s="126">
        <v>64199</v>
      </c>
      <c r="D87" s="126" t="s">
        <v>140</v>
      </c>
      <c r="E87" s="126" t="s">
        <v>177</v>
      </c>
      <c r="F87" s="127">
        <v>44537</v>
      </c>
      <c r="G87" s="126" t="s">
        <v>175</v>
      </c>
      <c r="H87" s="126" t="s">
        <v>176</v>
      </c>
      <c r="I87" s="126">
        <v>1</v>
      </c>
      <c r="J87" s="126" t="s">
        <v>184</v>
      </c>
      <c r="K87" s="126" t="s">
        <v>338</v>
      </c>
      <c r="L87" s="126" t="s">
        <v>1381</v>
      </c>
      <c r="M87" s="126" t="s">
        <v>140</v>
      </c>
      <c r="N87" s="126">
        <v>32276</v>
      </c>
      <c r="O87" s="126" t="s">
        <v>552</v>
      </c>
      <c r="P87" s="126" t="s">
        <v>171</v>
      </c>
      <c r="Q87" s="126" t="s">
        <v>485</v>
      </c>
      <c r="R87" s="126" t="s">
        <v>485</v>
      </c>
      <c r="S87" s="126" t="s">
        <v>1245</v>
      </c>
      <c r="T87" s="126" t="s">
        <v>160</v>
      </c>
      <c r="U87" s="126"/>
      <c r="V87" s="128">
        <v>122000000</v>
      </c>
      <c r="W87" s="128">
        <v>122000000</v>
      </c>
      <c r="X87" s="126" t="s">
        <v>1209</v>
      </c>
      <c r="Y87" s="126">
        <v>0</v>
      </c>
      <c r="Z87" s="126">
        <v>0</v>
      </c>
      <c r="AA87" s="126" t="s">
        <v>2</v>
      </c>
      <c r="AB87" s="126" t="s">
        <v>145</v>
      </c>
      <c r="AC87" s="126" t="s">
        <v>162</v>
      </c>
      <c r="AD87" s="126"/>
      <c r="AE87" s="126"/>
      <c r="AF87" s="126"/>
      <c r="AG87" s="126"/>
      <c r="AH87" s="126" t="s">
        <v>305</v>
      </c>
      <c r="AI87" s="126" t="s">
        <v>1382</v>
      </c>
    </row>
    <row r="88" spans="1:35" ht="135" x14ac:dyDescent="0.25">
      <c r="A88" s="46" t="str">
        <f t="shared" si="1"/>
        <v>BGTACRD025004TRADICIONALNUTRESA</v>
      </c>
      <c r="B88" s="126" t="s">
        <v>4</v>
      </c>
      <c r="C88" s="126">
        <v>64200</v>
      </c>
      <c r="D88" s="126" t="s">
        <v>140</v>
      </c>
      <c r="E88" s="126" t="s">
        <v>177</v>
      </c>
      <c r="F88" s="127">
        <v>44537</v>
      </c>
      <c r="G88" s="126" t="s">
        <v>175</v>
      </c>
      <c r="H88" s="126" t="s">
        <v>176</v>
      </c>
      <c r="I88" s="126">
        <v>1</v>
      </c>
      <c r="J88" s="126" t="s">
        <v>184</v>
      </c>
      <c r="K88" s="126" t="s">
        <v>338</v>
      </c>
      <c r="L88" s="126" t="s">
        <v>1383</v>
      </c>
      <c r="M88" s="126" t="s">
        <v>140</v>
      </c>
      <c r="N88" s="126">
        <v>32277</v>
      </c>
      <c r="O88" s="126" t="s">
        <v>553</v>
      </c>
      <c r="P88" s="126" t="s">
        <v>171</v>
      </c>
      <c r="Q88" s="126" t="s">
        <v>485</v>
      </c>
      <c r="R88" s="126" t="s">
        <v>485</v>
      </c>
      <c r="S88" s="126" t="s">
        <v>1245</v>
      </c>
      <c r="T88" s="126" t="s">
        <v>160</v>
      </c>
      <c r="U88" s="126"/>
      <c r="V88" s="128">
        <v>23000000</v>
      </c>
      <c r="W88" s="128">
        <v>23000000</v>
      </c>
      <c r="X88" s="126" t="s">
        <v>1209</v>
      </c>
      <c r="Y88" s="126">
        <v>0</v>
      </c>
      <c r="Z88" s="126">
        <v>0</v>
      </c>
      <c r="AA88" s="126" t="s">
        <v>2</v>
      </c>
      <c r="AB88" s="126" t="s">
        <v>140</v>
      </c>
      <c r="AC88" s="126" t="s">
        <v>162</v>
      </c>
      <c r="AD88" s="126"/>
      <c r="AE88" s="126"/>
      <c r="AF88" s="126"/>
      <c r="AG88" s="126"/>
      <c r="AH88" s="126" t="s">
        <v>305</v>
      </c>
      <c r="AI88" s="126" t="s">
        <v>1384</v>
      </c>
    </row>
    <row r="89" spans="1:35" ht="135" x14ac:dyDescent="0.25">
      <c r="A89" s="46" t="str">
        <f t="shared" si="1"/>
        <v>BGTACRD024971TRADICIONALALTILLANO</v>
      </c>
      <c r="B89" s="126" t="s">
        <v>4</v>
      </c>
      <c r="C89" s="126">
        <v>64207</v>
      </c>
      <c r="D89" s="126" t="s">
        <v>140</v>
      </c>
      <c r="E89" s="126" t="s">
        <v>177</v>
      </c>
      <c r="F89" s="127">
        <v>44539</v>
      </c>
      <c r="G89" s="126" t="s">
        <v>175</v>
      </c>
      <c r="H89" s="126" t="s">
        <v>176</v>
      </c>
      <c r="I89" s="126">
        <v>1</v>
      </c>
      <c r="J89" s="126" t="s">
        <v>184</v>
      </c>
      <c r="K89" s="126" t="s">
        <v>338</v>
      </c>
      <c r="L89" s="126" t="s">
        <v>1385</v>
      </c>
      <c r="M89" s="126" t="s">
        <v>140</v>
      </c>
      <c r="N89" s="126">
        <v>2949</v>
      </c>
      <c r="O89" s="126" t="s">
        <v>554</v>
      </c>
      <c r="P89" s="126" t="s">
        <v>170</v>
      </c>
      <c r="Q89" s="126" t="s">
        <v>555</v>
      </c>
      <c r="R89" s="126" t="s">
        <v>555</v>
      </c>
      <c r="S89" s="126" t="s">
        <v>556</v>
      </c>
      <c r="T89" s="126" t="s">
        <v>160</v>
      </c>
      <c r="U89" s="126"/>
      <c r="V89" s="128">
        <v>143000000</v>
      </c>
      <c r="W89" s="128">
        <v>143000000</v>
      </c>
      <c r="X89" s="126" t="s">
        <v>1209</v>
      </c>
      <c r="Y89" s="126">
        <v>0</v>
      </c>
      <c r="Z89" s="126">
        <v>0</v>
      </c>
      <c r="AA89" s="126" t="s">
        <v>2</v>
      </c>
      <c r="AB89" s="126" t="s">
        <v>145</v>
      </c>
      <c r="AC89" s="126" t="s">
        <v>162</v>
      </c>
      <c r="AD89" s="126"/>
      <c r="AE89" s="126"/>
      <c r="AF89" s="126"/>
      <c r="AG89" s="126"/>
      <c r="AH89" s="126" t="s">
        <v>305</v>
      </c>
      <c r="AI89" s="126" t="s">
        <v>1386</v>
      </c>
    </row>
    <row r="90" spans="1:35" ht="135" x14ac:dyDescent="0.25">
      <c r="A90" s="46" t="str">
        <f t="shared" si="1"/>
        <v>BGTACRD024971TRADICIONALNUTRESA</v>
      </c>
      <c r="B90" s="126" t="s">
        <v>4</v>
      </c>
      <c r="C90" s="126">
        <v>64208</v>
      </c>
      <c r="D90" s="126" t="s">
        <v>140</v>
      </c>
      <c r="E90" s="126" t="s">
        <v>177</v>
      </c>
      <c r="F90" s="127">
        <v>44539</v>
      </c>
      <c r="G90" s="126" t="s">
        <v>175</v>
      </c>
      <c r="H90" s="126" t="s">
        <v>176</v>
      </c>
      <c r="I90" s="126">
        <v>1</v>
      </c>
      <c r="J90" s="126" t="s">
        <v>184</v>
      </c>
      <c r="K90" s="126" t="s">
        <v>338</v>
      </c>
      <c r="L90" s="126" t="s">
        <v>1387</v>
      </c>
      <c r="M90" s="126" t="s">
        <v>140</v>
      </c>
      <c r="N90" s="126">
        <v>4971</v>
      </c>
      <c r="O90" s="126" t="s">
        <v>557</v>
      </c>
      <c r="P90" s="126" t="s">
        <v>170</v>
      </c>
      <c r="Q90" s="126" t="s">
        <v>555</v>
      </c>
      <c r="R90" s="126" t="s">
        <v>555</v>
      </c>
      <c r="S90" s="126" t="s">
        <v>556</v>
      </c>
      <c r="T90" s="126" t="s">
        <v>160</v>
      </c>
      <c r="U90" s="126"/>
      <c r="V90" s="128">
        <v>2914000000</v>
      </c>
      <c r="W90" s="128">
        <v>2914000000</v>
      </c>
      <c r="X90" s="126" t="s">
        <v>1209</v>
      </c>
      <c r="Y90" s="126">
        <v>0</v>
      </c>
      <c r="Z90" s="126">
        <v>0</v>
      </c>
      <c r="AA90" s="126" t="s">
        <v>2</v>
      </c>
      <c r="AB90" s="126" t="s">
        <v>140</v>
      </c>
      <c r="AC90" s="126" t="s">
        <v>162</v>
      </c>
      <c r="AD90" s="126"/>
      <c r="AE90" s="126"/>
      <c r="AF90" s="126"/>
      <c r="AG90" s="126"/>
      <c r="AH90" s="126" t="s">
        <v>305</v>
      </c>
      <c r="AI90" s="126" t="s">
        <v>1388</v>
      </c>
    </row>
    <row r="91" spans="1:35" ht="150" x14ac:dyDescent="0.25">
      <c r="A91" s="46" t="str">
        <f t="shared" si="1"/>
        <v>BGTACRD018765CADENASBPO</v>
      </c>
      <c r="B91" s="126" t="s">
        <v>4</v>
      </c>
      <c r="C91" s="126">
        <v>64270</v>
      </c>
      <c r="D91" s="126" t="s">
        <v>140</v>
      </c>
      <c r="E91" s="126" t="s">
        <v>177</v>
      </c>
      <c r="F91" s="127">
        <v>44541</v>
      </c>
      <c r="G91" s="126" t="s">
        <v>175</v>
      </c>
      <c r="H91" s="126" t="s">
        <v>176</v>
      </c>
      <c r="I91" s="126">
        <v>1</v>
      </c>
      <c r="J91" s="126" t="s">
        <v>184</v>
      </c>
      <c r="K91" s="126" t="s">
        <v>338</v>
      </c>
      <c r="L91" s="126" t="s">
        <v>1389</v>
      </c>
      <c r="M91" s="126" t="s">
        <v>140</v>
      </c>
      <c r="N91" s="126" t="s">
        <v>558</v>
      </c>
      <c r="O91" s="126" t="s">
        <v>559</v>
      </c>
      <c r="P91" s="126" t="s">
        <v>168</v>
      </c>
      <c r="Q91" s="126" t="s">
        <v>401</v>
      </c>
      <c r="R91" s="126" t="s">
        <v>401</v>
      </c>
      <c r="S91" s="126" t="s">
        <v>402</v>
      </c>
      <c r="T91" s="126" t="s">
        <v>160</v>
      </c>
      <c r="U91" s="126" t="s">
        <v>401</v>
      </c>
      <c r="V91" s="128">
        <v>400000000</v>
      </c>
      <c r="W91" s="128">
        <v>400000000</v>
      </c>
      <c r="X91" s="126" t="s">
        <v>1209</v>
      </c>
      <c r="Y91" s="126">
        <v>0</v>
      </c>
      <c r="Z91" s="126">
        <v>0</v>
      </c>
      <c r="AA91" s="126" t="s">
        <v>1</v>
      </c>
      <c r="AB91" s="126" t="s">
        <v>161</v>
      </c>
      <c r="AC91" s="126" t="s">
        <v>162</v>
      </c>
      <c r="AD91" s="126"/>
      <c r="AE91" s="126"/>
      <c r="AF91" s="126"/>
      <c r="AG91" s="126"/>
      <c r="AH91" s="126" t="s">
        <v>387</v>
      </c>
      <c r="AI91" s="126" t="s">
        <v>1390</v>
      </c>
    </row>
    <row r="92" spans="1:35" ht="135" x14ac:dyDescent="0.25">
      <c r="A92" s="46" t="str">
        <f t="shared" si="1"/>
        <v>BGTACRD025009TRADICIONALNUTRESA</v>
      </c>
      <c r="B92" s="126" t="s">
        <v>4</v>
      </c>
      <c r="C92" s="126">
        <v>64285</v>
      </c>
      <c r="D92" s="126" t="s">
        <v>140</v>
      </c>
      <c r="E92" s="126" t="s">
        <v>177</v>
      </c>
      <c r="F92" s="127">
        <v>44543</v>
      </c>
      <c r="G92" s="126" t="s">
        <v>175</v>
      </c>
      <c r="H92" s="126" t="s">
        <v>176</v>
      </c>
      <c r="I92" s="126">
        <v>1</v>
      </c>
      <c r="J92" s="126" t="s">
        <v>184</v>
      </c>
      <c r="K92" s="126" t="s">
        <v>338</v>
      </c>
      <c r="L92" s="126" t="s">
        <v>1391</v>
      </c>
      <c r="M92" s="126" t="s">
        <v>140</v>
      </c>
      <c r="N92" s="126">
        <v>23791</v>
      </c>
      <c r="O92" s="126" t="s">
        <v>560</v>
      </c>
      <c r="P92" s="126" t="s">
        <v>171</v>
      </c>
      <c r="Q92" s="126" t="s">
        <v>487</v>
      </c>
      <c r="R92" s="126" t="s">
        <v>487</v>
      </c>
      <c r="S92" s="126" t="s">
        <v>1253</v>
      </c>
      <c r="T92" s="126" t="s">
        <v>160</v>
      </c>
      <c r="U92" s="126"/>
      <c r="V92" s="128">
        <v>2600000000</v>
      </c>
      <c r="W92" s="128">
        <v>2600000000</v>
      </c>
      <c r="X92" s="126" t="s">
        <v>1209</v>
      </c>
      <c r="Y92" s="126">
        <v>0</v>
      </c>
      <c r="Z92" s="126">
        <v>0</v>
      </c>
      <c r="AA92" s="126" t="s">
        <v>2</v>
      </c>
      <c r="AB92" s="126" t="s">
        <v>140</v>
      </c>
      <c r="AC92" s="126" t="s">
        <v>162</v>
      </c>
      <c r="AD92" s="126"/>
      <c r="AE92" s="126"/>
      <c r="AF92" s="126"/>
      <c r="AG92" s="126"/>
      <c r="AH92" s="126" t="s">
        <v>305</v>
      </c>
      <c r="AI92" s="126" t="s">
        <v>1392</v>
      </c>
    </row>
    <row r="93" spans="1:35" ht="135" x14ac:dyDescent="0.25">
      <c r="A93" s="46" t="str">
        <f t="shared" si="1"/>
        <v>BGTACRD025010TRADICIONALNUTRESA</v>
      </c>
      <c r="B93" s="126" t="s">
        <v>4</v>
      </c>
      <c r="C93" s="126">
        <v>64285</v>
      </c>
      <c r="D93" s="126" t="s">
        <v>140</v>
      </c>
      <c r="E93" s="126" t="s">
        <v>177</v>
      </c>
      <c r="F93" s="127">
        <v>44543</v>
      </c>
      <c r="G93" s="126" t="s">
        <v>175</v>
      </c>
      <c r="H93" s="126" t="s">
        <v>176</v>
      </c>
      <c r="I93" s="126">
        <v>1</v>
      </c>
      <c r="J93" s="126" t="s">
        <v>184</v>
      </c>
      <c r="K93" s="126" t="s">
        <v>338</v>
      </c>
      <c r="L93" s="126" t="s">
        <v>1391</v>
      </c>
      <c r="M93" s="126" t="s">
        <v>140</v>
      </c>
      <c r="N93" s="126">
        <v>23791</v>
      </c>
      <c r="O93" s="126" t="s">
        <v>560</v>
      </c>
      <c r="P93" s="126" t="s">
        <v>171</v>
      </c>
      <c r="Q93" s="126" t="s">
        <v>488</v>
      </c>
      <c r="R93" s="126" t="s">
        <v>488</v>
      </c>
      <c r="S93" s="126" t="s">
        <v>1255</v>
      </c>
      <c r="T93" s="126" t="s">
        <v>160</v>
      </c>
      <c r="U93" s="126"/>
      <c r="V93" s="128">
        <v>1500000000</v>
      </c>
      <c r="W93" s="128">
        <v>1500000000</v>
      </c>
      <c r="X93" s="126" t="s">
        <v>1209</v>
      </c>
      <c r="Y93" s="126">
        <v>0</v>
      </c>
      <c r="Z93" s="126">
        <v>0</v>
      </c>
      <c r="AA93" s="126" t="s">
        <v>2</v>
      </c>
      <c r="AB93" s="126" t="s">
        <v>140</v>
      </c>
      <c r="AC93" s="126" t="s">
        <v>162</v>
      </c>
      <c r="AD93" s="126"/>
      <c r="AE93" s="126"/>
      <c r="AF93" s="126"/>
      <c r="AG93" s="126"/>
      <c r="AH93" s="126" t="s">
        <v>305</v>
      </c>
      <c r="AI93" s="126" t="s">
        <v>1393</v>
      </c>
    </row>
    <row r="94" spans="1:35" ht="135" x14ac:dyDescent="0.25">
      <c r="A94" s="46" t="str">
        <f t="shared" si="1"/>
        <v>BGTACRD025010TRADICIONALALTILLANO</v>
      </c>
      <c r="B94" s="126" t="s">
        <v>4</v>
      </c>
      <c r="C94" s="126">
        <v>64285</v>
      </c>
      <c r="D94" s="126" t="s">
        <v>140</v>
      </c>
      <c r="E94" s="126" t="s">
        <v>177</v>
      </c>
      <c r="F94" s="127">
        <v>44543</v>
      </c>
      <c r="G94" s="126" t="s">
        <v>175</v>
      </c>
      <c r="H94" s="126" t="s">
        <v>176</v>
      </c>
      <c r="I94" s="126">
        <v>1</v>
      </c>
      <c r="J94" s="126" t="s">
        <v>184</v>
      </c>
      <c r="K94" s="126" t="s">
        <v>338</v>
      </c>
      <c r="L94" s="126" t="s">
        <v>1391</v>
      </c>
      <c r="M94" s="126" t="s">
        <v>140</v>
      </c>
      <c r="N94" s="126">
        <v>23791</v>
      </c>
      <c r="O94" s="126" t="s">
        <v>560</v>
      </c>
      <c r="P94" s="126" t="s">
        <v>171</v>
      </c>
      <c r="Q94" s="126" t="s">
        <v>488</v>
      </c>
      <c r="R94" s="126" t="s">
        <v>488</v>
      </c>
      <c r="S94" s="126" t="s">
        <v>1255</v>
      </c>
      <c r="T94" s="126" t="s">
        <v>160</v>
      </c>
      <c r="U94" s="126"/>
      <c r="V94" s="128">
        <v>800000000</v>
      </c>
      <c r="W94" s="128">
        <v>800000000</v>
      </c>
      <c r="X94" s="126" t="s">
        <v>1209</v>
      </c>
      <c r="Y94" s="126">
        <v>0</v>
      </c>
      <c r="Z94" s="126">
        <v>0</v>
      </c>
      <c r="AA94" s="126" t="s">
        <v>2</v>
      </c>
      <c r="AB94" s="126" t="s">
        <v>145</v>
      </c>
      <c r="AC94" s="126" t="s">
        <v>162</v>
      </c>
      <c r="AD94" s="126"/>
      <c r="AE94" s="126"/>
      <c r="AF94" s="126"/>
      <c r="AG94" s="126"/>
      <c r="AH94" s="126" t="s">
        <v>305</v>
      </c>
      <c r="AI94" s="126" t="s">
        <v>1394</v>
      </c>
    </row>
    <row r="95" spans="1:35" ht="135" x14ac:dyDescent="0.25">
      <c r="A95" s="46" t="str">
        <f t="shared" si="1"/>
        <v>BGTACRD025008TRADICIONALNUTRESA</v>
      </c>
      <c r="B95" s="126" t="s">
        <v>4</v>
      </c>
      <c r="C95" s="126">
        <v>64285</v>
      </c>
      <c r="D95" s="126" t="s">
        <v>140</v>
      </c>
      <c r="E95" s="126" t="s">
        <v>177</v>
      </c>
      <c r="F95" s="127">
        <v>44543</v>
      </c>
      <c r="G95" s="126" t="s">
        <v>175</v>
      </c>
      <c r="H95" s="126" t="s">
        <v>176</v>
      </c>
      <c r="I95" s="126">
        <v>1</v>
      </c>
      <c r="J95" s="126" t="s">
        <v>184</v>
      </c>
      <c r="K95" s="126" t="s">
        <v>338</v>
      </c>
      <c r="L95" s="126" t="s">
        <v>1391</v>
      </c>
      <c r="M95" s="126" t="s">
        <v>140</v>
      </c>
      <c r="N95" s="126">
        <v>23791</v>
      </c>
      <c r="O95" s="126" t="s">
        <v>560</v>
      </c>
      <c r="P95" s="126" t="s">
        <v>171</v>
      </c>
      <c r="Q95" s="126" t="s">
        <v>486</v>
      </c>
      <c r="R95" s="126" t="s">
        <v>486</v>
      </c>
      <c r="S95" s="126" t="s">
        <v>1251</v>
      </c>
      <c r="T95" s="126" t="s">
        <v>160</v>
      </c>
      <c r="U95" s="126"/>
      <c r="V95" s="128">
        <v>3900000000</v>
      </c>
      <c r="W95" s="128">
        <v>3900000000</v>
      </c>
      <c r="X95" s="126" t="s">
        <v>1209</v>
      </c>
      <c r="Y95" s="126">
        <v>0</v>
      </c>
      <c r="Z95" s="126">
        <v>0</v>
      </c>
      <c r="AA95" s="126" t="s">
        <v>2</v>
      </c>
      <c r="AB95" s="126" t="s">
        <v>140</v>
      </c>
      <c r="AC95" s="126" t="s">
        <v>162</v>
      </c>
      <c r="AD95" s="126"/>
      <c r="AE95" s="126"/>
      <c r="AF95" s="126"/>
      <c r="AG95" s="126"/>
      <c r="AH95" s="126" t="s">
        <v>305</v>
      </c>
      <c r="AI95" s="126" t="s">
        <v>1395</v>
      </c>
    </row>
    <row r="96" spans="1:35" ht="135" x14ac:dyDescent="0.25">
      <c r="A96" s="46" t="str">
        <f t="shared" si="1"/>
        <v>BGTACRD025009TRADICIONALALTILLANO</v>
      </c>
      <c r="B96" s="126" t="s">
        <v>4</v>
      </c>
      <c r="C96" s="126">
        <v>64285</v>
      </c>
      <c r="D96" s="126" t="s">
        <v>140</v>
      </c>
      <c r="E96" s="126" t="s">
        <v>177</v>
      </c>
      <c r="F96" s="127">
        <v>44543</v>
      </c>
      <c r="G96" s="126" t="s">
        <v>175</v>
      </c>
      <c r="H96" s="126" t="s">
        <v>176</v>
      </c>
      <c r="I96" s="126">
        <v>1</v>
      </c>
      <c r="J96" s="126" t="s">
        <v>184</v>
      </c>
      <c r="K96" s="126" t="s">
        <v>338</v>
      </c>
      <c r="L96" s="126" t="s">
        <v>1391</v>
      </c>
      <c r="M96" s="126" t="s">
        <v>140</v>
      </c>
      <c r="N96" s="126">
        <v>23791</v>
      </c>
      <c r="O96" s="126" t="s">
        <v>560</v>
      </c>
      <c r="P96" s="126" t="s">
        <v>171</v>
      </c>
      <c r="Q96" s="126" t="s">
        <v>487</v>
      </c>
      <c r="R96" s="126" t="s">
        <v>487</v>
      </c>
      <c r="S96" s="126" t="s">
        <v>1253</v>
      </c>
      <c r="T96" s="126" t="s">
        <v>160</v>
      </c>
      <c r="U96" s="126"/>
      <c r="V96" s="128">
        <v>400000000</v>
      </c>
      <c r="W96" s="128">
        <v>400000000</v>
      </c>
      <c r="X96" s="126" t="s">
        <v>1209</v>
      </c>
      <c r="Y96" s="126">
        <v>0</v>
      </c>
      <c r="Z96" s="126">
        <v>0</v>
      </c>
      <c r="AA96" s="126" t="s">
        <v>2</v>
      </c>
      <c r="AB96" s="126" t="s">
        <v>145</v>
      </c>
      <c r="AC96" s="126" t="s">
        <v>162</v>
      </c>
      <c r="AD96" s="126"/>
      <c r="AE96" s="126"/>
      <c r="AF96" s="126"/>
      <c r="AG96" s="126"/>
      <c r="AH96" s="126" t="s">
        <v>305</v>
      </c>
      <c r="AI96" s="126" t="s">
        <v>1396</v>
      </c>
    </row>
    <row r="97" spans="1:35" ht="135" x14ac:dyDescent="0.25">
      <c r="A97" s="46" t="str">
        <f t="shared" si="1"/>
        <v>BGTACRD025002AUTOSERVICIONUTRESA</v>
      </c>
      <c r="B97" s="126" t="s">
        <v>4</v>
      </c>
      <c r="C97" s="126">
        <v>64286</v>
      </c>
      <c r="D97" s="126" t="s">
        <v>140</v>
      </c>
      <c r="E97" s="126" t="s">
        <v>177</v>
      </c>
      <c r="F97" s="127">
        <v>44543</v>
      </c>
      <c r="G97" s="126" t="s">
        <v>175</v>
      </c>
      <c r="H97" s="126" t="s">
        <v>176</v>
      </c>
      <c r="I97" s="126">
        <v>1</v>
      </c>
      <c r="J97" s="126" t="s">
        <v>184</v>
      </c>
      <c r="K97" s="126" t="s">
        <v>338</v>
      </c>
      <c r="L97" s="126" t="s">
        <v>1397</v>
      </c>
      <c r="M97" s="126" t="s">
        <v>140</v>
      </c>
      <c r="N97" s="126">
        <v>23779</v>
      </c>
      <c r="O97" s="126" t="s">
        <v>561</v>
      </c>
      <c r="P97" s="126" t="s">
        <v>171</v>
      </c>
      <c r="Q97" s="126" t="s">
        <v>491</v>
      </c>
      <c r="R97" s="126" t="s">
        <v>491</v>
      </c>
      <c r="S97" s="126" t="s">
        <v>492</v>
      </c>
      <c r="T97" s="126" t="s">
        <v>160</v>
      </c>
      <c r="U97" s="126"/>
      <c r="V97" s="128">
        <v>150000000</v>
      </c>
      <c r="W97" s="128">
        <v>150000000</v>
      </c>
      <c r="X97" s="126" t="s">
        <v>1209</v>
      </c>
      <c r="Y97" s="126">
        <v>0</v>
      </c>
      <c r="Z97" s="126">
        <v>0</v>
      </c>
      <c r="AA97" s="126" t="s">
        <v>0</v>
      </c>
      <c r="AB97" s="126" t="s">
        <v>140</v>
      </c>
      <c r="AC97" s="126" t="s">
        <v>162</v>
      </c>
      <c r="AD97" s="126"/>
      <c r="AE97" s="126"/>
      <c r="AF97" s="126"/>
      <c r="AG97" s="126"/>
      <c r="AH97" s="126" t="s">
        <v>305</v>
      </c>
      <c r="AI97" s="126" t="s">
        <v>1398</v>
      </c>
    </row>
    <row r="98" spans="1:35" ht="135" x14ac:dyDescent="0.25">
      <c r="A98" s="46" t="str">
        <f t="shared" si="1"/>
        <v>BGTACRD025001AUTOSERVICIONUTRESA</v>
      </c>
      <c r="B98" s="126" t="s">
        <v>4</v>
      </c>
      <c r="C98" s="126">
        <v>64286</v>
      </c>
      <c r="D98" s="126" t="s">
        <v>140</v>
      </c>
      <c r="E98" s="126" t="s">
        <v>177</v>
      </c>
      <c r="F98" s="127">
        <v>44543</v>
      </c>
      <c r="G98" s="126" t="s">
        <v>175</v>
      </c>
      <c r="H98" s="126" t="s">
        <v>176</v>
      </c>
      <c r="I98" s="126">
        <v>1</v>
      </c>
      <c r="J98" s="126" t="s">
        <v>184</v>
      </c>
      <c r="K98" s="126" t="s">
        <v>338</v>
      </c>
      <c r="L98" s="126" t="s">
        <v>1397</v>
      </c>
      <c r="M98" s="126" t="s">
        <v>140</v>
      </c>
      <c r="N98" s="126">
        <v>23779</v>
      </c>
      <c r="O98" s="126" t="s">
        <v>561</v>
      </c>
      <c r="P98" s="126" t="s">
        <v>171</v>
      </c>
      <c r="Q98" s="126" t="s">
        <v>489</v>
      </c>
      <c r="R98" s="126" t="s">
        <v>489</v>
      </c>
      <c r="S98" s="126" t="s">
        <v>490</v>
      </c>
      <c r="T98" s="126" t="s">
        <v>160</v>
      </c>
      <c r="U98" s="126"/>
      <c r="V98" s="128">
        <v>150000000</v>
      </c>
      <c r="W98" s="128">
        <v>150000000</v>
      </c>
      <c r="X98" s="126" t="s">
        <v>1209</v>
      </c>
      <c r="Y98" s="126">
        <v>0</v>
      </c>
      <c r="Z98" s="126">
        <v>0</v>
      </c>
      <c r="AA98" s="126" t="s">
        <v>0</v>
      </c>
      <c r="AB98" s="126" t="s">
        <v>140</v>
      </c>
      <c r="AC98" s="126" t="s">
        <v>162</v>
      </c>
      <c r="AD98" s="126"/>
      <c r="AE98" s="126"/>
      <c r="AF98" s="126"/>
      <c r="AG98" s="126"/>
      <c r="AH98" s="126" t="s">
        <v>305</v>
      </c>
      <c r="AI98" s="126" t="s">
        <v>1399</v>
      </c>
    </row>
    <row r="99" spans="1:35" ht="135" x14ac:dyDescent="0.25">
      <c r="A99" s="46" t="str">
        <f t="shared" si="1"/>
        <v>BGTACRD025001AUTOSERVICIOALTILLANO</v>
      </c>
      <c r="B99" s="126" t="s">
        <v>4</v>
      </c>
      <c r="C99" s="126">
        <v>64286</v>
      </c>
      <c r="D99" s="126" t="s">
        <v>140</v>
      </c>
      <c r="E99" s="126" t="s">
        <v>177</v>
      </c>
      <c r="F99" s="127">
        <v>44543</v>
      </c>
      <c r="G99" s="126" t="s">
        <v>175</v>
      </c>
      <c r="H99" s="126" t="s">
        <v>176</v>
      </c>
      <c r="I99" s="126">
        <v>1</v>
      </c>
      <c r="J99" s="126" t="s">
        <v>184</v>
      </c>
      <c r="K99" s="126" t="s">
        <v>338</v>
      </c>
      <c r="L99" s="126" t="s">
        <v>1397</v>
      </c>
      <c r="M99" s="126" t="s">
        <v>140</v>
      </c>
      <c r="N99" s="126">
        <v>23779</v>
      </c>
      <c r="O99" s="126" t="s">
        <v>561</v>
      </c>
      <c r="P99" s="126" t="s">
        <v>171</v>
      </c>
      <c r="Q99" s="126" t="s">
        <v>489</v>
      </c>
      <c r="R99" s="126" t="s">
        <v>489</v>
      </c>
      <c r="S99" s="126" t="s">
        <v>490</v>
      </c>
      <c r="T99" s="126" t="s">
        <v>160</v>
      </c>
      <c r="U99" s="126"/>
      <c r="V99" s="128">
        <v>150000000</v>
      </c>
      <c r="W99" s="128">
        <v>150000000</v>
      </c>
      <c r="X99" s="126" t="s">
        <v>1209</v>
      </c>
      <c r="Y99" s="126">
        <v>0</v>
      </c>
      <c r="Z99" s="126">
        <v>0</v>
      </c>
      <c r="AA99" s="126" t="s">
        <v>0</v>
      </c>
      <c r="AB99" s="126" t="s">
        <v>145</v>
      </c>
      <c r="AC99" s="126" t="s">
        <v>162</v>
      </c>
      <c r="AD99" s="126"/>
      <c r="AE99" s="126"/>
      <c r="AF99" s="126"/>
      <c r="AG99" s="126"/>
      <c r="AH99" s="126" t="s">
        <v>305</v>
      </c>
      <c r="AI99" s="126" t="s">
        <v>1400</v>
      </c>
    </row>
    <row r="100" spans="1:35" ht="135" x14ac:dyDescent="0.25">
      <c r="A100" s="46" t="str">
        <f t="shared" si="1"/>
        <v>BGTACRD025002AUTOSERVICIOALTILLANO</v>
      </c>
      <c r="B100" s="126" t="s">
        <v>4</v>
      </c>
      <c r="C100" s="126">
        <v>64286</v>
      </c>
      <c r="D100" s="126" t="s">
        <v>140</v>
      </c>
      <c r="E100" s="126" t="s">
        <v>177</v>
      </c>
      <c r="F100" s="127">
        <v>44543</v>
      </c>
      <c r="G100" s="126" t="s">
        <v>175</v>
      </c>
      <c r="H100" s="126" t="s">
        <v>176</v>
      </c>
      <c r="I100" s="126">
        <v>1</v>
      </c>
      <c r="J100" s="126" t="s">
        <v>184</v>
      </c>
      <c r="K100" s="126" t="s">
        <v>338</v>
      </c>
      <c r="L100" s="126" t="s">
        <v>1397</v>
      </c>
      <c r="M100" s="126" t="s">
        <v>140</v>
      </c>
      <c r="N100" s="126">
        <v>23779</v>
      </c>
      <c r="O100" s="126" t="s">
        <v>561</v>
      </c>
      <c r="P100" s="126" t="s">
        <v>171</v>
      </c>
      <c r="Q100" s="126" t="s">
        <v>491</v>
      </c>
      <c r="R100" s="126" t="s">
        <v>491</v>
      </c>
      <c r="S100" s="126" t="s">
        <v>492</v>
      </c>
      <c r="T100" s="126" t="s">
        <v>160</v>
      </c>
      <c r="U100" s="126"/>
      <c r="V100" s="128">
        <v>150000000</v>
      </c>
      <c r="W100" s="128">
        <v>150000000</v>
      </c>
      <c r="X100" s="126" t="s">
        <v>1209</v>
      </c>
      <c r="Y100" s="126">
        <v>0</v>
      </c>
      <c r="Z100" s="126">
        <v>0</v>
      </c>
      <c r="AA100" s="126" t="s">
        <v>0</v>
      </c>
      <c r="AB100" s="126" t="s">
        <v>145</v>
      </c>
      <c r="AC100" s="126" t="s">
        <v>162</v>
      </c>
      <c r="AD100" s="126"/>
      <c r="AE100" s="126"/>
      <c r="AF100" s="126"/>
      <c r="AG100" s="126"/>
      <c r="AH100" s="126" t="s">
        <v>305</v>
      </c>
      <c r="AI100" s="126" t="s">
        <v>1401</v>
      </c>
    </row>
    <row r="101" spans="1:35" ht="135" x14ac:dyDescent="0.25">
      <c r="A101" s="46" t="str">
        <f t="shared" si="1"/>
        <v>BGTACRD024945CADENASNUTRESA</v>
      </c>
      <c r="B101" s="126" t="s">
        <v>4</v>
      </c>
      <c r="C101" s="126">
        <v>64294</v>
      </c>
      <c r="D101" s="126" t="s">
        <v>140</v>
      </c>
      <c r="E101" s="126" t="s">
        <v>177</v>
      </c>
      <c r="F101" s="127">
        <v>44543</v>
      </c>
      <c r="G101" s="126" t="s">
        <v>175</v>
      </c>
      <c r="H101" s="126" t="s">
        <v>176</v>
      </c>
      <c r="I101" s="126">
        <v>1</v>
      </c>
      <c r="J101" s="126" t="s">
        <v>184</v>
      </c>
      <c r="K101" s="126" t="s">
        <v>338</v>
      </c>
      <c r="L101" s="126" t="s">
        <v>1402</v>
      </c>
      <c r="M101" s="126" t="s">
        <v>140</v>
      </c>
      <c r="N101" s="126">
        <v>21493</v>
      </c>
      <c r="O101" s="126" t="s">
        <v>562</v>
      </c>
      <c r="P101" s="126" t="s">
        <v>171</v>
      </c>
      <c r="Q101" s="126" t="s">
        <v>447</v>
      </c>
      <c r="R101" s="126" t="s">
        <v>447</v>
      </c>
      <c r="S101" s="126" t="s">
        <v>448</v>
      </c>
      <c r="T101" s="126" t="s">
        <v>160</v>
      </c>
      <c r="U101" s="126"/>
      <c r="V101" s="128">
        <v>3000000</v>
      </c>
      <c r="W101" s="128">
        <v>3000000</v>
      </c>
      <c r="X101" s="126" t="s">
        <v>1209</v>
      </c>
      <c r="Y101" s="126">
        <v>0</v>
      </c>
      <c r="Z101" s="126">
        <v>0</v>
      </c>
      <c r="AA101" s="126" t="s">
        <v>1</v>
      </c>
      <c r="AB101" s="126" t="s">
        <v>140</v>
      </c>
      <c r="AC101" s="126" t="s">
        <v>162</v>
      </c>
      <c r="AD101" s="126"/>
      <c r="AE101" s="126"/>
      <c r="AF101" s="126"/>
      <c r="AG101" s="126"/>
      <c r="AH101" s="126" t="s">
        <v>305</v>
      </c>
      <c r="AI101" s="126" t="s">
        <v>1403</v>
      </c>
    </row>
    <row r="102" spans="1:35" ht="135" x14ac:dyDescent="0.25">
      <c r="A102" s="46" t="str">
        <f t="shared" si="1"/>
        <v>BGTACRD024353CADENASNUTRESA</v>
      </c>
      <c r="B102" s="126" t="s">
        <v>4</v>
      </c>
      <c r="C102" s="126">
        <v>64295</v>
      </c>
      <c r="D102" s="126" t="s">
        <v>140</v>
      </c>
      <c r="E102" s="126" t="s">
        <v>177</v>
      </c>
      <c r="F102" s="127">
        <v>44543</v>
      </c>
      <c r="G102" s="126" t="s">
        <v>175</v>
      </c>
      <c r="H102" s="126" t="s">
        <v>176</v>
      </c>
      <c r="I102" s="126">
        <v>1</v>
      </c>
      <c r="J102" s="126" t="s">
        <v>184</v>
      </c>
      <c r="K102" s="126" t="s">
        <v>338</v>
      </c>
      <c r="L102" s="126" t="s">
        <v>1404</v>
      </c>
      <c r="M102" s="126" t="s">
        <v>140</v>
      </c>
      <c r="N102" s="126">
        <v>21495</v>
      </c>
      <c r="O102" s="126" t="s">
        <v>563</v>
      </c>
      <c r="P102" s="126" t="s">
        <v>171</v>
      </c>
      <c r="Q102" s="126" t="s">
        <v>297</v>
      </c>
      <c r="R102" s="126" t="s">
        <v>297</v>
      </c>
      <c r="S102" s="126" t="s">
        <v>400</v>
      </c>
      <c r="T102" s="126" t="s">
        <v>160</v>
      </c>
      <c r="U102" s="126"/>
      <c r="V102" s="128">
        <v>4000000</v>
      </c>
      <c r="W102" s="128">
        <v>4000000</v>
      </c>
      <c r="X102" s="126" t="s">
        <v>1209</v>
      </c>
      <c r="Y102" s="126">
        <v>0</v>
      </c>
      <c r="Z102" s="126">
        <v>0</v>
      </c>
      <c r="AA102" s="126" t="s">
        <v>1</v>
      </c>
      <c r="AB102" s="126" t="s">
        <v>140</v>
      </c>
      <c r="AC102" s="126" t="s">
        <v>162</v>
      </c>
      <c r="AD102" s="126"/>
      <c r="AE102" s="126"/>
      <c r="AF102" s="126"/>
      <c r="AG102" s="126"/>
      <c r="AH102" s="126" t="s">
        <v>305</v>
      </c>
      <c r="AI102" s="126" t="s">
        <v>1405</v>
      </c>
    </row>
    <row r="103" spans="1:35" ht="150" x14ac:dyDescent="0.25">
      <c r="A103" s="46" t="str">
        <f t="shared" si="1"/>
        <v>BGTACRD025005TRADICIONALNUTRESA</v>
      </c>
      <c r="B103" s="126" t="s">
        <v>4</v>
      </c>
      <c r="C103" s="126">
        <v>64303</v>
      </c>
      <c r="D103" s="126" t="s">
        <v>140</v>
      </c>
      <c r="E103" s="126" t="s">
        <v>177</v>
      </c>
      <c r="F103" s="127">
        <v>44543</v>
      </c>
      <c r="G103" s="126" t="s">
        <v>175</v>
      </c>
      <c r="H103" s="126" t="s">
        <v>176</v>
      </c>
      <c r="I103" s="126">
        <v>1</v>
      </c>
      <c r="J103" s="126" t="s">
        <v>184</v>
      </c>
      <c r="K103" s="126" t="s">
        <v>338</v>
      </c>
      <c r="L103" s="126" t="s">
        <v>1406</v>
      </c>
      <c r="M103" s="126" t="s">
        <v>140</v>
      </c>
      <c r="N103" s="126">
        <v>7164699237</v>
      </c>
      <c r="O103" s="126" t="s">
        <v>564</v>
      </c>
      <c r="P103" s="126" t="s">
        <v>172</v>
      </c>
      <c r="Q103" s="126" t="s">
        <v>565</v>
      </c>
      <c r="R103" s="126" t="s">
        <v>565</v>
      </c>
      <c r="S103" s="126" t="s">
        <v>566</v>
      </c>
      <c r="T103" s="126" t="s">
        <v>160</v>
      </c>
      <c r="U103" s="126"/>
      <c r="V103" s="128">
        <v>33000000</v>
      </c>
      <c r="W103" s="128">
        <v>33000000</v>
      </c>
      <c r="X103" s="126" t="s">
        <v>1209</v>
      </c>
      <c r="Y103" s="126">
        <v>0</v>
      </c>
      <c r="Z103" s="126" t="s">
        <v>567</v>
      </c>
      <c r="AA103" s="126" t="s">
        <v>2</v>
      </c>
      <c r="AB103" s="126" t="s">
        <v>140</v>
      </c>
      <c r="AC103" s="126" t="s">
        <v>162</v>
      </c>
      <c r="AD103" s="127">
        <v>44801</v>
      </c>
      <c r="AE103" s="126"/>
      <c r="AF103" s="127">
        <v>44801</v>
      </c>
      <c r="AG103" s="126"/>
      <c r="AH103" s="126" t="s">
        <v>305</v>
      </c>
      <c r="AI103" s="126" t="s">
        <v>1407</v>
      </c>
    </row>
    <row r="104" spans="1:35" ht="150" x14ac:dyDescent="0.25">
      <c r="A104" s="46" t="str">
        <f t="shared" si="1"/>
        <v>BGTACRD025005TRADICIONALALTILLANO</v>
      </c>
      <c r="B104" s="126" t="s">
        <v>4</v>
      </c>
      <c r="C104" s="126">
        <v>64304</v>
      </c>
      <c r="D104" s="126" t="s">
        <v>140</v>
      </c>
      <c r="E104" s="126" t="s">
        <v>177</v>
      </c>
      <c r="F104" s="127">
        <v>44543</v>
      </c>
      <c r="G104" s="126" t="s">
        <v>175</v>
      </c>
      <c r="H104" s="126" t="s">
        <v>176</v>
      </c>
      <c r="I104" s="126">
        <v>1</v>
      </c>
      <c r="J104" s="126" t="s">
        <v>184</v>
      </c>
      <c r="K104" s="126" t="s">
        <v>338</v>
      </c>
      <c r="L104" s="126" t="s">
        <v>1408</v>
      </c>
      <c r="M104" s="126" t="s">
        <v>140</v>
      </c>
      <c r="N104" s="126">
        <v>7164540425</v>
      </c>
      <c r="O104" s="126" t="s">
        <v>568</v>
      </c>
      <c r="P104" s="126" t="s">
        <v>172</v>
      </c>
      <c r="Q104" s="126" t="s">
        <v>565</v>
      </c>
      <c r="R104" s="126" t="s">
        <v>565</v>
      </c>
      <c r="S104" s="126" t="s">
        <v>566</v>
      </c>
      <c r="T104" s="126" t="s">
        <v>160</v>
      </c>
      <c r="U104" s="126"/>
      <c r="V104" s="128">
        <v>52000000</v>
      </c>
      <c r="W104" s="128">
        <v>52000000</v>
      </c>
      <c r="X104" s="126" t="s">
        <v>1209</v>
      </c>
      <c r="Y104" s="126">
        <v>0</v>
      </c>
      <c r="Z104" s="126" t="s">
        <v>567</v>
      </c>
      <c r="AA104" s="126" t="s">
        <v>2</v>
      </c>
      <c r="AB104" s="126" t="s">
        <v>145</v>
      </c>
      <c r="AC104" s="126" t="s">
        <v>162</v>
      </c>
      <c r="AD104" s="127">
        <v>44801</v>
      </c>
      <c r="AE104" s="126"/>
      <c r="AF104" s="127">
        <v>44801</v>
      </c>
      <c r="AG104" s="126"/>
      <c r="AH104" s="126" t="s">
        <v>305</v>
      </c>
      <c r="AI104" s="126" t="s">
        <v>1409</v>
      </c>
    </row>
    <row r="105" spans="1:35" ht="240" x14ac:dyDescent="0.25">
      <c r="A105" s="46" t="str">
        <f t="shared" si="1"/>
        <v>BGTACRD024788AUTOSERVICIOBPO</v>
      </c>
      <c r="B105" s="126" t="s">
        <v>4</v>
      </c>
      <c r="C105" s="126">
        <v>64310</v>
      </c>
      <c r="D105" s="126" t="s">
        <v>140</v>
      </c>
      <c r="E105" s="126" t="s">
        <v>177</v>
      </c>
      <c r="F105" s="127">
        <v>44544</v>
      </c>
      <c r="G105" s="126" t="s">
        <v>175</v>
      </c>
      <c r="H105" s="126" t="s">
        <v>176</v>
      </c>
      <c r="I105" s="126">
        <v>1</v>
      </c>
      <c r="J105" s="126" t="s">
        <v>184</v>
      </c>
      <c r="K105" s="126" t="s">
        <v>338</v>
      </c>
      <c r="L105" s="126" t="s">
        <v>1410</v>
      </c>
      <c r="M105" s="126" t="s">
        <v>140</v>
      </c>
      <c r="N105" s="126" t="s">
        <v>569</v>
      </c>
      <c r="O105" s="126" t="s">
        <v>570</v>
      </c>
      <c r="P105" s="126" t="s">
        <v>172</v>
      </c>
      <c r="Q105" s="126" t="s">
        <v>452</v>
      </c>
      <c r="R105" s="126" t="s">
        <v>452</v>
      </c>
      <c r="S105" s="126" t="s">
        <v>453</v>
      </c>
      <c r="T105" s="126" t="s">
        <v>160</v>
      </c>
      <c r="U105" s="126"/>
      <c r="V105" s="128">
        <v>61110000000</v>
      </c>
      <c r="W105" s="128">
        <v>61110000000</v>
      </c>
      <c r="X105" s="126" t="s">
        <v>1209</v>
      </c>
      <c r="Y105" s="126">
        <v>0</v>
      </c>
      <c r="Z105" s="126" t="s">
        <v>571</v>
      </c>
      <c r="AA105" s="126" t="s">
        <v>0</v>
      </c>
      <c r="AB105" s="126" t="s">
        <v>161</v>
      </c>
      <c r="AC105" s="126" t="s">
        <v>162</v>
      </c>
      <c r="AD105" s="127">
        <v>44836</v>
      </c>
      <c r="AE105" s="126"/>
      <c r="AF105" s="127">
        <v>44836</v>
      </c>
      <c r="AG105" s="126"/>
      <c r="AH105" s="126" t="s">
        <v>370</v>
      </c>
      <c r="AI105" s="126" t="s">
        <v>1411</v>
      </c>
    </row>
    <row r="106" spans="1:35" ht="135" x14ac:dyDescent="0.25">
      <c r="A106" s="46" t="str">
        <f t="shared" si="1"/>
        <v>BGTACRD025023AUTOSERVICIOALTILLANO</v>
      </c>
      <c r="B106" s="126" t="s">
        <v>4</v>
      </c>
      <c r="C106" s="126">
        <v>64357</v>
      </c>
      <c r="D106" s="126" t="s">
        <v>140</v>
      </c>
      <c r="E106" s="126" t="s">
        <v>177</v>
      </c>
      <c r="F106" s="127">
        <v>44546</v>
      </c>
      <c r="G106" s="126" t="s">
        <v>175</v>
      </c>
      <c r="H106" s="126" t="s">
        <v>176</v>
      </c>
      <c r="I106" s="126">
        <v>1</v>
      </c>
      <c r="J106" s="126" t="s">
        <v>184</v>
      </c>
      <c r="K106" s="126" t="s">
        <v>338</v>
      </c>
      <c r="L106" s="126" t="s">
        <v>1412</v>
      </c>
      <c r="M106" s="126" t="s">
        <v>140</v>
      </c>
      <c r="N106" s="126">
        <v>2992</v>
      </c>
      <c r="O106" s="126" t="s">
        <v>764</v>
      </c>
      <c r="P106" s="126" t="s">
        <v>170</v>
      </c>
      <c r="Q106" s="126" t="s">
        <v>765</v>
      </c>
      <c r="R106" s="126" t="s">
        <v>765</v>
      </c>
      <c r="S106" s="126" t="s">
        <v>766</v>
      </c>
      <c r="T106" s="126" t="s">
        <v>160</v>
      </c>
      <c r="U106" s="126"/>
      <c r="V106" s="128">
        <v>27000000</v>
      </c>
      <c r="W106" s="128">
        <v>27000000</v>
      </c>
      <c r="X106" s="126" t="s">
        <v>1209</v>
      </c>
      <c r="Y106" s="126">
        <v>0</v>
      </c>
      <c r="Z106" s="126">
        <v>0</v>
      </c>
      <c r="AA106" s="126" t="s">
        <v>0</v>
      </c>
      <c r="AB106" s="126" t="s">
        <v>145</v>
      </c>
      <c r="AC106" s="126" t="s">
        <v>162</v>
      </c>
      <c r="AD106" s="126"/>
      <c r="AE106" s="126"/>
      <c r="AF106" s="126"/>
      <c r="AG106" s="126"/>
      <c r="AH106" s="126" t="s">
        <v>305</v>
      </c>
      <c r="AI106" s="126" t="s">
        <v>1413</v>
      </c>
    </row>
    <row r="107" spans="1:35" ht="135" x14ac:dyDescent="0.25">
      <c r="A107" s="46" t="str">
        <f t="shared" si="1"/>
        <v>BGTACRD025023AUTOSERVICIONUTRESA</v>
      </c>
      <c r="B107" s="126" t="s">
        <v>4</v>
      </c>
      <c r="C107" s="126">
        <v>64358</v>
      </c>
      <c r="D107" s="126" t="s">
        <v>140</v>
      </c>
      <c r="E107" s="126" t="s">
        <v>177</v>
      </c>
      <c r="F107" s="127">
        <v>44546</v>
      </c>
      <c r="G107" s="126" t="s">
        <v>175</v>
      </c>
      <c r="H107" s="126" t="s">
        <v>176</v>
      </c>
      <c r="I107" s="126">
        <v>1</v>
      </c>
      <c r="J107" s="126" t="s">
        <v>184</v>
      </c>
      <c r="K107" s="126" t="s">
        <v>338</v>
      </c>
      <c r="L107" s="126" t="s">
        <v>1414</v>
      </c>
      <c r="M107" s="126" t="s">
        <v>140</v>
      </c>
      <c r="N107" s="126">
        <v>5023</v>
      </c>
      <c r="O107" s="126" t="s">
        <v>767</v>
      </c>
      <c r="P107" s="126" t="s">
        <v>170</v>
      </c>
      <c r="Q107" s="126" t="s">
        <v>765</v>
      </c>
      <c r="R107" s="126" t="s">
        <v>765</v>
      </c>
      <c r="S107" s="126" t="s">
        <v>766</v>
      </c>
      <c r="T107" s="126" t="s">
        <v>160</v>
      </c>
      <c r="U107" s="126"/>
      <c r="V107" s="128">
        <v>60000000</v>
      </c>
      <c r="W107" s="128">
        <v>60000000</v>
      </c>
      <c r="X107" s="126" t="s">
        <v>1209</v>
      </c>
      <c r="Y107" s="126">
        <v>0</v>
      </c>
      <c r="Z107" s="126">
        <v>0</v>
      </c>
      <c r="AA107" s="126" t="s">
        <v>0</v>
      </c>
      <c r="AB107" s="126" t="s">
        <v>140</v>
      </c>
      <c r="AC107" s="126" t="s">
        <v>162</v>
      </c>
      <c r="AD107" s="126"/>
      <c r="AE107" s="126"/>
      <c r="AF107" s="126"/>
      <c r="AG107" s="126"/>
      <c r="AH107" s="126" t="s">
        <v>305</v>
      </c>
      <c r="AI107" s="126" t="s">
        <v>1415</v>
      </c>
    </row>
    <row r="108" spans="1:35" ht="135" x14ac:dyDescent="0.25">
      <c r="A108" s="46" t="str">
        <f t="shared" si="1"/>
        <v>BGTACRD025022AUTOSERVICIOALTILLANO</v>
      </c>
      <c r="B108" s="126" t="s">
        <v>4</v>
      </c>
      <c r="C108" s="126">
        <v>64359</v>
      </c>
      <c r="D108" s="126" t="s">
        <v>140</v>
      </c>
      <c r="E108" s="126" t="s">
        <v>177</v>
      </c>
      <c r="F108" s="127">
        <v>44546</v>
      </c>
      <c r="G108" s="126" t="s">
        <v>175</v>
      </c>
      <c r="H108" s="126" t="s">
        <v>176</v>
      </c>
      <c r="I108" s="126">
        <v>1</v>
      </c>
      <c r="J108" s="126" t="s">
        <v>184</v>
      </c>
      <c r="K108" s="126" t="s">
        <v>338</v>
      </c>
      <c r="L108" s="126" t="s">
        <v>1416</v>
      </c>
      <c r="M108" s="126" t="s">
        <v>140</v>
      </c>
      <c r="N108" s="126">
        <v>5022</v>
      </c>
      <c r="O108" s="126" t="s">
        <v>768</v>
      </c>
      <c r="P108" s="126" t="s">
        <v>171</v>
      </c>
      <c r="Q108" s="126" t="s">
        <v>769</v>
      </c>
      <c r="R108" s="126" t="s">
        <v>769</v>
      </c>
      <c r="S108" s="126" t="s">
        <v>770</v>
      </c>
      <c r="T108" s="126" t="s">
        <v>160</v>
      </c>
      <c r="U108" s="126"/>
      <c r="V108" s="128">
        <v>19000000</v>
      </c>
      <c r="W108" s="128">
        <v>19000000</v>
      </c>
      <c r="X108" s="126" t="s">
        <v>1209</v>
      </c>
      <c r="Y108" s="126">
        <v>0</v>
      </c>
      <c r="Z108" s="126">
        <v>0</v>
      </c>
      <c r="AA108" s="126" t="s">
        <v>0</v>
      </c>
      <c r="AB108" s="126" t="s">
        <v>145</v>
      </c>
      <c r="AC108" s="126" t="s">
        <v>162</v>
      </c>
      <c r="AD108" s="126"/>
      <c r="AE108" s="126"/>
      <c r="AF108" s="126"/>
      <c r="AG108" s="126"/>
      <c r="AH108" s="126" t="s">
        <v>305</v>
      </c>
      <c r="AI108" s="126" t="s">
        <v>1417</v>
      </c>
    </row>
    <row r="109" spans="1:35" ht="135" x14ac:dyDescent="0.25">
      <c r="A109" s="46" t="str">
        <f t="shared" si="1"/>
        <v>BGTACRD025005TRADICIONALNUTRESA</v>
      </c>
      <c r="B109" s="126" t="s">
        <v>4</v>
      </c>
      <c r="C109" s="126">
        <v>64377</v>
      </c>
      <c r="D109" s="126" t="s">
        <v>140</v>
      </c>
      <c r="E109" s="126" t="s">
        <v>177</v>
      </c>
      <c r="F109" s="127">
        <v>44546</v>
      </c>
      <c r="G109" s="126" t="s">
        <v>175</v>
      </c>
      <c r="H109" s="126" t="s">
        <v>176</v>
      </c>
      <c r="I109" s="126">
        <v>1</v>
      </c>
      <c r="J109" s="126" t="s">
        <v>184</v>
      </c>
      <c r="K109" s="126" t="s">
        <v>338</v>
      </c>
      <c r="L109" s="126" t="s">
        <v>1418</v>
      </c>
      <c r="M109" s="126" t="s">
        <v>140</v>
      </c>
      <c r="N109" s="126" t="s">
        <v>771</v>
      </c>
      <c r="O109" s="126" t="s">
        <v>772</v>
      </c>
      <c r="P109" s="126" t="s">
        <v>172</v>
      </c>
      <c r="Q109" s="126" t="s">
        <v>565</v>
      </c>
      <c r="R109" s="126" t="s">
        <v>565</v>
      </c>
      <c r="S109" s="126" t="s">
        <v>566</v>
      </c>
      <c r="T109" s="126" t="s">
        <v>160</v>
      </c>
      <c r="U109" s="126"/>
      <c r="V109" s="128">
        <v>120000000</v>
      </c>
      <c r="W109" s="128">
        <v>120000000</v>
      </c>
      <c r="X109" s="126" t="s">
        <v>1209</v>
      </c>
      <c r="Y109" s="126">
        <v>0</v>
      </c>
      <c r="Z109" s="126" t="s">
        <v>414</v>
      </c>
      <c r="AA109" s="126" t="s">
        <v>2</v>
      </c>
      <c r="AB109" s="126" t="s">
        <v>140</v>
      </c>
      <c r="AC109" s="126" t="s">
        <v>162</v>
      </c>
      <c r="AD109" s="127">
        <v>44801</v>
      </c>
      <c r="AE109" s="126"/>
      <c r="AF109" s="127">
        <v>44801</v>
      </c>
      <c r="AG109" s="126"/>
      <c r="AH109" s="126" t="s">
        <v>387</v>
      </c>
      <c r="AI109" s="126" t="s">
        <v>1419</v>
      </c>
    </row>
    <row r="110" spans="1:35" ht="135" x14ac:dyDescent="0.25">
      <c r="A110" s="46" t="str">
        <f t="shared" si="1"/>
        <v>BGTACRD024830AUTOSERVICIONUTRESA</v>
      </c>
      <c r="B110" s="126" t="s">
        <v>4</v>
      </c>
      <c r="C110" s="126">
        <v>64402</v>
      </c>
      <c r="D110" s="126" t="s">
        <v>140</v>
      </c>
      <c r="E110" s="126" t="s">
        <v>177</v>
      </c>
      <c r="F110" s="127">
        <v>44550</v>
      </c>
      <c r="G110" s="126" t="s">
        <v>175</v>
      </c>
      <c r="H110" s="126" t="s">
        <v>176</v>
      </c>
      <c r="I110" s="126">
        <v>1</v>
      </c>
      <c r="J110" s="126" t="s">
        <v>184</v>
      </c>
      <c r="K110" s="126" t="s">
        <v>338</v>
      </c>
      <c r="L110" s="126" t="s">
        <v>1420</v>
      </c>
      <c r="M110" s="126" t="s">
        <v>140</v>
      </c>
      <c r="N110" s="126" t="s">
        <v>1421</v>
      </c>
      <c r="O110" s="126" t="s">
        <v>1422</v>
      </c>
      <c r="P110" s="126" t="s">
        <v>168</v>
      </c>
      <c r="Q110" s="126" t="s">
        <v>548</v>
      </c>
      <c r="R110" s="126" t="s">
        <v>548</v>
      </c>
      <c r="S110" s="126" t="s">
        <v>549</v>
      </c>
      <c r="T110" s="126" t="s">
        <v>160</v>
      </c>
      <c r="U110" s="126"/>
      <c r="V110" s="128">
        <v>2000000</v>
      </c>
      <c r="W110" s="128">
        <v>2000000</v>
      </c>
      <c r="X110" s="126" t="s">
        <v>1209</v>
      </c>
      <c r="Y110" s="126">
        <v>0</v>
      </c>
      <c r="Z110" s="126">
        <v>0</v>
      </c>
      <c r="AA110" s="126" t="s">
        <v>0</v>
      </c>
      <c r="AB110" s="126" t="s">
        <v>140</v>
      </c>
      <c r="AC110" s="126" t="s">
        <v>162</v>
      </c>
      <c r="AD110" s="126"/>
      <c r="AE110" s="126"/>
      <c r="AF110" s="126"/>
      <c r="AG110" s="126"/>
      <c r="AH110" s="126" t="s">
        <v>387</v>
      </c>
      <c r="AI110" s="126" t="s">
        <v>1423</v>
      </c>
    </row>
    <row r="111" spans="1:35" ht="135" x14ac:dyDescent="0.25">
      <c r="A111" s="46" t="str">
        <f t="shared" si="1"/>
        <v>BGTACRD025039AUTOSERVICIONUTRESA</v>
      </c>
      <c r="B111" s="126" t="s">
        <v>4</v>
      </c>
      <c r="C111" s="126">
        <v>64407</v>
      </c>
      <c r="D111" s="126" t="s">
        <v>140</v>
      </c>
      <c r="E111" s="126" t="s">
        <v>177</v>
      </c>
      <c r="F111" s="127">
        <v>44550</v>
      </c>
      <c r="G111" s="126" t="s">
        <v>175</v>
      </c>
      <c r="H111" s="126" t="s">
        <v>176</v>
      </c>
      <c r="I111" s="126">
        <v>1</v>
      </c>
      <c r="J111" s="126" t="s">
        <v>184</v>
      </c>
      <c r="K111" s="126" t="s">
        <v>338</v>
      </c>
      <c r="L111" s="126" t="s">
        <v>1424</v>
      </c>
      <c r="M111" s="126" t="s">
        <v>140</v>
      </c>
      <c r="N111" s="126" t="s">
        <v>1425</v>
      </c>
      <c r="O111" s="126" t="s">
        <v>1426</v>
      </c>
      <c r="P111" s="126" t="s">
        <v>172</v>
      </c>
      <c r="Q111" s="126" t="s">
        <v>721</v>
      </c>
      <c r="R111" s="126" t="s">
        <v>721</v>
      </c>
      <c r="S111" s="126" t="s">
        <v>722</v>
      </c>
      <c r="T111" s="126" t="s">
        <v>160</v>
      </c>
      <c r="U111" s="126"/>
      <c r="V111" s="128">
        <v>276000000</v>
      </c>
      <c r="W111" s="128">
        <v>276000000</v>
      </c>
      <c r="X111" s="126" t="s">
        <v>1209</v>
      </c>
      <c r="Y111" s="126">
        <v>0</v>
      </c>
      <c r="Z111" s="126" t="s">
        <v>1427</v>
      </c>
      <c r="AA111" s="126" t="s">
        <v>0</v>
      </c>
      <c r="AB111" s="126" t="s">
        <v>140</v>
      </c>
      <c r="AC111" s="126" t="s">
        <v>162</v>
      </c>
      <c r="AD111" s="127">
        <v>44853</v>
      </c>
      <c r="AE111" s="126"/>
      <c r="AF111" s="127">
        <v>44853</v>
      </c>
      <c r="AG111" s="126"/>
      <c r="AH111" s="126" t="s">
        <v>387</v>
      </c>
      <c r="AI111" s="126" t="s">
        <v>1428</v>
      </c>
    </row>
    <row r="112" spans="1:35" ht="135" x14ac:dyDescent="0.25">
      <c r="A112" s="46" t="str">
        <f t="shared" si="1"/>
        <v>BGTACRD025039AUTOSERVICIOALTILLANO</v>
      </c>
      <c r="B112" s="126" t="s">
        <v>4</v>
      </c>
      <c r="C112" s="126">
        <v>64408</v>
      </c>
      <c r="D112" s="126" t="s">
        <v>140</v>
      </c>
      <c r="E112" s="126" t="s">
        <v>177</v>
      </c>
      <c r="F112" s="127">
        <v>44550</v>
      </c>
      <c r="G112" s="126" t="s">
        <v>175</v>
      </c>
      <c r="H112" s="126" t="s">
        <v>176</v>
      </c>
      <c r="I112" s="126">
        <v>1</v>
      </c>
      <c r="J112" s="126" t="s">
        <v>184</v>
      </c>
      <c r="K112" s="126" t="s">
        <v>338</v>
      </c>
      <c r="L112" s="126" t="s">
        <v>1429</v>
      </c>
      <c r="M112" s="126" t="s">
        <v>140</v>
      </c>
      <c r="N112" s="126" t="s">
        <v>1430</v>
      </c>
      <c r="O112" s="126" t="s">
        <v>1431</v>
      </c>
      <c r="P112" s="126" t="s">
        <v>172</v>
      </c>
      <c r="Q112" s="126" t="s">
        <v>721</v>
      </c>
      <c r="R112" s="126" t="s">
        <v>721</v>
      </c>
      <c r="S112" s="126" t="s">
        <v>722</v>
      </c>
      <c r="T112" s="126" t="s">
        <v>160</v>
      </c>
      <c r="U112" s="126"/>
      <c r="V112" s="128">
        <v>24000000</v>
      </c>
      <c r="W112" s="128">
        <v>24000000</v>
      </c>
      <c r="X112" s="126" t="s">
        <v>1209</v>
      </c>
      <c r="Y112" s="126">
        <v>0</v>
      </c>
      <c r="Z112" s="126" t="s">
        <v>1427</v>
      </c>
      <c r="AA112" s="126" t="s">
        <v>0</v>
      </c>
      <c r="AB112" s="126" t="s">
        <v>145</v>
      </c>
      <c r="AC112" s="126" t="s">
        <v>162</v>
      </c>
      <c r="AD112" s="127">
        <v>44853</v>
      </c>
      <c r="AE112" s="126"/>
      <c r="AF112" s="127">
        <v>44853</v>
      </c>
      <c r="AG112" s="126"/>
      <c r="AH112" s="126" t="s">
        <v>387</v>
      </c>
      <c r="AI112" s="126" t="s">
        <v>1432</v>
      </c>
    </row>
    <row r="113" spans="1:35" ht="135" x14ac:dyDescent="0.25">
      <c r="A113" s="46" t="str">
        <f t="shared" si="1"/>
        <v>BGTACRD025021AUTOSERVICIOALTILLANO</v>
      </c>
      <c r="B113" s="126" t="s">
        <v>4</v>
      </c>
      <c r="C113" s="126">
        <v>64441</v>
      </c>
      <c r="D113" s="126" t="s">
        <v>140</v>
      </c>
      <c r="E113" s="126" t="s">
        <v>177</v>
      </c>
      <c r="F113" s="127">
        <v>44550</v>
      </c>
      <c r="G113" s="126" t="s">
        <v>175</v>
      </c>
      <c r="H113" s="126" t="s">
        <v>176</v>
      </c>
      <c r="I113" s="126">
        <v>1</v>
      </c>
      <c r="J113" s="126" t="s">
        <v>184</v>
      </c>
      <c r="K113" s="126" t="s">
        <v>305</v>
      </c>
      <c r="L113" s="126" t="s">
        <v>1433</v>
      </c>
      <c r="M113" s="126" t="s">
        <v>140</v>
      </c>
      <c r="N113" s="126">
        <v>1655</v>
      </c>
      <c r="O113" s="126" t="s">
        <v>1434</v>
      </c>
      <c r="P113" s="126" t="s">
        <v>171</v>
      </c>
      <c r="Q113" s="126" t="s">
        <v>815</v>
      </c>
      <c r="R113" s="126" t="s">
        <v>815</v>
      </c>
      <c r="S113" s="126" t="s">
        <v>816</v>
      </c>
      <c r="T113" s="126" t="s">
        <v>160</v>
      </c>
      <c r="U113" s="126"/>
      <c r="V113" s="128">
        <v>119000000</v>
      </c>
      <c r="W113" s="128">
        <v>119000000</v>
      </c>
      <c r="X113" s="126" t="s">
        <v>1209</v>
      </c>
      <c r="Y113" s="126">
        <v>0</v>
      </c>
      <c r="Z113" s="126">
        <v>0</v>
      </c>
      <c r="AA113" s="126" t="s">
        <v>0</v>
      </c>
      <c r="AB113" s="126" t="s">
        <v>145</v>
      </c>
      <c r="AC113" s="126" t="s">
        <v>162</v>
      </c>
      <c r="AD113" s="126"/>
      <c r="AE113" s="126"/>
      <c r="AF113" s="126"/>
      <c r="AG113" s="126"/>
      <c r="AH113" s="126" t="s">
        <v>305</v>
      </c>
      <c r="AI113" s="126" t="s">
        <v>1435</v>
      </c>
    </row>
    <row r="114" spans="1:35" ht="135" x14ac:dyDescent="0.25">
      <c r="A114" s="46" t="str">
        <f t="shared" si="1"/>
        <v>BGTACRD025020AUTOSERVICIOALTILLANO</v>
      </c>
      <c r="B114" s="126" t="s">
        <v>4</v>
      </c>
      <c r="C114" s="126">
        <v>64441</v>
      </c>
      <c r="D114" s="126" t="s">
        <v>140</v>
      </c>
      <c r="E114" s="126" t="s">
        <v>177</v>
      </c>
      <c r="F114" s="127">
        <v>44550</v>
      </c>
      <c r="G114" s="126" t="s">
        <v>175</v>
      </c>
      <c r="H114" s="126" t="s">
        <v>176</v>
      </c>
      <c r="I114" s="126">
        <v>1</v>
      </c>
      <c r="J114" s="126" t="s">
        <v>184</v>
      </c>
      <c r="K114" s="126" t="s">
        <v>305</v>
      </c>
      <c r="L114" s="126" t="s">
        <v>1433</v>
      </c>
      <c r="M114" s="126" t="s">
        <v>140</v>
      </c>
      <c r="N114" s="126">
        <v>1655</v>
      </c>
      <c r="O114" s="126" t="s">
        <v>1434</v>
      </c>
      <c r="P114" s="126" t="s">
        <v>171</v>
      </c>
      <c r="Q114" s="126" t="s">
        <v>817</v>
      </c>
      <c r="R114" s="126" t="s">
        <v>817</v>
      </c>
      <c r="S114" s="126" t="s">
        <v>818</v>
      </c>
      <c r="T114" s="126" t="s">
        <v>160</v>
      </c>
      <c r="U114" s="126"/>
      <c r="V114" s="128">
        <v>30000000</v>
      </c>
      <c r="W114" s="128">
        <v>30000000</v>
      </c>
      <c r="X114" s="126" t="s">
        <v>1209</v>
      </c>
      <c r="Y114" s="126">
        <v>0</v>
      </c>
      <c r="Z114" s="126">
        <v>0</v>
      </c>
      <c r="AA114" s="126" t="s">
        <v>0</v>
      </c>
      <c r="AB114" s="126" t="s">
        <v>145</v>
      </c>
      <c r="AC114" s="126" t="s">
        <v>162</v>
      </c>
      <c r="AD114" s="126"/>
      <c r="AE114" s="126"/>
      <c r="AF114" s="126"/>
      <c r="AG114" s="126"/>
      <c r="AH114" s="126" t="s">
        <v>305</v>
      </c>
      <c r="AI114" s="126" t="s">
        <v>1436</v>
      </c>
    </row>
    <row r="115" spans="1:35" ht="135" x14ac:dyDescent="0.25">
      <c r="A115" s="46" t="str">
        <f t="shared" si="1"/>
        <v>BGTACRD025020AUTOSERVICIONUTRESA</v>
      </c>
      <c r="B115" s="126" t="s">
        <v>4</v>
      </c>
      <c r="C115" s="126">
        <v>64442</v>
      </c>
      <c r="D115" s="126" t="s">
        <v>140</v>
      </c>
      <c r="E115" s="126" t="s">
        <v>177</v>
      </c>
      <c r="F115" s="127">
        <v>44550</v>
      </c>
      <c r="G115" s="126" t="s">
        <v>175</v>
      </c>
      <c r="H115" s="126" t="s">
        <v>176</v>
      </c>
      <c r="I115" s="126">
        <v>1</v>
      </c>
      <c r="J115" s="126" t="s">
        <v>184</v>
      </c>
      <c r="K115" s="126" t="s">
        <v>305</v>
      </c>
      <c r="L115" s="126" t="s">
        <v>1437</v>
      </c>
      <c r="M115" s="126" t="s">
        <v>140</v>
      </c>
      <c r="N115" s="126">
        <v>1653</v>
      </c>
      <c r="O115" s="126" t="s">
        <v>1438</v>
      </c>
      <c r="P115" s="126" t="s">
        <v>171</v>
      </c>
      <c r="Q115" s="126" t="s">
        <v>817</v>
      </c>
      <c r="R115" s="126" t="s">
        <v>817</v>
      </c>
      <c r="S115" s="126" t="s">
        <v>818</v>
      </c>
      <c r="T115" s="126" t="s">
        <v>160</v>
      </c>
      <c r="U115" s="126"/>
      <c r="V115" s="128">
        <v>50000000</v>
      </c>
      <c r="W115" s="128">
        <v>50000000</v>
      </c>
      <c r="X115" s="126" t="s">
        <v>1209</v>
      </c>
      <c r="Y115" s="126">
        <v>0</v>
      </c>
      <c r="Z115" s="126">
        <v>0</v>
      </c>
      <c r="AA115" s="126" t="s">
        <v>0</v>
      </c>
      <c r="AB115" s="126" t="s">
        <v>140</v>
      </c>
      <c r="AC115" s="126" t="s">
        <v>162</v>
      </c>
      <c r="AD115" s="126"/>
      <c r="AE115" s="126"/>
      <c r="AF115" s="126"/>
      <c r="AG115" s="126"/>
      <c r="AH115" s="126" t="s">
        <v>305</v>
      </c>
      <c r="AI115" s="126" t="s">
        <v>1439</v>
      </c>
    </row>
    <row r="116" spans="1:35" ht="135" x14ac:dyDescent="0.25">
      <c r="A116" s="46" t="str">
        <f t="shared" si="1"/>
        <v>BGTACRD025021AUTOSERVICIONUTRESA</v>
      </c>
      <c r="B116" s="126" t="s">
        <v>4</v>
      </c>
      <c r="C116" s="126">
        <v>64442</v>
      </c>
      <c r="D116" s="126" t="s">
        <v>140</v>
      </c>
      <c r="E116" s="126" t="s">
        <v>177</v>
      </c>
      <c r="F116" s="127">
        <v>44550</v>
      </c>
      <c r="G116" s="126" t="s">
        <v>175</v>
      </c>
      <c r="H116" s="126" t="s">
        <v>176</v>
      </c>
      <c r="I116" s="126">
        <v>1</v>
      </c>
      <c r="J116" s="126" t="s">
        <v>184</v>
      </c>
      <c r="K116" s="126" t="s">
        <v>305</v>
      </c>
      <c r="L116" s="126" t="s">
        <v>1437</v>
      </c>
      <c r="M116" s="126" t="s">
        <v>140</v>
      </c>
      <c r="N116" s="126">
        <v>1653</v>
      </c>
      <c r="O116" s="126" t="s">
        <v>1438</v>
      </c>
      <c r="P116" s="126" t="s">
        <v>171</v>
      </c>
      <c r="Q116" s="126" t="s">
        <v>815</v>
      </c>
      <c r="R116" s="126" t="s">
        <v>815</v>
      </c>
      <c r="S116" s="126" t="s">
        <v>816</v>
      </c>
      <c r="T116" s="126" t="s">
        <v>160</v>
      </c>
      <c r="U116" s="126"/>
      <c r="V116" s="128">
        <v>200000000</v>
      </c>
      <c r="W116" s="128">
        <v>200000000</v>
      </c>
      <c r="X116" s="126" t="s">
        <v>1209</v>
      </c>
      <c r="Y116" s="126">
        <v>0</v>
      </c>
      <c r="Z116" s="126">
        <v>0</v>
      </c>
      <c r="AA116" s="126" t="s">
        <v>0</v>
      </c>
      <c r="AB116" s="126" t="s">
        <v>140</v>
      </c>
      <c r="AC116" s="126" t="s">
        <v>162</v>
      </c>
      <c r="AD116" s="126"/>
      <c r="AE116" s="126"/>
      <c r="AF116" s="126"/>
      <c r="AG116" s="126"/>
      <c r="AH116" s="126" t="s">
        <v>305</v>
      </c>
      <c r="AI116" s="126" t="s">
        <v>1440</v>
      </c>
    </row>
    <row r="117" spans="1:35" ht="285" x14ac:dyDescent="0.25">
      <c r="A117" s="46" t="str">
        <f t="shared" si="1"/>
        <v>BGTACRD025021AUTOSERVICIONUTRESA</v>
      </c>
      <c r="B117" s="126" t="s">
        <v>4</v>
      </c>
      <c r="C117" s="126">
        <v>64443</v>
      </c>
      <c r="D117" s="126" t="s">
        <v>140</v>
      </c>
      <c r="E117" s="126" t="s">
        <v>177</v>
      </c>
      <c r="F117" s="127">
        <v>44550</v>
      </c>
      <c r="G117" s="126" t="s">
        <v>175</v>
      </c>
      <c r="H117" s="126" t="s">
        <v>176</v>
      </c>
      <c r="I117" s="126">
        <v>1</v>
      </c>
      <c r="J117" s="126" t="s">
        <v>184</v>
      </c>
      <c r="K117" s="126" t="s">
        <v>305</v>
      </c>
      <c r="L117" s="126" t="s">
        <v>1441</v>
      </c>
      <c r="M117" s="126" t="s">
        <v>140</v>
      </c>
      <c r="N117" s="126">
        <v>1654</v>
      </c>
      <c r="O117" s="126" t="s">
        <v>1442</v>
      </c>
      <c r="P117" s="126" t="s">
        <v>171</v>
      </c>
      <c r="Q117" s="126" t="s">
        <v>815</v>
      </c>
      <c r="R117" s="126" t="s">
        <v>815</v>
      </c>
      <c r="S117" s="126" t="s">
        <v>816</v>
      </c>
      <c r="T117" s="126" t="s">
        <v>160</v>
      </c>
      <c r="U117" s="126"/>
      <c r="V117" s="128">
        <v>200000000</v>
      </c>
      <c r="W117" s="128">
        <v>200000000</v>
      </c>
      <c r="X117" s="126" t="s">
        <v>1209</v>
      </c>
      <c r="Y117" s="126">
        <v>0</v>
      </c>
      <c r="Z117" s="126">
        <v>0</v>
      </c>
      <c r="AA117" s="126" t="s">
        <v>0</v>
      </c>
      <c r="AB117" s="126" t="s">
        <v>140</v>
      </c>
      <c r="AC117" s="126" t="s">
        <v>162</v>
      </c>
      <c r="AD117" s="126"/>
      <c r="AE117" s="126"/>
      <c r="AF117" s="126"/>
      <c r="AG117" s="126"/>
      <c r="AH117" s="126" t="s">
        <v>305</v>
      </c>
      <c r="AI117" s="126" t="s">
        <v>1443</v>
      </c>
    </row>
    <row r="118" spans="1:35" ht="285" x14ac:dyDescent="0.25">
      <c r="A118" s="46" t="str">
        <f t="shared" si="1"/>
        <v>BGTACRD025020AUTOSERVICIONUTRESA</v>
      </c>
      <c r="B118" s="126" t="s">
        <v>4</v>
      </c>
      <c r="C118" s="126">
        <v>64443</v>
      </c>
      <c r="D118" s="126" t="s">
        <v>140</v>
      </c>
      <c r="E118" s="126" t="s">
        <v>177</v>
      </c>
      <c r="F118" s="127">
        <v>44550</v>
      </c>
      <c r="G118" s="126" t="s">
        <v>175</v>
      </c>
      <c r="H118" s="126" t="s">
        <v>176</v>
      </c>
      <c r="I118" s="126">
        <v>1</v>
      </c>
      <c r="J118" s="126" t="s">
        <v>184</v>
      </c>
      <c r="K118" s="126" t="s">
        <v>305</v>
      </c>
      <c r="L118" s="126" t="s">
        <v>1441</v>
      </c>
      <c r="M118" s="126" t="s">
        <v>140</v>
      </c>
      <c r="N118" s="126">
        <v>1654</v>
      </c>
      <c r="O118" s="126" t="s">
        <v>1442</v>
      </c>
      <c r="P118" s="126" t="s">
        <v>171</v>
      </c>
      <c r="Q118" s="126" t="s">
        <v>817</v>
      </c>
      <c r="R118" s="126" t="s">
        <v>817</v>
      </c>
      <c r="S118" s="126" t="s">
        <v>818</v>
      </c>
      <c r="T118" s="126" t="s">
        <v>160</v>
      </c>
      <c r="U118" s="126"/>
      <c r="V118" s="128">
        <v>50000000</v>
      </c>
      <c r="W118" s="128">
        <v>50000000</v>
      </c>
      <c r="X118" s="126" t="s">
        <v>1209</v>
      </c>
      <c r="Y118" s="126">
        <v>0</v>
      </c>
      <c r="Z118" s="126">
        <v>0</v>
      </c>
      <c r="AA118" s="126" t="s">
        <v>0</v>
      </c>
      <c r="AB118" s="126" t="s">
        <v>140</v>
      </c>
      <c r="AC118" s="126" t="s">
        <v>162</v>
      </c>
      <c r="AD118" s="126"/>
      <c r="AE118" s="126"/>
      <c r="AF118" s="126"/>
      <c r="AG118" s="126"/>
      <c r="AH118" s="126" t="s">
        <v>305</v>
      </c>
      <c r="AI118" s="126" t="s">
        <v>1444</v>
      </c>
    </row>
    <row r="119" spans="1:35" ht="285" x14ac:dyDescent="0.25">
      <c r="A119" s="46" t="str">
        <f t="shared" si="1"/>
        <v>BGTACRD025006TRADICIONALNUTRESA</v>
      </c>
      <c r="B119" s="126" t="s">
        <v>4</v>
      </c>
      <c r="C119" s="126">
        <v>64444</v>
      </c>
      <c r="D119" s="126" t="s">
        <v>140</v>
      </c>
      <c r="E119" s="126" t="s">
        <v>177</v>
      </c>
      <c r="F119" s="127">
        <v>44550</v>
      </c>
      <c r="G119" s="126" t="s">
        <v>175</v>
      </c>
      <c r="H119" s="126" t="s">
        <v>176</v>
      </c>
      <c r="I119" s="126">
        <v>1</v>
      </c>
      <c r="J119" s="126" t="s">
        <v>184</v>
      </c>
      <c r="K119" s="126" t="s">
        <v>305</v>
      </c>
      <c r="L119" s="126" t="s">
        <v>1445</v>
      </c>
      <c r="M119" s="126" t="s">
        <v>140</v>
      </c>
      <c r="N119" s="126">
        <v>32500</v>
      </c>
      <c r="O119" s="126" t="s">
        <v>1442</v>
      </c>
      <c r="P119" s="126" t="s">
        <v>171</v>
      </c>
      <c r="Q119" s="126" t="s">
        <v>579</v>
      </c>
      <c r="R119" s="126" t="s">
        <v>579</v>
      </c>
      <c r="S119" s="126" t="s">
        <v>1266</v>
      </c>
      <c r="T119" s="126" t="s">
        <v>160</v>
      </c>
      <c r="U119" s="126"/>
      <c r="V119" s="128">
        <v>130000000</v>
      </c>
      <c r="W119" s="128">
        <v>130000000</v>
      </c>
      <c r="X119" s="126" t="s">
        <v>1209</v>
      </c>
      <c r="Y119" s="126">
        <v>0</v>
      </c>
      <c r="Z119" s="126">
        <v>0</v>
      </c>
      <c r="AA119" s="126" t="s">
        <v>2</v>
      </c>
      <c r="AB119" s="126" t="s">
        <v>140</v>
      </c>
      <c r="AC119" s="126" t="s">
        <v>162</v>
      </c>
      <c r="AD119" s="126"/>
      <c r="AE119" s="126"/>
      <c r="AF119" s="126"/>
      <c r="AG119" s="126"/>
      <c r="AH119" s="126" t="s">
        <v>305</v>
      </c>
      <c r="AI119" s="126" t="s">
        <v>1446</v>
      </c>
    </row>
    <row r="120" spans="1:35" ht="285" x14ac:dyDescent="0.25">
      <c r="A120" s="46" t="str">
        <f t="shared" si="1"/>
        <v>BGTACRD025006TRADICIONALALTILLANO</v>
      </c>
      <c r="B120" s="126" t="s">
        <v>4</v>
      </c>
      <c r="C120" s="126">
        <v>64445</v>
      </c>
      <c r="D120" s="126" t="s">
        <v>140</v>
      </c>
      <c r="E120" s="126" t="s">
        <v>177</v>
      </c>
      <c r="F120" s="127">
        <v>44550</v>
      </c>
      <c r="G120" s="126" t="s">
        <v>175</v>
      </c>
      <c r="H120" s="126" t="s">
        <v>176</v>
      </c>
      <c r="I120" s="126">
        <v>1</v>
      </c>
      <c r="J120" s="126" t="s">
        <v>184</v>
      </c>
      <c r="K120" s="126" t="s">
        <v>305</v>
      </c>
      <c r="L120" s="126" t="s">
        <v>1447</v>
      </c>
      <c r="M120" s="126" t="s">
        <v>140</v>
      </c>
      <c r="N120" s="126">
        <v>32498</v>
      </c>
      <c r="O120" s="126" t="s">
        <v>1448</v>
      </c>
      <c r="P120" s="126" t="s">
        <v>171</v>
      </c>
      <c r="Q120" s="126" t="s">
        <v>579</v>
      </c>
      <c r="R120" s="126" t="s">
        <v>579</v>
      </c>
      <c r="S120" s="126" t="s">
        <v>1266</v>
      </c>
      <c r="T120" s="126" t="s">
        <v>160</v>
      </c>
      <c r="U120" s="126"/>
      <c r="V120" s="128">
        <v>122000000</v>
      </c>
      <c r="W120" s="128">
        <v>122000000</v>
      </c>
      <c r="X120" s="126" t="s">
        <v>1209</v>
      </c>
      <c r="Y120" s="126">
        <v>0</v>
      </c>
      <c r="Z120" s="126">
        <v>0</v>
      </c>
      <c r="AA120" s="126" t="s">
        <v>2</v>
      </c>
      <c r="AB120" s="126" t="s">
        <v>145</v>
      </c>
      <c r="AC120" s="126" t="s">
        <v>162</v>
      </c>
      <c r="AD120" s="126"/>
      <c r="AE120" s="126"/>
      <c r="AF120" s="126"/>
      <c r="AG120" s="126"/>
      <c r="AH120" s="126" t="s">
        <v>305</v>
      </c>
      <c r="AI120" s="126" t="s">
        <v>1449</v>
      </c>
    </row>
    <row r="121" spans="1:35" ht="285" x14ac:dyDescent="0.25">
      <c r="A121" s="46" t="str">
        <f t="shared" si="1"/>
        <v>BGTACRD025006TRADICIONALNUTRESA</v>
      </c>
      <c r="B121" s="126" t="s">
        <v>4</v>
      </c>
      <c r="C121" s="126">
        <v>64446</v>
      </c>
      <c r="D121" s="126" t="s">
        <v>140</v>
      </c>
      <c r="E121" s="126" t="s">
        <v>177</v>
      </c>
      <c r="F121" s="127">
        <v>44550</v>
      </c>
      <c r="G121" s="126" t="s">
        <v>175</v>
      </c>
      <c r="H121" s="126" t="s">
        <v>176</v>
      </c>
      <c r="I121" s="126">
        <v>1</v>
      </c>
      <c r="J121" s="126" t="s">
        <v>184</v>
      </c>
      <c r="K121" s="126" t="s">
        <v>305</v>
      </c>
      <c r="L121" s="126" t="s">
        <v>1450</v>
      </c>
      <c r="M121" s="126" t="s">
        <v>140</v>
      </c>
      <c r="N121" s="126">
        <v>32499</v>
      </c>
      <c r="O121" s="126" t="s">
        <v>1451</v>
      </c>
      <c r="P121" s="126" t="s">
        <v>171</v>
      </c>
      <c r="Q121" s="126" t="s">
        <v>579</v>
      </c>
      <c r="R121" s="126" t="s">
        <v>579</v>
      </c>
      <c r="S121" s="126" t="s">
        <v>1266</v>
      </c>
      <c r="T121" s="126" t="s">
        <v>160</v>
      </c>
      <c r="U121" s="126"/>
      <c r="V121" s="128">
        <v>23000000</v>
      </c>
      <c r="W121" s="128">
        <v>23000000</v>
      </c>
      <c r="X121" s="126" t="s">
        <v>1209</v>
      </c>
      <c r="Y121" s="126">
        <v>0</v>
      </c>
      <c r="Z121" s="126">
        <v>0</v>
      </c>
      <c r="AA121" s="126" t="s">
        <v>2</v>
      </c>
      <c r="AB121" s="126" t="s">
        <v>140</v>
      </c>
      <c r="AC121" s="126" t="s">
        <v>162</v>
      </c>
      <c r="AD121" s="126"/>
      <c r="AE121" s="126"/>
      <c r="AF121" s="126"/>
      <c r="AG121" s="126"/>
      <c r="AH121" s="126" t="s">
        <v>305</v>
      </c>
      <c r="AI121" s="126" t="s">
        <v>1452</v>
      </c>
    </row>
    <row r="122" spans="1:35" ht="135" x14ac:dyDescent="0.25">
      <c r="A122" s="46" t="str">
        <f t="shared" si="1"/>
        <v>BGTACRD025041AUTOSERVICIOALTILLANO</v>
      </c>
      <c r="B122" s="126" t="s">
        <v>4</v>
      </c>
      <c r="C122" s="126">
        <v>64459</v>
      </c>
      <c r="D122" s="126" t="s">
        <v>140</v>
      </c>
      <c r="E122" s="126" t="s">
        <v>177</v>
      </c>
      <c r="F122" s="127">
        <v>44551</v>
      </c>
      <c r="G122" s="126" t="s">
        <v>175</v>
      </c>
      <c r="H122" s="126" t="s">
        <v>176</v>
      </c>
      <c r="I122" s="126">
        <v>1</v>
      </c>
      <c r="J122" s="126" t="s">
        <v>184</v>
      </c>
      <c r="K122" s="126" t="s">
        <v>338</v>
      </c>
      <c r="L122" s="126" t="s">
        <v>1453</v>
      </c>
      <c r="M122" s="126" t="s">
        <v>140</v>
      </c>
      <c r="N122" s="126">
        <v>38965</v>
      </c>
      <c r="O122" s="126" t="s">
        <v>1454</v>
      </c>
      <c r="P122" s="126" t="s">
        <v>170</v>
      </c>
      <c r="Q122" s="126" t="s">
        <v>1327</v>
      </c>
      <c r="R122" s="126" t="s">
        <v>1327</v>
      </c>
      <c r="S122" s="126" t="s">
        <v>1328</v>
      </c>
      <c r="T122" s="126" t="s">
        <v>160</v>
      </c>
      <c r="U122" s="126"/>
      <c r="V122" s="128">
        <v>12000000</v>
      </c>
      <c r="W122" s="128">
        <v>12000000</v>
      </c>
      <c r="X122" s="126" t="s">
        <v>1209</v>
      </c>
      <c r="Y122" s="126">
        <v>0</v>
      </c>
      <c r="Z122" s="126">
        <v>0</v>
      </c>
      <c r="AA122" s="126" t="s">
        <v>0</v>
      </c>
      <c r="AB122" s="126" t="s">
        <v>145</v>
      </c>
      <c r="AC122" s="126" t="s">
        <v>162</v>
      </c>
      <c r="AD122" s="126"/>
      <c r="AE122" s="126"/>
      <c r="AF122" s="126"/>
      <c r="AG122" s="126"/>
      <c r="AH122" s="126" t="s">
        <v>305</v>
      </c>
      <c r="AI122" s="126" t="s">
        <v>1455</v>
      </c>
    </row>
    <row r="123" spans="1:35" ht="135" x14ac:dyDescent="0.25">
      <c r="A123" s="46" t="str">
        <f t="shared" si="1"/>
        <v>BGTACRD025041TRADICIONALALTILLANO</v>
      </c>
      <c r="B123" s="126" t="s">
        <v>4</v>
      </c>
      <c r="C123" s="126">
        <v>64460</v>
      </c>
      <c r="D123" s="126" t="s">
        <v>140</v>
      </c>
      <c r="E123" s="126" t="s">
        <v>177</v>
      </c>
      <c r="F123" s="127">
        <v>44551</v>
      </c>
      <c r="G123" s="126" t="s">
        <v>175</v>
      </c>
      <c r="H123" s="126" t="s">
        <v>176</v>
      </c>
      <c r="I123" s="126">
        <v>1</v>
      </c>
      <c r="J123" s="126" t="s">
        <v>184</v>
      </c>
      <c r="K123" s="126" t="s">
        <v>338</v>
      </c>
      <c r="L123" s="126" t="s">
        <v>1456</v>
      </c>
      <c r="M123" s="126" t="s">
        <v>140</v>
      </c>
      <c r="N123" s="126">
        <v>38960</v>
      </c>
      <c r="O123" s="126" t="s">
        <v>1457</v>
      </c>
      <c r="P123" s="126" t="s">
        <v>170</v>
      </c>
      <c r="Q123" s="126" t="s">
        <v>1327</v>
      </c>
      <c r="R123" s="126" t="s">
        <v>1327</v>
      </c>
      <c r="S123" s="126" t="s">
        <v>1328</v>
      </c>
      <c r="T123" s="126" t="s">
        <v>160</v>
      </c>
      <c r="U123" s="126"/>
      <c r="V123" s="128">
        <v>2000000</v>
      </c>
      <c r="W123" s="128">
        <v>2000000</v>
      </c>
      <c r="X123" s="126" t="s">
        <v>1209</v>
      </c>
      <c r="Y123" s="126">
        <v>0</v>
      </c>
      <c r="Z123" s="126">
        <v>0</v>
      </c>
      <c r="AA123" s="126" t="s">
        <v>2</v>
      </c>
      <c r="AB123" s="126" t="s">
        <v>145</v>
      </c>
      <c r="AC123" s="126" t="s">
        <v>162</v>
      </c>
      <c r="AD123" s="126"/>
      <c r="AE123" s="126"/>
      <c r="AF123" s="126"/>
      <c r="AG123" s="126"/>
      <c r="AH123" s="126" t="s">
        <v>305</v>
      </c>
      <c r="AI123" s="126" t="s">
        <v>1458</v>
      </c>
    </row>
    <row r="124" spans="1:35" ht="135" x14ac:dyDescent="0.25">
      <c r="A124" s="46" t="str">
        <f t="shared" si="1"/>
        <v>BGTACRD025040TRADICIONALALTILLANO</v>
      </c>
      <c r="B124" s="126" t="s">
        <v>4</v>
      </c>
      <c r="C124" s="126">
        <v>64462</v>
      </c>
      <c r="D124" s="126" t="s">
        <v>140</v>
      </c>
      <c r="E124" s="126" t="s">
        <v>177</v>
      </c>
      <c r="F124" s="127">
        <v>44551</v>
      </c>
      <c r="G124" s="126" t="s">
        <v>175</v>
      </c>
      <c r="H124" s="126" t="s">
        <v>176</v>
      </c>
      <c r="I124" s="126">
        <v>1</v>
      </c>
      <c r="J124" s="126" t="s">
        <v>184</v>
      </c>
      <c r="K124" s="126" t="s">
        <v>338</v>
      </c>
      <c r="L124" s="126" t="s">
        <v>1459</v>
      </c>
      <c r="M124" s="126" t="s">
        <v>140</v>
      </c>
      <c r="N124" s="126">
        <v>1203</v>
      </c>
      <c r="O124" s="126" t="s">
        <v>1460</v>
      </c>
      <c r="P124" s="126" t="s">
        <v>170</v>
      </c>
      <c r="Q124" s="126" t="s">
        <v>1461</v>
      </c>
      <c r="R124" s="126" t="s">
        <v>1461</v>
      </c>
      <c r="S124" s="126" t="s">
        <v>1462</v>
      </c>
      <c r="T124" s="126" t="s">
        <v>160</v>
      </c>
      <c r="U124" s="126"/>
      <c r="V124" s="128">
        <v>2000000</v>
      </c>
      <c r="W124" s="128">
        <v>2000000</v>
      </c>
      <c r="X124" s="126" t="s">
        <v>1209</v>
      </c>
      <c r="Y124" s="126">
        <v>0</v>
      </c>
      <c r="Z124" s="126">
        <v>0</v>
      </c>
      <c r="AA124" s="126" t="s">
        <v>2</v>
      </c>
      <c r="AB124" s="126" t="s">
        <v>145</v>
      </c>
      <c r="AC124" s="126" t="s">
        <v>162</v>
      </c>
      <c r="AD124" s="126"/>
      <c r="AE124" s="126"/>
      <c r="AF124" s="126"/>
      <c r="AG124" s="126"/>
      <c r="AH124" s="126" t="s">
        <v>305</v>
      </c>
      <c r="AI124" s="126" t="s">
        <v>1463</v>
      </c>
    </row>
    <row r="125" spans="1:35" ht="135" x14ac:dyDescent="0.25">
      <c r="A125" s="46" t="str">
        <f t="shared" si="1"/>
        <v>BGTACRD025040AUTOSERVICIOALTILLANO</v>
      </c>
      <c r="B125" s="126" t="s">
        <v>4</v>
      </c>
      <c r="C125" s="126">
        <v>64463</v>
      </c>
      <c r="D125" s="126" t="s">
        <v>140</v>
      </c>
      <c r="E125" s="126" t="s">
        <v>177</v>
      </c>
      <c r="F125" s="127">
        <v>44551</v>
      </c>
      <c r="G125" s="126" t="s">
        <v>175</v>
      </c>
      <c r="H125" s="126" t="s">
        <v>176</v>
      </c>
      <c r="I125" s="126">
        <v>1</v>
      </c>
      <c r="J125" s="126" t="s">
        <v>184</v>
      </c>
      <c r="K125" s="126" t="s">
        <v>338</v>
      </c>
      <c r="L125" s="126" t="s">
        <v>1464</v>
      </c>
      <c r="M125" s="126" t="s">
        <v>140</v>
      </c>
      <c r="N125" s="126" t="s">
        <v>1465</v>
      </c>
      <c r="O125" s="126" t="s">
        <v>1466</v>
      </c>
      <c r="P125" s="126" t="s">
        <v>170</v>
      </c>
      <c r="Q125" s="126" t="s">
        <v>1461</v>
      </c>
      <c r="R125" s="126" t="s">
        <v>1461</v>
      </c>
      <c r="S125" s="126" t="s">
        <v>1462</v>
      </c>
      <c r="T125" s="126" t="s">
        <v>160</v>
      </c>
      <c r="U125" s="126"/>
      <c r="V125" s="128">
        <v>6000000</v>
      </c>
      <c r="W125" s="128">
        <v>6000000</v>
      </c>
      <c r="X125" s="126" t="s">
        <v>1209</v>
      </c>
      <c r="Y125" s="126">
        <v>0</v>
      </c>
      <c r="Z125" s="126">
        <v>0</v>
      </c>
      <c r="AA125" s="126" t="s">
        <v>0</v>
      </c>
      <c r="AB125" s="126" t="s">
        <v>145</v>
      </c>
      <c r="AC125" s="126" t="s">
        <v>162</v>
      </c>
      <c r="AD125" s="126"/>
      <c r="AE125" s="126"/>
      <c r="AF125" s="126"/>
      <c r="AG125" s="126"/>
      <c r="AH125" s="126" t="s">
        <v>305</v>
      </c>
      <c r="AI125" s="126" t="s">
        <v>1467</v>
      </c>
    </row>
    <row r="126" spans="1:35" ht="135" x14ac:dyDescent="0.25">
      <c r="A126" s="46" t="str">
        <f t="shared" si="1"/>
        <v>BGTACRD025041AUTOSERVICIONUTRESA</v>
      </c>
      <c r="B126" s="126" t="s">
        <v>4</v>
      </c>
      <c r="C126" s="126">
        <v>64464</v>
      </c>
      <c r="D126" s="126" t="s">
        <v>140</v>
      </c>
      <c r="E126" s="126" t="s">
        <v>177</v>
      </c>
      <c r="F126" s="127">
        <v>44551</v>
      </c>
      <c r="G126" s="126" t="s">
        <v>175</v>
      </c>
      <c r="H126" s="126" t="s">
        <v>176</v>
      </c>
      <c r="I126" s="126">
        <v>1</v>
      </c>
      <c r="J126" s="126" t="s">
        <v>184</v>
      </c>
      <c r="K126" s="126" t="s">
        <v>338</v>
      </c>
      <c r="L126" s="126" t="s">
        <v>1468</v>
      </c>
      <c r="M126" s="126" t="s">
        <v>140</v>
      </c>
      <c r="N126" s="126">
        <v>38964</v>
      </c>
      <c r="O126" s="126" t="s">
        <v>1469</v>
      </c>
      <c r="P126" s="126" t="s">
        <v>170</v>
      </c>
      <c r="Q126" s="126" t="s">
        <v>1327</v>
      </c>
      <c r="R126" s="126" t="s">
        <v>1327</v>
      </c>
      <c r="S126" s="126" t="s">
        <v>1328</v>
      </c>
      <c r="T126" s="126" t="s">
        <v>160</v>
      </c>
      <c r="U126" s="126"/>
      <c r="V126" s="128">
        <v>9000000</v>
      </c>
      <c r="W126" s="128">
        <v>9000000</v>
      </c>
      <c r="X126" s="126" t="s">
        <v>1209</v>
      </c>
      <c r="Y126" s="126">
        <v>0</v>
      </c>
      <c r="Z126" s="126">
        <v>0</v>
      </c>
      <c r="AA126" s="126" t="s">
        <v>0</v>
      </c>
      <c r="AB126" s="126" t="s">
        <v>140</v>
      </c>
      <c r="AC126" s="126" t="s">
        <v>162</v>
      </c>
      <c r="AD126" s="126"/>
      <c r="AE126" s="126"/>
      <c r="AF126" s="126"/>
      <c r="AG126" s="126"/>
      <c r="AH126" s="126" t="s">
        <v>305</v>
      </c>
      <c r="AI126" s="126" t="s">
        <v>1470</v>
      </c>
    </row>
    <row r="127" spans="1:35" ht="135" x14ac:dyDescent="0.25">
      <c r="A127" s="46" t="str">
        <f t="shared" si="1"/>
        <v>BGTACRD025041TRADICIONALNUTRESA</v>
      </c>
      <c r="B127" s="126" t="s">
        <v>4</v>
      </c>
      <c r="C127" s="126">
        <v>64466</v>
      </c>
      <c r="D127" s="126" t="s">
        <v>140</v>
      </c>
      <c r="E127" s="126" t="s">
        <v>177</v>
      </c>
      <c r="F127" s="127">
        <v>44551</v>
      </c>
      <c r="G127" s="126" t="s">
        <v>175</v>
      </c>
      <c r="H127" s="126" t="s">
        <v>176</v>
      </c>
      <c r="I127" s="126">
        <v>1</v>
      </c>
      <c r="J127" s="126" t="s">
        <v>184</v>
      </c>
      <c r="K127" s="126" t="s">
        <v>338</v>
      </c>
      <c r="L127" s="126" t="s">
        <v>1471</v>
      </c>
      <c r="M127" s="126" t="s">
        <v>140</v>
      </c>
      <c r="N127" s="126">
        <v>38959</v>
      </c>
      <c r="O127" s="126" t="s">
        <v>1472</v>
      </c>
      <c r="P127" s="126" t="s">
        <v>170</v>
      </c>
      <c r="Q127" s="126" t="s">
        <v>1327</v>
      </c>
      <c r="R127" s="126" t="s">
        <v>1327</v>
      </c>
      <c r="S127" s="126" t="s">
        <v>1328</v>
      </c>
      <c r="T127" s="126" t="s">
        <v>160</v>
      </c>
      <c r="U127" s="126"/>
      <c r="V127" s="128">
        <v>69000000</v>
      </c>
      <c r="W127" s="128">
        <v>69000000</v>
      </c>
      <c r="X127" s="126" t="s">
        <v>1209</v>
      </c>
      <c r="Y127" s="126">
        <v>0</v>
      </c>
      <c r="Z127" s="126">
        <v>0</v>
      </c>
      <c r="AA127" s="126" t="s">
        <v>2</v>
      </c>
      <c r="AB127" s="126" t="s">
        <v>140</v>
      </c>
      <c r="AC127" s="126" t="s">
        <v>162</v>
      </c>
      <c r="AD127" s="126"/>
      <c r="AE127" s="126"/>
      <c r="AF127" s="126"/>
      <c r="AG127" s="126"/>
      <c r="AH127" s="126" t="s">
        <v>305</v>
      </c>
      <c r="AI127" s="126" t="s">
        <v>1473</v>
      </c>
    </row>
    <row r="128" spans="1:35" ht="165" x14ac:dyDescent="0.25">
      <c r="A128" s="46" t="str">
        <f t="shared" si="1"/>
        <v>BUCACRD024844AUTOSERVICIOBPO</v>
      </c>
      <c r="B128" s="126" t="s">
        <v>5</v>
      </c>
      <c r="C128" s="126">
        <v>28945</v>
      </c>
      <c r="D128" s="126" t="s">
        <v>140</v>
      </c>
      <c r="E128" s="126" t="s">
        <v>177</v>
      </c>
      <c r="F128" s="127">
        <v>44530</v>
      </c>
      <c r="G128" s="126" t="s">
        <v>175</v>
      </c>
      <c r="H128" s="126" t="s">
        <v>176</v>
      </c>
      <c r="I128" s="126">
        <v>1</v>
      </c>
      <c r="J128" s="126" t="s">
        <v>184</v>
      </c>
      <c r="K128" s="126" t="s">
        <v>178</v>
      </c>
      <c r="L128" s="126" t="s">
        <v>1474</v>
      </c>
      <c r="M128" s="126">
        <v>0</v>
      </c>
      <c r="N128" s="126">
        <v>0</v>
      </c>
      <c r="O128" s="126" t="s">
        <v>572</v>
      </c>
      <c r="P128" s="126" t="s">
        <v>171</v>
      </c>
      <c r="Q128" s="126" t="s">
        <v>461</v>
      </c>
      <c r="R128" s="126" t="s">
        <v>461</v>
      </c>
      <c r="S128" s="126" t="s">
        <v>462</v>
      </c>
      <c r="T128" s="126" t="s">
        <v>160</v>
      </c>
      <c r="U128" s="126"/>
      <c r="V128" s="128">
        <v>500000000</v>
      </c>
      <c r="W128" s="128">
        <v>500000000</v>
      </c>
      <c r="X128" s="126" t="s">
        <v>1209</v>
      </c>
      <c r="Y128" s="126">
        <v>0</v>
      </c>
      <c r="Z128" s="126">
        <v>0</v>
      </c>
      <c r="AA128" s="126" t="s">
        <v>0</v>
      </c>
      <c r="AB128" s="126" t="s">
        <v>161</v>
      </c>
      <c r="AC128" s="126" t="s">
        <v>162</v>
      </c>
      <c r="AD128" s="126"/>
      <c r="AE128" s="126"/>
      <c r="AF128" s="126"/>
      <c r="AG128" s="126"/>
      <c r="AH128" s="126" t="s">
        <v>178</v>
      </c>
      <c r="AI128" s="126" t="s">
        <v>1475</v>
      </c>
    </row>
    <row r="129" spans="1:35" ht="165" x14ac:dyDescent="0.25">
      <c r="A129" s="46" t="str">
        <f t="shared" si="1"/>
        <v>BUCACRD024845AUTOSERVICIOBPO</v>
      </c>
      <c r="B129" s="126" t="s">
        <v>5</v>
      </c>
      <c r="C129" s="126">
        <v>28945</v>
      </c>
      <c r="D129" s="126" t="s">
        <v>140</v>
      </c>
      <c r="E129" s="126" t="s">
        <v>177</v>
      </c>
      <c r="F129" s="127">
        <v>44530</v>
      </c>
      <c r="G129" s="126" t="s">
        <v>175</v>
      </c>
      <c r="H129" s="126" t="s">
        <v>176</v>
      </c>
      <c r="I129" s="126">
        <v>1</v>
      </c>
      <c r="J129" s="126" t="s">
        <v>184</v>
      </c>
      <c r="K129" s="126" t="s">
        <v>178</v>
      </c>
      <c r="L129" s="126" t="s">
        <v>1474</v>
      </c>
      <c r="M129" s="126">
        <v>0</v>
      </c>
      <c r="N129" s="126">
        <v>0</v>
      </c>
      <c r="O129" s="126" t="s">
        <v>572</v>
      </c>
      <c r="P129" s="126" t="s">
        <v>171</v>
      </c>
      <c r="Q129" s="126" t="s">
        <v>464</v>
      </c>
      <c r="R129" s="126" t="s">
        <v>464</v>
      </c>
      <c r="S129" s="126" t="s">
        <v>465</v>
      </c>
      <c r="T129" s="126" t="s">
        <v>160</v>
      </c>
      <c r="U129" s="126"/>
      <c r="V129" s="128">
        <v>500000000</v>
      </c>
      <c r="W129" s="128">
        <v>500000000</v>
      </c>
      <c r="X129" s="126" t="s">
        <v>1209</v>
      </c>
      <c r="Y129" s="126">
        <v>0</v>
      </c>
      <c r="Z129" s="126">
        <v>0</v>
      </c>
      <c r="AA129" s="126" t="s">
        <v>0</v>
      </c>
      <c r="AB129" s="126" t="s">
        <v>161</v>
      </c>
      <c r="AC129" s="126" t="s">
        <v>162</v>
      </c>
      <c r="AD129" s="126"/>
      <c r="AE129" s="126"/>
      <c r="AF129" s="126"/>
      <c r="AG129" s="126"/>
      <c r="AH129" s="126" t="s">
        <v>178</v>
      </c>
      <c r="AI129" s="126" t="s">
        <v>1476</v>
      </c>
    </row>
    <row r="130" spans="1:35" ht="165" x14ac:dyDescent="0.25">
      <c r="A130" s="46" t="str">
        <f t="shared" si="1"/>
        <v>BUCACRD024842CADENASBPO</v>
      </c>
      <c r="B130" s="126" t="s">
        <v>5</v>
      </c>
      <c r="C130" s="126">
        <v>28945</v>
      </c>
      <c r="D130" s="126" t="s">
        <v>140</v>
      </c>
      <c r="E130" s="126" t="s">
        <v>177</v>
      </c>
      <c r="F130" s="127">
        <v>44530</v>
      </c>
      <c r="G130" s="126" t="s">
        <v>175</v>
      </c>
      <c r="H130" s="126" t="s">
        <v>176</v>
      </c>
      <c r="I130" s="126">
        <v>1</v>
      </c>
      <c r="J130" s="126" t="s">
        <v>184</v>
      </c>
      <c r="K130" s="126" t="s">
        <v>178</v>
      </c>
      <c r="L130" s="126" t="s">
        <v>1474</v>
      </c>
      <c r="M130" s="126">
        <v>0</v>
      </c>
      <c r="N130" s="126">
        <v>0</v>
      </c>
      <c r="O130" s="126" t="s">
        <v>572</v>
      </c>
      <c r="P130" s="126" t="s">
        <v>171</v>
      </c>
      <c r="Q130" s="126" t="s">
        <v>459</v>
      </c>
      <c r="R130" s="126" t="s">
        <v>459</v>
      </c>
      <c r="S130" s="126" t="s">
        <v>460</v>
      </c>
      <c r="T130" s="126" t="s">
        <v>160</v>
      </c>
      <c r="U130" s="126"/>
      <c r="V130" s="128">
        <v>500000000</v>
      </c>
      <c r="W130" s="128">
        <v>500000000</v>
      </c>
      <c r="X130" s="126" t="s">
        <v>1209</v>
      </c>
      <c r="Y130" s="126">
        <v>0</v>
      </c>
      <c r="Z130" s="126">
        <v>0</v>
      </c>
      <c r="AA130" s="126" t="s">
        <v>1</v>
      </c>
      <c r="AB130" s="126" t="s">
        <v>161</v>
      </c>
      <c r="AC130" s="126" t="s">
        <v>162</v>
      </c>
      <c r="AD130" s="126"/>
      <c r="AE130" s="126"/>
      <c r="AF130" s="126"/>
      <c r="AG130" s="126"/>
      <c r="AH130" s="126" t="s">
        <v>178</v>
      </c>
      <c r="AI130" s="126" t="s">
        <v>1477</v>
      </c>
    </row>
    <row r="131" spans="1:35" ht="165" x14ac:dyDescent="0.25">
      <c r="A131" s="46" t="str">
        <f t="shared" ref="A131:A194" si="2">+CONCATENATE(B131,Q131,AA131,AB131)</f>
        <v>BUCACRD024842AUTOSERVICIOBPO</v>
      </c>
      <c r="B131" s="126" t="s">
        <v>5</v>
      </c>
      <c r="C131" s="126">
        <v>28945</v>
      </c>
      <c r="D131" s="126" t="s">
        <v>140</v>
      </c>
      <c r="E131" s="126" t="s">
        <v>177</v>
      </c>
      <c r="F131" s="127">
        <v>44530</v>
      </c>
      <c r="G131" s="126" t="s">
        <v>175</v>
      </c>
      <c r="H131" s="126" t="s">
        <v>176</v>
      </c>
      <c r="I131" s="126">
        <v>1</v>
      </c>
      <c r="J131" s="126" t="s">
        <v>184</v>
      </c>
      <c r="K131" s="126" t="s">
        <v>178</v>
      </c>
      <c r="L131" s="126" t="s">
        <v>1474</v>
      </c>
      <c r="M131" s="126">
        <v>0</v>
      </c>
      <c r="N131" s="126">
        <v>0</v>
      </c>
      <c r="O131" s="126" t="s">
        <v>572</v>
      </c>
      <c r="P131" s="126" t="s">
        <v>171</v>
      </c>
      <c r="Q131" s="126" t="s">
        <v>459</v>
      </c>
      <c r="R131" s="126" t="s">
        <v>459</v>
      </c>
      <c r="S131" s="126" t="s">
        <v>460</v>
      </c>
      <c r="T131" s="126" t="s">
        <v>160</v>
      </c>
      <c r="U131" s="126"/>
      <c r="V131" s="128">
        <v>500000000</v>
      </c>
      <c r="W131" s="128">
        <v>500000000</v>
      </c>
      <c r="X131" s="126" t="s">
        <v>1209</v>
      </c>
      <c r="Y131" s="126">
        <v>0</v>
      </c>
      <c r="Z131" s="126">
        <v>0</v>
      </c>
      <c r="AA131" s="126" t="s">
        <v>0</v>
      </c>
      <c r="AB131" s="126" t="s">
        <v>161</v>
      </c>
      <c r="AC131" s="126" t="s">
        <v>162</v>
      </c>
      <c r="AD131" s="126"/>
      <c r="AE131" s="126"/>
      <c r="AF131" s="126"/>
      <c r="AG131" s="126"/>
      <c r="AH131" s="126" t="s">
        <v>178</v>
      </c>
      <c r="AI131" s="126" t="s">
        <v>1478</v>
      </c>
    </row>
    <row r="132" spans="1:35" ht="165" x14ac:dyDescent="0.25">
      <c r="A132" s="46" t="str">
        <f t="shared" si="2"/>
        <v>BUCACRD024844CADENASBPO</v>
      </c>
      <c r="B132" s="126" t="s">
        <v>5</v>
      </c>
      <c r="C132" s="126">
        <v>28945</v>
      </c>
      <c r="D132" s="126" t="s">
        <v>140</v>
      </c>
      <c r="E132" s="126" t="s">
        <v>177</v>
      </c>
      <c r="F132" s="127">
        <v>44530</v>
      </c>
      <c r="G132" s="126" t="s">
        <v>175</v>
      </c>
      <c r="H132" s="126" t="s">
        <v>176</v>
      </c>
      <c r="I132" s="126">
        <v>1</v>
      </c>
      <c r="J132" s="126" t="s">
        <v>184</v>
      </c>
      <c r="K132" s="126" t="s">
        <v>178</v>
      </c>
      <c r="L132" s="126" t="s">
        <v>1474</v>
      </c>
      <c r="M132" s="126">
        <v>0</v>
      </c>
      <c r="N132" s="126">
        <v>0</v>
      </c>
      <c r="O132" s="126" t="s">
        <v>572</v>
      </c>
      <c r="P132" s="126" t="s">
        <v>171</v>
      </c>
      <c r="Q132" s="126" t="s">
        <v>461</v>
      </c>
      <c r="R132" s="126" t="s">
        <v>461</v>
      </c>
      <c r="S132" s="126" t="s">
        <v>462</v>
      </c>
      <c r="T132" s="126" t="s">
        <v>160</v>
      </c>
      <c r="U132" s="126"/>
      <c r="V132" s="128">
        <v>500000000</v>
      </c>
      <c r="W132" s="128">
        <v>500000000</v>
      </c>
      <c r="X132" s="126" t="s">
        <v>1209</v>
      </c>
      <c r="Y132" s="126">
        <v>0</v>
      </c>
      <c r="Z132" s="126">
        <v>0</v>
      </c>
      <c r="AA132" s="126" t="s">
        <v>1</v>
      </c>
      <c r="AB132" s="126" t="s">
        <v>161</v>
      </c>
      <c r="AC132" s="126" t="s">
        <v>162</v>
      </c>
      <c r="AD132" s="126"/>
      <c r="AE132" s="126"/>
      <c r="AF132" s="126"/>
      <c r="AG132" s="126"/>
      <c r="AH132" s="126" t="s">
        <v>178</v>
      </c>
      <c r="AI132" s="126" t="s">
        <v>1479</v>
      </c>
    </row>
    <row r="133" spans="1:35" ht="165" x14ac:dyDescent="0.25">
      <c r="A133" s="46" t="str">
        <f t="shared" si="2"/>
        <v>BUCACRD024843AUTOSERVICIOBPO</v>
      </c>
      <c r="B133" s="126" t="s">
        <v>5</v>
      </c>
      <c r="C133" s="126">
        <v>28945</v>
      </c>
      <c r="D133" s="126" t="s">
        <v>140</v>
      </c>
      <c r="E133" s="126" t="s">
        <v>177</v>
      </c>
      <c r="F133" s="127">
        <v>44530</v>
      </c>
      <c r="G133" s="126" t="s">
        <v>175</v>
      </c>
      <c r="H133" s="126" t="s">
        <v>176</v>
      </c>
      <c r="I133" s="126">
        <v>1</v>
      </c>
      <c r="J133" s="126" t="s">
        <v>184</v>
      </c>
      <c r="K133" s="126" t="s">
        <v>178</v>
      </c>
      <c r="L133" s="126" t="s">
        <v>1474</v>
      </c>
      <c r="M133" s="126">
        <v>0</v>
      </c>
      <c r="N133" s="126">
        <v>0</v>
      </c>
      <c r="O133" s="126" t="s">
        <v>572</v>
      </c>
      <c r="P133" s="126" t="s">
        <v>171</v>
      </c>
      <c r="Q133" s="126" t="s">
        <v>463</v>
      </c>
      <c r="R133" s="126" t="s">
        <v>463</v>
      </c>
      <c r="S133" s="126" t="s">
        <v>1214</v>
      </c>
      <c r="T133" s="126" t="s">
        <v>160</v>
      </c>
      <c r="U133" s="126"/>
      <c r="V133" s="128">
        <v>500000000</v>
      </c>
      <c r="W133" s="128">
        <v>500000000</v>
      </c>
      <c r="X133" s="126" t="s">
        <v>1209</v>
      </c>
      <c r="Y133" s="126">
        <v>0</v>
      </c>
      <c r="Z133" s="126">
        <v>0</v>
      </c>
      <c r="AA133" s="126" t="s">
        <v>0</v>
      </c>
      <c r="AB133" s="126" t="s">
        <v>161</v>
      </c>
      <c r="AC133" s="126" t="s">
        <v>162</v>
      </c>
      <c r="AD133" s="126"/>
      <c r="AE133" s="126"/>
      <c r="AF133" s="126"/>
      <c r="AG133" s="126"/>
      <c r="AH133" s="126" t="s">
        <v>178</v>
      </c>
      <c r="AI133" s="126" t="s">
        <v>1480</v>
      </c>
    </row>
    <row r="134" spans="1:35" ht="165" x14ac:dyDescent="0.25">
      <c r="A134" s="46" t="str">
        <f t="shared" si="2"/>
        <v>BUCACRD024843CADENASBPO</v>
      </c>
      <c r="B134" s="126" t="s">
        <v>5</v>
      </c>
      <c r="C134" s="126">
        <v>28945</v>
      </c>
      <c r="D134" s="126" t="s">
        <v>140</v>
      </c>
      <c r="E134" s="126" t="s">
        <v>177</v>
      </c>
      <c r="F134" s="127">
        <v>44530</v>
      </c>
      <c r="G134" s="126" t="s">
        <v>175</v>
      </c>
      <c r="H134" s="126" t="s">
        <v>176</v>
      </c>
      <c r="I134" s="126">
        <v>1</v>
      </c>
      <c r="J134" s="126" t="s">
        <v>184</v>
      </c>
      <c r="K134" s="126" t="s">
        <v>178</v>
      </c>
      <c r="L134" s="126" t="s">
        <v>1474</v>
      </c>
      <c r="M134" s="126">
        <v>0</v>
      </c>
      <c r="N134" s="126">
        <v>0</v>
      </c>
      <c r="O134" s="126" t="s">
        <v>572</v>
      </c>
      <c r="P134" s="126" t="s">
        <v>171</v>
      </c>
      <c r="Q134" s="126" t="s">
        <v>463</v>
      </c>
      <c r="R134" s="126" t="s">
        <v>463</v>
      </c>
      <c r="S134" s="126" t="s">
        <v>1214</v>
      </c>
      <c r="T134" s="126" t="s">
        <v>160</v>
      </c>
      <c r="U134" s="126"/>
      <c r="V134" s="128">
        <v>500000000</v>
      </c>
      <c r="W134" s="128">
        <v>500000000</v>
      </c>
      <c r="X134" s="126" t="s">
        <v>1209</v>
      </c>
      <c r="Y134" s="126">
        <v>0</v>
      </c>
      <c r="Z134" s="126">
        <v>0</v>
      </c>
      <c r="AA134" s="126" t="s">
        <v>1</v>
      </c>
      <c r="AB134" s="126" t="s">
        <v>161</v>
      </c>
      <c r="AC134" s="126" t="s">
        <v>162</v>
      </c>
      <c r="AD134" s="126"/>
      <c r="AE134" s="126"/>
      <c r="AF134" s="126"/>
      <c r="AG134" s="126"/>
      <c r="AH134" s="126" t="s">
        <v>178</v>
      </c>
      <c r="AI134" s="126" t="s">
        <v>1481</v>
      </c>
    </row>
    <row r="135" spans="1:35" ht="165" x14ac:dyDescent="0.25">
      <c r="A135" s="46" t="str">
        <f t="shared" si="2"/>
        <v>BUCACRD024845CADENASBPO</v>
      </c>
      <c r="B135" s="126" t="s">
        <v>5</v>
      </c>
      <c r="C135" s="126">
        <v>28945</v>
      </c>
      <c r="D135" s="126" t="s">
        <v>140</v>
      </c>
      <c r="E135" s="126" t="s">
        <v>177</v>
      </c>
      <c r="F135" s="127">
        <v>44530</v>
      </c>
      <c r="G135" s="126" t="s">
        <v>175</v>
      </c>
      <c r="H135" s="126" t="s">
        <v>176</v>
      </c>
      <c r="I135" s="126">
        <v>1</v>
      </c>
      <c r="J135" s="126" t="s">
        <v>184</v>
      </c>
      <c r="K135" s="126" t="s">
        <v>178</v>
      </c>
      <c r="L135" s="126" t="s">
        <v>1474</v>
      </c>
      <c r="M135" s="126">
        <v>0</v>
      </c>
      <c r="N135" s="126">
        <v>0</v>
      </c>
      <c r="O135" s="126" t="s">
        <v>572</v>
      </c>
      <c r="P135" s="126" t="s">
        <v>171</v>
      </c>
      <c r="Q135" s="126" t="s">
        <v>464</v>
      </c>
      <c r="R135" s="126" t="s">
        <v>464</v>
      </c>
      <c r="S135" s="126" t="s">
        <v>465</v>
      </c>
      <c r="T135" s="126" t="s">
        <v>160</v>
      </c>
      <c r="U135" s="126"/>
      <c r="V135" s="128">
        <v>500000000</v>
      </c>
      <c r="W135" s="128">
        <v>500000000</v>
      </c>
      <c r="X135" s="126" t="s">
        <v>1209</v>
      </c>
      <c r="Y135" s="126">
        <v>0</v>
      </c>
      <c r="Z135" s="126">
        <v>0</v>
      </c>
      <c r="AA135" s="126" t="s">
        <v>1</v>
      </c>
      <c r="AB135" s="126" t="s">
        <v>161</v>
      </c>
      <c r="AC135" s="126" t="s">
        <v>162</v>
      </c>
      <c r="AD135" s="126"/>
      <c r="AE135" s="126"/>
      <c r="AF135" s="126"/>
      <c r="AG135" s="126"/>
      <c r="AH135" s="126" t="s">
        <v>178</v>
      </c>
      <c r="AI135" s="126" t="s">
        <v>1482</v>
      </c>
    </row>
    <row r="136" spans="1:35" ht="165" x14ac:dyDescent="0.25">
      <c r="A136" s="46" t="str">
        <f t="shared" si="2"/>
        <v>BUCACRD024849AUTOSERVICIONUTRESA</v>
      </c>
      <c r="B136" s="126" t="s">
        <v>5</v>
      </c>
      <c r="C136" s="126">
        <v>28972</v>
      </c>
      <c r="D136" s="126" t="s">
        <v>140</v>
      </c>
      <c r="E136" s="126" t="s">
        <v>177</v>
      </c>
      <c r="F136" s="127">
        <v>44532</v>
      </c>
      <c r="G136" s="126" t="s">
        <v>175</v>
      </c>
      <c r="H136" s="126" t="s">
        <v>176</v>
      </c>
      <c r="I136" s="126">
        <v>1</v>
      </c>
      <c r="J136" s="126" t="s">
        <v>184</v>
      </c>
      <c r="K136" s="126" t="s">
        <v>178</v>
      </c>
      <c r="L136" s="126" t="s">
        <v>1483</v>
      </c>
      <c r="M136" s="126">
        <v>0</v>
      </c>
      <c r="N136" s="126">
        <v>0</v>
      </c>
      <c r="O136" s="126" t="s">
        <v>573</v>
      </c>
      <c r="P136" s="126" t="s">
        <v>168</v>
      </c>
      <c r="Q136" s="126" t="s">
        <v>467</v>
      </c>
      <c r="R136" s="126" t="s">
        <v>467</v>
      </c>
      <c r="S136" s="126" t="s">
        <v>468</v>
      </c>
      <c r="T136" s="126" t="s">
        <v>160</v>
      </c>
      <c r="U136" s="126"/>
      <c r="V136" s="128">
        <v>15000000000</v>
      </c>
      <c r="W136" s="128">
        <v>15000000000</v>
      </c>
      <c r="X136" s="126" t="s">
        <v>1209</v>
      </c>
      <c r="Y136" s="126">
        <v>0</v>
      </c>
      <c r="Z136" s="126">
        <v>0</v>
      </c>
      <c r="AA136" s="126" t="s">
        <v>0</v>
      </c>
      <c r="AB136" s="126" t="s">
        <v>140</v>
      </c>
      <c r="AC136" s="126" t="s">
        <v>162</v>
      </c>
      <c r="AD136" s="126"/>
      <c r="AE136" s="126"/>
      <c r="AF136" s="126"/>
      <c r="AG136" s="126"/>
      <c r="AH136" s="126" t="s">
        <v>178</v>
      </c>
      <c r="AI136" s="126" t="s">
        <v>1484</v>
      </c>
    </row>
    <row r="137" spans="1:35" ht="270" x14ac:dyDescent="0.25">
      <c r="A137" s="46" t="str">
        <f t="shared" si="2"/>
        <v>BUCACRD024646TRADICIONALNUTRESA</v>
      </c>
      <c r="B137" s="126" t="s">
        <v>5</v>
      </c>
      <c r="C137" s="126">
        <v>29008</v>
      </c>
      <c r="D137" s="126" t="s">
        <v>140</v>
      </c>
      <c r="E137" s="126" t="s">
        <v>177</v>
      </c>
      <c r="F137" s="127">
        <v>44536</v>
      </c>
      <c r="G137" s="126" t="s">
        <v>175</v>
      </c>
      <c r="H137" s="126" t="s">
        <v>176</v>
      </c>
      <c r="I137" s="126">
        <v>1</v>
      </c>
      <c r="J137" s="126" t="s">
        <v>184</v>
      </c>
      <c r="K137" s="126" t="s">
        <v>178</v>
      </c>
      <c r="L137" s="126" t="s">
        <v>1485</v>
      </c>
      <c r="M137" s="126">
        <v>0</v>
      </c>
      <c r="N137" s="126">
        <v>0</v>
      </c>
      <c r="O137" s="126" t="s">
        <v>574</v>
      </c>
      <c r="P137" s="126" t="s">
        <v>171</v>
      </c>
      <c r="Q137" s="126" t="s">
        <v>482</v>
      </c>
      <c r="R137" s="126" t="s">
        <v>482</v>
      </c>
      <c r="S137" s="126" t="s">
        <v>483</v>
      </c>
      <c r="T137" s="126" t="s">
        <v>160</v>
      </c>
      <c r="U137" s="126"/>
      <c r="V137" s="128">
        <v>400000000</v>
      </c>
      <c r="W137" s="128">
        <v>400000000</v>
      </c>
      <c r="X137" s="126" t="s">
        <v>1209</v>
      </c>
      <c r="Y137" s="126">
        <v>0</v>
      </c>
      <c r="Z137" s="126">
        <v>0</v>
      </c>
      <c r="AA137" s="126" t="s">
        <v>2</v>
      </c>
      <c r="AB137" s="126" t="s">
        <v>140</v>
      </c>
      <c r="AC137" s="126" t="s">
        <v>162</v>
      </c>
      <c r="AD137" s="126"/>
      <c r="AE137" s="126"/>
      <c r="AF137" s="126"/>
      <c r="AG137" s="126"/>
      <c r="AH137" s="126" t="s">
        <v>178</v>
      </c>
      <c r="AI137" s="126" t="s">
        <v>1486</v>
      </c>
    </row>
    <row r="138" spans="1:35" ht="270" x14ac:dyDescent="0.25">
      <c r="A138" s="46" t="str">
        <f t="shared" si="2"/>
        <v>BUCACRD024645TRADICIONALNUTRESA</v>
      </c>
      <c r="B138" s="126" t="s">
        <v>5</v>
      </c>
      <c r="C138" s="126">
        <v>29008</v>
      </c>
      <c r="D138" s="126" t="s">
        <v>140</v>
      </c>
      <c r="E138" s="126" t="s">
        <v>177</v>
      </c>
      <c r="F138" s="127">
        <v>44536</v>
      </c>
      <c r="G138" s="126" t="s">
        <v>175</v>
      </c>
      <c r="H138" s="126" t="s">
        <v>176</v>
      </c>
      <c r="I138" s="126">
        <v>1</v>
      </c>
      <c r="J138" s="126" t="s">
        <v>184</v>
      </c>
      <c r="K138" s="126" t="s">
        <v>178</v>
      </c>
      <c r="L138" s="126" t="s">
        <v>1485</v>
      </c>
      <c r="M138" s="126">
        <v>0</v>
      </c>
      <c r="N138" s="126">
        <v>0</v>
      </c>
      <c r="O138" s="126" t="s">
        <v>574</v>
      </c>
      <c r="P138" s="126" t="s">
        <v>171</v>
      </c>
      <c r="Q138" s="126" t="s">
        <v>476</v>
      </c>
      <c r="R138" s="126" t="s">
        <v>476</v>
      </c>
      <c r="S138" s="126" t="s">
        <v>477</v>
      </c>
      <c r="T138" s="126" t="s">
        <v>160</v>
      </c>
      <c r="U138" s="126"/>
      <c r="V138" s="128">
        <v>400000000</v>
      </c>
      <c r="W138" s="128">
        <v>400000000</v>
      </c>
      <c r="X138" s="126" t="s">
        <v>1209</v>
      </c>
      <c r="Y138" s="126">
        <v>0</v>
      </c>
      <c r="Z138" s="126">
        <v>0</v>
      </c>
      <c r="AA138" s="126" t="s">
        <v>2</v>
      </c>
      <c r="AB138" s="126" t="s">
        <v>140</v>
      </c>
      <c r="AC138" s="126" t="s">
        <v>162</v>
      </c>
      <c r="AD138" s="126"/>
      <c r="AE138" s="126"/>
      <c r="AF138" s="126"/>
      <c r="AG138" s="126"/>
      <c r="AH138" s="126" t="s">
        <v>178</v>
      </c>
      <c r="AI138" s="126" t="s">
        <v>1487</v>
      </c>
    </row>
    <row r="139" spans="1:35" ht="270" x14ac:dyDescent="0.25">
      <c r="A139" s="46" t="str">
        <f t="shared" si="2"/>
        <v>BUCACRD024644TRADICIONALNUTRESA</v>
      </c>
      <c r="B139" s="126" t="s">
        <v>5</v>
      </c>
      <c r="C139" s="126">
        <v>29008</v>
      </c>
      <c r="D139" s="126" t="s">
        <v>140</v>
      </c>
      <c r="E139" s="126" t="s">
        <v>177</v>
      </c>
      <c r="F139" s="127">
        <v>44536</v>
      </c>
      <c r="G139" s="126" t="s">
        <v>175</v>
      </c>
      <c r="H139" s="126" t="s">
        <v>176</v>
      </c>
      <c r="I139" s="126">
        <v>1</v>
      </c>
      <c r="J139" s="126" t="s">
        <v>184</v>
      </c>
      <c r="K139" s="126" t="s">
        <v>178</v>
      </c>
      <c r="L139" s="126" t="s">
        <v>1485</v>
      </c>
      <c r="M139" s="126">
        <v>0</v>
      </c>
      <c r="N139" s="126">
        <v>0</v>
      </c>
      <c r="O139" s="126" t="s">
        <v>574</v>
      </c>
      <c r="P139" s="126" t="s">
        <v>171</v>
      </c>
      <c r="Q139" s="126" t="s">
        <v>478</v>
      </c>
      <c r="R139" s="126" t="s">
        <v>478</v>
      </c>
      <c r="S139" s="126" t="s">
        <v>479</v>
      </c>
      <c r="T139" s="126" t="s">
        <v>160</v>
      </c>
      <c r="U139" s="126"/>
      <c r="V139" s="128">
        <v>400000000</v>
      </c>
      <c r="W139" s="128">
        <v>400000000</v>
      </c>
      <c r="X139" s="126" t="s">
        <v>1209</v>
      </c>
      <c r="Y139" s="126">
        <v>0</v>
      </c>
      <c r="Z139" s="126">
        <v>0</v>
      </c>
      <c r="AA139" s="126" t="s">
        <v>2</v>
      </c>
      <c r="AB139" s="126" t="s">
        <v>140</v>
      </c>
      <c r="AC139" s="126" t="s">
        <v>162</v>
      </c>
      <c r="AD139" s="126"/>
      <c r="AE139" s="126"/>
      <c r="AF139" s="126"/>
      <c r="AG139" s="126"/>
      <c r="AH139" s="126" t="s">
        <v>178</v>
      </c>
      <c r="AI139" s="126" t="s">
        <v>1488</v>
      </c>
    </row>
    <row r="140" spans="1:35" ht="270" x14ac:dyDescent="0.25">
      <c r="A140" s="46" t="str">
        <f t="shared" si="2"/>
        <v>BUCACRD024647TRADICIONALNUTRESA</v>
      </c>
      <c r="B140" s="126" t="s">
        <v>5</v>
      </c>
      <c r="C140" s="126">
        <v>29008</v>
      </c>
      <c r="D140" s="126" t="s">
        <v>140</v>
      </c>
      <c r="E140" s="126" t="s">
        <v>177</v>
      </c>
      <c r="F140" s="127">
        <v>44536</v>
      </c>
      <c r="G140" s="126" t="s">
        <v>175</v>
      </c>
      <c r="H140" s="126" t="s">
        <v>176</v>
      </c>
      <c r="I140" s="126">
        <v>1</v>
      </c>
      <c r="J140" s="126" t="s">
        <v>184</v>
      </c>
      <c r="K140" s="126" t="s">
        <v>178</v>
      </c>
      <c r="L140" s="126" t="s">
        <v>1485</v>
      </c>
      <c r="M140" s="126">
        <v>0</v>
      </c>
      <c r="N140" s="126">
        <v>0</v>
      </c>
      <c r="O140" s="126" t="s">
        <v>574</v>
      </c>
      <c r="P140" s="126" t="s">
        <v>171</v>
      </c>
      <c r="Q140" s="126" t="s">
        <v>480</v>
      </c>
      <c r="R140" s="126" t="s">
        <v>480</v>
      </c>
      <c r="S140" s="126" t="s">
        <v>481</v>
      </c>
      <c r="T140" s="126" t="s">
        <v>160</v>
      </c>
      <c r="U140" s="126"/>
      <c r="V140" s="128">
        <v>381000000</v>
      </c>
      <c r="W140" s="128">
        <v>381000000</v>
      </c>
      <c r="X140" s="126" t="s">
        <v>1209</v>
      </c>
      <c r="Y140" s="126">
        <v>0</v>
      </c>
      <c r="Z140" s="126">
        <v>0</v>
      </c>
      <c r="AA140" s="126" t="s">
        <v>2</v>
      </c>
      <c r="AB140" s="126" t="s">
        <v>140</v>
      </c>
      <c r="AC140" s="126" t="s">
        <v>162</v>
      </c>
      <c r="AD140" s="126"/>
      <c r="AE140" s="126"/>
      <c r="AF140" s="126"/>
      <c r="AG140" s="126"/>
      <c r="AH140" s="126" t="s">
        <v>178</v>
      </c>
      <c r="AI140" s="126" t="s">
        <v>1489</v>
      </c>
    </row>
    <row r="141" spans="1:35" ht="165" x14ac:dyDescent="0.25">
      <c r="A141" s="46" t="str">
        <f t="shared" si="2"/>
        <v>BUCACRD025009TRADICIONALNUTRESA</v>
      </c>
      <c r="B141" s="126" t="s">
        <v>5</v>
      </c>
      <c r="C141" s="126">
        <v>29064</v>
      </c>
      <c r="D141" s="126" t="s">
        <v>140</v>
      </c>
      <c r="E141" s="126" t="s">
        <v>177</v>
      </c>
      <c r="F141" s="127">
        <v>44544</v>
      </c>
      <c r="G141" s="126" t="s">
        <v>175</v>
      </c>
      <c r="H141" s="126" t="s">
        <v>176</v>
      </c>
      <c r="I141" s="126">
        <v>1</v>
      </c>
      <c r="J141" s="126" t="s">
        <v>184</v>
      </c>
      <c r="K141" s="126" t="s">
        <v>178</v>
      </c>
      <c r="L141" s="126" t="s">
        <v>1490</v>
      </c>
      <c r="M141" s="126">
        <v>0</v>
      </c>
      <c r="N141" s="126">
        <v>0</v>
      </c>
      <c r="O141" s="126" t="s">
        <v>575</v>
      </c>
      <c r="P141" s="126" t="s">
        <v>171</v>
      </c>
      <c r="Q141" s="126" t="s">
        <v>487</v>
      </c>
      <c r="R141" s="126" t="s">
        <v>487</v>
      </c>
      <c r="S141" s="126" t="s">
        <v>1253</v>
      </c>
      <c r="T141" s="126" t="s">
        <v>160</v>
      </c>
      <c r="U141" s="126"/>
      <c r="V141" s="128">
        <v>1400000000</v>
      </c>
      <c r="W141" s="128">
        <v>1400000000</v>
      </c>
      <c r="X141" s="126" t="s">
        <v>1209</v>
      </c>
      <c r="Y141" s="126">
        <v>0</v>
      </c>
      <c r="Z141" s="126">
        <v>0</v>
      </c>
      <c r="AA141" s="126" t="s">
        <v>2</v>
      </c>
      <c r="AB141" s="126" t="s">
        <v>140</v>
      </c>
      <c r="AC141" s="126" t="s">
        <v>162</v>
      </c>
      <c r="AD141" s="126"/>
      <c r="AE141" s="126"/>
      <c r="AF141" s="126"/>
      <c r="AG141" s="126"/>
      <c r="AH141" s="126" t="s">
        <v>178</v>
      </c>
      <c r="AI141" s="126" t="s">
        <v>1491</v>
      </c>
    </row>
    <row r="142" spans="1:35" ht="165" x14ac:dyDescent="0.25">
      <c r="A142" s="46" t="str">
        <f t="shared" si="2"/>
        <v>BUCACRD025010TRADICIONALNUTRESA</v>
      </c>
      <c r="B142" s="126" t="s">
        <v>5</v>
      </c>
      <c r="C142" s="126">
        <v>29064</v>
      </c>
      <c r="D142" s="126" t="s">
        <v>140</v>
      </c>
      <c r="E142" s="126" t="s">
        <v>177</v>
      </c>
      <c r="F142" s="127">
        <v>44544</v>
      </c>
      <c r="G142" s="126" t="s">
        <v>175</v>
      </c>
      <c r="H142" s="126" t="s">
        <v>176</v>
      </c>
      <c r="I142" s="126">
        <v>1</v>
      </c>
      <c r="J142" s="126" t="s">
        <v>184</v>
      </c>
      <c r="K142" s="126" t="s">
        <v>178</v>
      </c>
      <c r="L142" s="126" t="s">
        <v>1490</v>
      </c>
      <c r="M142" s="126">
        <v>0</v>
      </c>
      <c r="N142" s="126">
        <v>0</v>
      </c>
      <c r="O142" s="126" t="s">
        <v>575</v>
      </c>
      <c r="P142" s="126" t="s">
        <v>171</v>
      </c>
      <c r="Q142" s="126" t="s">
        <v>488</v>
      </c>
      <c r="R142" s="126" t="s">
        <v>488</v>
      </c>
      <c r="S142" s="126" t="s">
        <v>1255</v>
      </c>
      <c r="T142" s="126" t="s">
        <v>160</v>
      </c>
      <c r="U142" s="126"/>
      <c r="V142" s="128">
        <v>800000000</v>
      </c>
      <c r="W142" s="128">
        <v>800000000</v>
      </c>
      <c r="X142" s="126" t="s">
        <v>1209</v>
      </c>
      <c r="Y142" s="126">
        <v>0</v>
      </c>
      <c r="Z142" s="126">
        <v>0</v>
      </c>
      <c r="AA142" s="126" t="s">
        <v>2</v>
      </c>
      <c r="AB142" s="126" t="s">
        <v>140</v>
      </c>
      <c r="AC142" s="126" t="s">
        <v>162</v>
      </c>
      <c r="AD142" s="126"/>
      <c r="AE142" s="126"/>
      <c r="AF142" s="126"/>
      <c r="AG142" s="126"/>
      <c r="AH142" s="126" t="s">
        <v>178</v>
      </c>
      <c r="AI142" s="126" t="s">
        <v>1492</v>
      </c>
    </row>
    <row r="143" spans="1:35" ht="165" x14ac:dyDescent="0.25">
      <c r="A143" s="46" t="str">
        <f t="shared" si="2"/>
        <v>BUCACRD025008TRADICIONALNUTRESA</v>
      </c>
      <c r="B143" s="126" t="s">
        <v>5</v>
      </c>
      <c r="C143" s="126">
        <v>29064</v>
      </c>
      <c r="D143" s="126" t="s">
        <v>140</v>
      </c>
      <c r="E143" s="126" t="s">
        <v>177</v>
      </c>
      <c r="F143" s="127">
        <v>44544</v>
      </c>
      <c r="G143" s="126" t="s">
        <v>175</v>
      </c>
      <c r="H143" s="126" t="s">
        <v>176</v>
      </c>
      <c r="I143" s="126">
        <v>1</v>
      </c>
      <c r="J143" s="126" t="s">
        <v>184</v>
      </c>
      <c r="K143" s="126" t="s">
        <v>178</v>
      </c>
      <c r="L143" s="126" t="s">
        <v>1490</v>
      </c>
      <c r="M143" s="126">
        <v>0</v>
      </c>
      <c r="N143" s="126">
        <v>0</v>
      </c>
      <c r="O143" s="126" t="s">
        <v>575</v>
      </c>
      <c r="P143" s="126" t="s">
        <v>171</v>
      </c>
      <c r="Q143" s="126" t="s">
        <v>486</v>
      </c>
      <c r="R143" s="126" t="s">
        <v>486</v>
      </c>
      <c r="S143" s="126" t="s">
        <v>1251</v>
      </c>
      <c r="T143" s="126" t="s">
        <v>160</v>
      </c>
      <c r="U143" s="126"/>
      <c r="V143" s="128">
        <v>1100000000</v>
      </c>
      <c r="W143" s="128">
        <v>1100000000</v>
      </c>
      <c r="X143" s="126" t="s">
        <v>1209</v>
      </c>
      <c r="Y143" s="126">
        <v>0</v>
      </c>
      <c r="Z143" s="126">
        <v>0</v>
      </c>
      <c r="AA143" s="126" t="s">
        <v>2</v>
      </c>
      <c r="AB143" s="126" t="s">
        <v>140</v>
      </c>
      <c r="AC143" s="126" t="s">
        <v>162</v>
      </c>
      <c r="AD143" s="126"/>
      <c r="AE143" s="126"/>
      <c r="AF143" s="126"/>
      <c r="AG143" s="126"/>
      <c r="AH143" s="126" t="s">
        <v>178</v>
      </c>
      <c r="AI143" s="126" t="s">
        <v>1493</v>
      </c>
    </row>
    <row r="144" spans="1:35" ht="165" x14ac:dyDescent="0.25">
      <c r="A144" s="46" t="str">
        <f t="shared" si="2"/>
        <v>BUCACRD025002AUTOSERVICIONUTRESA</v>
      </c>
      <c r="B144" s="126" t="s">
        <v>5</v>
      </c>
      <c r="C144" s="126">
        <v>29065</v>
      </c>
      <c r="D144" s="126" t="s">
        <v>140</v>
      </c>
      <c r="E144" s="126" t="s">
        <v>177</v>
      </c>
      <c r="F144" s="127">
        <v>44544</v>
      </c>
      <c r="G144" s="126" t="s">
        <v>175</v>
      </c>
      <c r="H144" s="126" t="s">
        <v>176</v>
      </c>
      <c r="I144" s="126">
        <v>1</v>
      </c>
      <c r="J144" s="126" t="s">
        <v>184</v>
      </c>
      <c r="K144" s="126" t="s">
        <v>178</v>
      </c>
      <c r="L144" s="126" t="s">
        <v>1494</v>
      </c>
      <c r="M144" s="126">
        <v>0</v>
      </c>
      <c r="N144" s="126">
        <v>0</v>
      </c>
      <c r="O144" s="126" t="s">
        <v>576</v>
      </c>
      <c r="P144" s="126" t="s">
        <v>171</v>
      </c>
      <c r="Q144" s="126" t="s">
        <v>491</v>
      </c>
      <c r="R144" s="126" t="s">
        <v>491</v>
      </c>
      <c r="S144" s="126" t="s">
        <v>492</v>
      </c>
      <c r="T144" s="126" t="s">
        <v>160</v>
      </c>
      <c r="U144" s="126"/>
      <c r="V144" s="128">
        <v>120000000</v>
      </c>
      <c r="W144" s="128">
        <v>120000000</v>
      </c>
      <c r="X144" s="126" t="s">
        <v>1209</v>
      </c>
      <c r="Y144" s="126">
        <v>0</v>
      </c>
      <c r="Z144" s="126">
        <v>0</v>
      </c>
      <c r="AA144" s="126" t="s">
        <v>0</v>
      </c>
      <c r="AB144" s="126" t="s">
        <v>140</v>
      </c>
      <c r="AC144" s="126" t="s">
        <v>162</v>
      </c>
      <c r="AD144" s="126"/>
      <c r="AE144" s="126"/>
      <c r="AF144" s="126"/>
      <c r="AG144" s="126"/>
      <c r="AH144" s="126" t="s">
        <v>178</v>
      </c>
      <c r="AI144" s="126" t="s">
        <v>1495</v>
      </c>
    </row>
    <row r="145" spans="1:35" ht="165" x14ac:dyDescent="0.25">
      <c r="A145" s="46" t="str">
        <f t="shared" si="2"/>
        <v>BUCACRD025001AUTOSERVICIONUTRESA</v>
      </c>
      <c r="B145" s="126" t="s">
        <v>5</v>
      </c>
      <c r="C145" s="126">
        <v>29065</v>
      </c>
      <c r="D145" s="126" t="s">
        <v>140</v>
      </c>
      <c r="E145" s="126" t="s">
        <v>177</v>
      </c>
      <c r="F145" s="127">
        <v>44544</v>
      </c>
      <c r="G145" s="126" t="s">
        <v>175</v>
      </c>
      <c r="H145" s="126" t="s">
        <v>176</v>
      </c>
      <c r="I145" s="126">
        <v>1</v>
      </c>
      <c r="J145" s="126" t="s">
        <v>184</v>
      </c>
      <c r="K145" s="126" t="s">
        <v>178</v>
      </c>
      <c r="L145" s="126" t="s">
        <v>1494</v>
      </c>
      <c r="M145" s="126">
        <v>0</v>
      </c>
      <c r="N145" s="126">
        <v>0</v>
      </c>
      <c r="O145" s="126" t="s">
        <v>576</v>
      </c>
      <c r="P145" s="126" t="s">
        <v>171</v>
      </c>
      <c r="Q145" s="126" t="s">
        <v>489</v>
      </c>
      <c r="R145" s="126" t="s">
        <v>489</v>
      </c>
      <c r="S145" s="126" t="s">
        <v>490</v>
      </c>
      <c r="T145" s="126" t="s">
        <v>160</v>
      </c>
      <c r="U145" s="126"/>
      <c r="V145" s="128">
        <v>120000000</v>
      </c>
      <c r="W145" s="128">
        <v>120000000</v>
      </c>
      <c r="X145" s="126" t="s">
        <v>1209</v>
      </c>
      <c r="Y145" s="126">
        <v>0</v>
      </c>
      <c r="Z145" s="126">
        <v>0</v>
      </c>
      <c r="AA145" s="126" t="s">
        <v>0</v>
      </c>
      <c r="AB145" s="126" t="s">
        <v>140</v>
      </c>
      <c r="AC145" s="126" t="s">
        <v>162</v>
      </c>
      <c r="AD145" s="126"/>
      <c r="AE145" s="126"/>
      <c r="AF145" s="126"/>
      <c r="AG145" s="126"/>
      <c r="AH145" s="126" t="s">
        <v>178</v>
      </c>
      <c r="AI145" s="126" t="s">
        <v>1496</v>
      </c>
    </row>
    <row r="146" spans="1:35" ht="165" x14ac:dyDescent="0.25">
      <c r="A146" s="46" t="str">
        <f t="shared" si="2"/>
        <v>BUCACRD018765CADENASBPO</v>
      </c>
      <c r="B146" s="126" t="s">
        <v>5</v>
      </c>
      <c r="C146" s="126">
        <v>29066</v>
      </c>
      <c r="D146" s="126" t="s">
        <v>140</v>
      </c>
      <c r="E146" s="126" t="s">
        <v>177</v>
      </c>
      <c r="F146" s="127">
        <v>44544</v>
      </c>
      <c r="G146" s="126" t="s">
        <v>175</v>
      </c>
      <c r="H146" s="126" t="s">
        <v>176</v>
      </c>
      <c r="I146" s="126">
        <v>1</v>
      </c>
      <c r="J146" s="126" t="s">
        <v>184</v>
      </c>
      <c r="K146" s="126" t="s">
        <v>178</v>
      </c>
      <c r="L146" s="126" t="s">
        <v>1497</v>
      </c>
      <c r="M146" s="126">
        <v>0</v>
      </c>
      <c r="N146" s="126">
        <v>0</v>
      </c>
      <c r="O146" s="126" t="s">
        <v>577</v>
      </c>
      <c r="P146" s="126" t="s">
        <v>168</v>
      </c>
      <c r="Q146" s="126" t="s">
        <v>401</v>
      </c>
      <c r="R146" s="126" t="s">
        <v>401</v>
      </c>
      <c r="S146" s="126" t="s">
        <v>402</v>
      </c>
      <c r="T146" s="126" t="s">
        <v>160</v>
      </c>
      <c r="U146" s="126" t="s">
        <v>401</v>
      </c>
      <c r="V146" s="128">
        <v>50000000</v>
      </c>
      <c r="W146" s="128">
        <v>50000000</v>
      </c>
      <c r="X146" s="126" t="s">
        <v>1209</v>
      </c>
      <c r="Y146" s="126">
        <v>0</v>
      </c>
      <c r="Z146" s="126">
        <v>0</v>
      </c>
      <c r="AA146" s="126" t="s">
        <v>1</v>
      </c>
      <c r="AB146" s="126" t="s">
        <v>161</v>
      </c>
      <c r="AC146" s="126" t="s">
        <v>162</v>
      </c>
      <c r="AD146" s="126"/>
      <c r="AE146" s="126"/>
      <c r="AF146" s="126"/>
      <c r="AG146" s="126"/>
      <c r="AH146" s="126" t="s">
        <v>178</v>
      </c>
      <c r="AI146" s="126" t="s">
        <v>1498</v>
      </c>
    </row>
    <row r="147" spans="1:35" ht="165" x14ac:dyDescent="0.25">
      <c r="A147" s="46" t="str">
        <f t="shared" si="2"/>
        <v>BUCACRD025004TRADICIONALNUTRESA</v>
      </c>
      <c r="B147" s="126" t="s">
        <v>5</v>
      </c>
      <c r="C147" s="126">
        <v>29084</v>
      </c>
      <c r="D147" s="126" t="s">
        <v>140</v>
      </c>
      <c r="E147" s="126" t="s">
        <v>177</v>
      </c>
      <c r="F147" s="127">
        <v>44546</v>
      </c>
      <c r="G147" s="126" t="s">
        <v>175</v>
      </c>
      <c r="H147" s="126" t="s">
        <v>176</v>
      </c>
      <c r="I147" s="126">
        <v>1</v>
      </c>
      <c r="J147" s="126" t="s">
        <v>184</v>
      </c>
      <c r="K147" s="126" t="s">
        <v>178</v>
      </c>
      <c r="L147" s="126" t="s">
        <v>1499</v>
      </c>
      <c r="M147" s="126">
        <v>0</v>
      </c>
      <c r="N147" s="126">
        <v>0</v>
      </c>
      <c r="O147" s="126" t="s">
        <v>773</v>
      </c>
      <c r="P147" s="126" t="s">
        <v>171</v>
      </c>
      <c r="Q147" s="126" t="s">
        <v>485</v>
      </c>
      <c r="R147" s="126" t="s">
        <v>485</v>
      </c>
      <c r="S147" s="126" t="s">
        <v>1245</v>
      </c>
      <c r="T147" s="126" t="s">
        <v>160</v>
      </c>
      <c r="U147" s="126"/>
      <c r="V147" s="128">
        <v>86000000</v>
      </c>
      <c r="W147" s="128">
        <v>86000000</v>
      </c>
      <c r="X147" s="126" t="s">
        <v>1209</v>
      </c>
      <c r="Y147" s="126">
        <v>0</v>
      </c>
      <c r="Z147" s="126">
        <v>0</v>
      </c>
      <c r="AA147" s="126" t="s">
        <v>2</v>
      </c>
      <c r="AB147" s="126" t="s">
        <v>140</v>
      </c>
      <c r="AC147" s="126" t="s">
        <v>162</v>
      </c>
      <c r="AD147" s="126"/>
      <c r="AE147" s="126"/>
      <c r="AF147" s="126"/>
      <c r="AG147" s="126"/>
      <c r="AH147" s="126" t="s">
        <v>178</v>
      </c>
      <c r="AI147" s="126" t="s">
        <v>1500</v>
      </c>
    </row>
    <row r="148" spans="1:35" ht="150" x14ac:dyDescent="0.25">
      <c r="A148" s="46" t="str">
        <f t="shared" si="2"/>
        <v>BUCACRD025023AUTOSERVICIONUTRESA</v>
      </c>
      <c r="B148" s="126" t="s">
        <v>5</v>
      </c>
      <c r="C148" s="126">
        <v>29095</v>
      </c>
      <c r="D148" s="126" t="s">
        <v>140</v>
      </c>
      <c r="E148" s="126" t="s">
        <v>177</v>
      </c>
      <c r="F148" s="127">
        <v>44547</v>
      </c>
      <c r="G148" s="126" t="s">
        <v>175</v>
      </c>
      <c r="H148" s="126" t="s">
        <v>176</v>
      </c>
      <c r="I148" s="126">
        <v>1</v>
      </c>
      <c r="J148" s="126" t="s">
        <v>184</v>
      </c>
      <c r="K148" s="126" t="s">
        <v>178</v>
      </c>
      <c r="L148" s="126" t="s">
        <v>1501</v>
      </c>
      <c r="M148" s="126">
        <v>0</v>
      </c>
      <c r="N148" s="126">
        <v>0</v>
      </c>
      <c r="O148" s="126" t="s">
        <v>774</v>
      </c>
      <c r="P148" s="126" t="s">
        <v>170</v>
      </c>
      <c r="Q148" s="126" t="s">
        <v>765</v>
      </c>
      <c r="R148" s="126" t="s">
        <v>765</v>
      </c>
      <c r="S148" s="126" t="s">
        <v>766</v>
      </c>
      <c r="T148" s="126" t="s">
        <v>160</v>
      </c>
      <c r="U148" s="126"/>
      <c r="V148" s="128">
        <v>60000000</v>
      </c>
      <c r="W148" s="128">
        <v>60000000</v>
      </c>
      <c r="X148" s="126" t="s">
        <v>1209</v>
      </c>
      <c r="Y148" s="126">
        <v>0</v>
      </c>
      <c r="Z148" s="126">
        <v>0</v>
      </c>
      <c r="AA148" s="126" t="s">
        <v>0</v>
      </c>
      <c r="AB148" s="126" t="s">
        <v>140</v>
      </c>
      <c r="AC148" s="126" t="s">
        <v>162</v>
      </c>
      <c r="AD148" s="126"/>
      <c r="AE148" s="126"/>
      <c r="AF148" s="126"/>
      <c r="AG148" s="126"/>
      <c r="AH148" s="126" t="s">
        <v>178</v>
      </c>
      <c r="AI148" s="126" t="s">
        <v>1502</v>
      </c>
    </row>
    <row r="149" spans="1:35" ht="165" x14ac:dyDescent="0.25">
      <c r="A149" s="46" t="str">
        <f t="shared" si="2"/>
        <v>BUCACRD025020AUTOSERVICIONUTRESA</v>
      </c>
      <c r="B149" s="126" t="s">
        <v>5</v>
      </c>
      <c r="C149" s="126">
        <v>29099</v>
      </c>
      <c r="D149" s="126" t="s">
        <v>140</v>
      </c>
      <c r="E149" s="126" t="s">
        <v>177</v>
      </c>
      <c r="F149" s="127">
        <v>44547</v>
      </c>
      <c r="G149" s="126" t="s">
        <v>175</v>
      </c>
      <c r="H149" s="126" t="s">
        <v>176</v>
      </c>
      <c r="I149" s="126">
        <v>1</v>
      </c>
      <c r="J149" s="126" t="s">
        <v>184</v>
      </c>
      <c r="K149" s="126" t="s">
        <v>178</v>
      </c>
      <c r="L149" s="126" t="s">
        <v>1503</v>
      </c>
      <c r="M149" s="126">
        <v>0</v>
      </c>
      <c r="N149" s="126">
        <v>0</v>
      </c>
      <c r="O149" s="126" t="s">
        <v>1504</v>
      </c>
      <c r="P149" s="126" t="s">
        <v>171</v>
      </c>
      <c r="Q149" s="126" t="s">
        <v>817</v>
      </c>
      <c r="R149" s="126" t="s">
        <v>817</v>
      </c>
      <c r="S149" s="126" t="s">
        <v>818</v>
      </c>
      <c r="T149" s="126" t="s">
        <v>160</v>
      </c>
      <c r="U149" s="126"/>
      <c r="V149" s="128">
        <v>60000000</v>
      </c>
      <c r="W149" s="128">
        <v>60000000</v>
      </c>
      <c r="X149" s="126" t="s">
        <v>1209</v>
      </c>
      <c r="Y149" s="126">
        <v>0</v>
      </c>
      <c r="Z149" s="126">
        <v>0</v>
      </c>
      <c r="AA149" s="126" t="s">
        <v>0</v>
      </c>
      <c r="AB149" s="126" t="s">
        <v>140</v>
      </c>
      <c r="AC149" s="126" t="s">
        <v>162</v>
      </c>
      <c r="AD149" s="126"/>
      <c r="AE149" s="126"/>
      <c r="AF149" s="126"/>
      <c r="AG149" s="126"/>
      <c r="AH149" s="126" t="s">
        <v>178</v>
      </c>
      <c r="AI149" s="126" t="s">
        <v>1505</v>
      </c>
    </row>
    <row r="150" spans="1:35" ht="165" x14ac:dyDescent="0.25">
      <c r="A150" s="46" t="str">
        <f t="shared" si="2"/>
        <v>BUCACRD025021AUTOSERVICIONUTRESA</v>
      </c>
      <c r="B150" s="126" t="s">
        <v>5</v>
      </c>
      <c r="C150" s="126">
        <v>29099</v>
      </c>
      <c r="D150" s="126" t="s">
        <v>140</v>
      </c>
      <c r="E150" s="126" t="s">
        <v>177</v>
      </c>
      <c r="F150" s="127">
        <v>44547</v>
      </c>
      <c r="G150" s="126" t="s">
        <v>175</v>
      </c>
      <c r="H150" s="126" t="s">
        <v>176</v>
      </c>
      <c r="I150" s="126">
        <v>1</v>
      </c>
      <c r="J150" s="126" t="s">
        <v>184</v>
      </c>
      <c r="K150" s="126" t="s">
        <v>178</v>
      </c>
      <c r="L150" s="126" t="s">
        <v>1503</v>
      </c>
      <c r="M150" s="126">
        <v>0</v>
      </c>
      <c r="N150" s="126">
        <v>0</v>
      </c>
      <c r="O150" s="126" t="s">
        <v>1504</v>
      </c>
      <c r="P150" s="126" t="s">
        <v>171</v>
      </c>
      <c r="Q150" s="126" t="s">
        <v>815</v>
      </c>
      <c r="R150" s="126" t="s">
        <v>815</v>
      </c>
      <c r="S150" s="126" t="s">
        <v>816</v>
      </c>
      <c r="T150" s="126" t="s">
        <v>160</v>
      </c>
      <c r="U150" s="126"/>
      <c r="V150" s="128">
        <v>180000000</v>
      </c>
      <c r="W150" s="128">
        <v>180000000</v>
      </c>
      <c r="X150" s="126" t="s">
        <v>1209</v>
      </c>
      <c r="Y150" s="126">
        <v>0</v>
      </c>
      <c r="Z150" s="126">
        <v>0</v>
      </c>
      <c r="AA150" s="126" t="s">
        <v>0</v>
      </c>
      <c r="AB150" s="126" t="s">
        <v>140</v>
      </c>
      <c r="AC150" s="126" t="s">
        <v>162</v>
      </c>
      <c r="AD150" s="126"/>
      <c r="AE150" s="126"/>
      <c r="AF150" s="126"/>
      <c r="AG150" s="126"/>
      <c r="AH150" s="126" t="s">
        <v>178</v>
      </c>
      <c r="AI150" s="126" t="s">
        <v>1506</v>
      </c>
    </row>
    <row r="151" spans="1:35" ht="165" x14ac:dyDescent="0.25">
      <c r="A151" s="46" t="str">
        <f t="shared" si="2"/>
        <v>BUCACRD025006TRADICIONALNUTRESA</v>
      </c>
      <c r="B151" s="126" t="s">
        <v>5</v>
      </c>
      <c r="C151" s="126">
        <v>29100</v>
      </c>
      <c r="D151" s="126" t="s">
        <v>140</v>
      </c>
      <c r="E151" s="126" t="s">
        <v>177</v>
      </c>
      <c r="F151" s="127">
        <v>44547</v>
      </c>
      <c r="G151" s="126" t="s">
        <v>175</v>
      </c>
      <c r="H151" s="126" t="s">
        <v>176</v>
      </c>
      <c r="I151" s="126">
        <v>1</v>
      </c>
      <c r="J151" s="126" t="s">
        <v>184</v>
      </c>
      <c r="K151" s="126" t="s">
        <v>178</v>
      </c>
      <c r="L151" s="126" t="s">
        <v>1507</v>
      </c>
      <c r="M151" s="126">
        <v>0</v>
      </c>
      <c r="N151" s="126">
        <v>0</v>
      </c>
      <c r="O151" s="126" t="s">
        <v>1508</v>
      </c>
      <c r="P151" s="126" t="s">
        <v>171</v>
      </c>
      <c r="Q151" s="126" t="s">
        <v>579</v>
      </c>
      <c r="R151" s="126" t="s">
        <v>579</v>
      </c>
      <c r="S151" s="126" t="s">
        <v>1266</v>
      </c>
      <c r="T151" s="126" t="s">
        <v>160</v>
      </c>
      <c r="U151" s="126"/>
      <c r="V151" s="128">
        <v>86000000</v>
      </c>
      <c r="W151" s="128">
        <v>86000000</v>
      </c>
      <c r="X151" s="126" t="s">
        <v>1209</v>
      </c>
      <c r="Y151" s="126">
        <v>0</v>
      </c>
      <c r="Z151" s="126">
        <v>0</v>
      </c>
      <c r="AA151" s="126" t="s">
        <v>2</v>
      </c>
      <c r="AB151" s="126" t="s">
        <v>140</v>
      </c>
      <c r="AC151" s="126" t="s">
        <v>162</v>
      </c>
      <c r="AD151" s="126"/>
      <c r="AE151" s="126"/>
      <c r="AF151" s="126"/>
      <c r="AG151" s="126"/>
      <c r="AH151" s="126" t="s">
        <v>178</v>
      </c>
      <c r="AI151" s="126" t="s">
        <v>1509</v>
      </c>
    </row>
    <row r="152" spans="1:35" ht="150" x14ac:dyDescent="0.25">
      <c r="A152" s="46" t="str">
        <f t="shared" si="2"/>
        <v>BUCACRD025041AUTOSERVICIONUTRESA</v>
      </c>
      <c r="B152" s="126" t="s">
        <v>5</v>
      </c>
      <c r="C152" s="126">
        <v>29121</v>
      </c>
      <c r="D152" s="126" t="s">
        <v>140</v>
      </c>
      <c r="E152" s="126" t="s">
        <v>177</v>
      </c>
      <c r="F152" s="127">
        <v>44551</v>
      </c>
      <c r="G152" s="126" t="s">
        <v>175</v>
      </c>
      <c r="H152" s="126" t="s">
        <v>176</v>
      </c>
      <c r="I152" s="126">
        <v>1</v>
      </c>
      <c r="J152" s="126" t="s">
        <v>184</v>
      </c>
      <c r="K152" s="126" t="s">
        <v>178</v>
      </c>
      <c r="L152" s="126" t="s">
        <v>1510</v>
      </c>
      <c r="M152" s="126">
        <v>0</v>
      </c>
      <c r="N152" s="126">
        <v>0</v>
      </c>
      <c r="O152" s="126" t="s">
        <v>1511</v>
      </c>
      <c r="P152" s="126" t="s">
        <v>170</v>
      </c>
      <c r="Q152" s="126" t="s">
        <v>1327</v>
      </c>
      <c r="R152" s="126" t="s">
        <v>1327</v>
      </c>
      <c r="S152" s="126" t="s">
        <v>1328</v>
      </c>
      <c r="T152" s="126" t="s">
        <v>160</v>
      </c>
      <c r="U152" s="126"/>
      <c r="V152" s="128">
        <v>2000000</v>
      </c>
      <c r="W152" s="128">
        <v>2000000</v>
      </c>
      <c r="X152" s="126" t="s">
        <v>1209</v>
      </c>
      <c r="Y152" s="126">
        <v>0</v>
      </c>
      <c r="Z152" s="126">
        <v>0</v>
      </c>
      <c r="AA152" s="126" t="s">
        <v>0</v>
      </c>
      <c r="AB152" s="126" t="s">
        <v>140</v>
      </c>
      <c r="AC152" s="126" t="s">
        <v>162</v>
      </c>
      <c r="AD152" s="126"/>
      <c r="AE152" s="126"/>
      <c r="AF152" s="126"/>
      <c r="AG152" s="126"/>
      <c r="AH152" s="126" t="s">
        <v>178</v>
      </c>
      <c r="AI152" s="126" t="s">
        <v>1512</v>
      </c>
    </row>
    <row r="153" spans="1:35" ht="150" x14ac:dyDescent="0.25">
      <c r="A153" s="46" t="str">
        <f t="shared" si="2"/>
        <v>BUCACRD025041TRADICIONALNUTRESA</v>
      </c>
      <c r="B153" s="126" t="s">
        <v>5</v>
      </c>
      <c r="C153" s="126">
        <v>29122</v>
      </c>
      <c r="D153" s="126" t="s">
        <v>140</v>
      </c>
      <c r="E153" s="126" t="s">
        <v>177</v>
      </c>
      <c r="F153" s="127">
        <v>44551</v>
      </c>
      <c r="G153" s="126" t="s">
        <v>175</v>
      </c>
      <c r="H153" s="126" t="s">
        <v>176</v>
      </c>
      <c r="I153" s="126">
        <v>1</v>
      </c>
      <c r="J153" s="126" t="s">
        <v>184</v>
      </c>
      <c r="K153" s="126" t="s">
        <v>178</v>
      </c>
      <c r="L153" s="126" t="s">
        <v>1513</v>
      </c>
      <c r="M153" s="126">
        <v>0</v>
      </c>
      <c r="N153" s="126">
        <v>0</v>
      </c>
      <c r="O153" s="126" t="s">
        <v>1514</v>
      </c>
      <c r="P153" s="126" t="s">
        <v>170</v>
      </c>
      <c r="Q153" s="126" t="s">
        <v>1327</v>
      </c>
      <c r="R153" s="126" t="s">
        <v>1327</v>
      </c>
      <c r="S153" s="126" t="s">
        <v>1328</v>
      </c>
      <c r="T153" s="126" t="s">
        <v>160</v>
      </c>
      <c r="U153" s="126"/>
      <c r="V153" s="128">
        <v>12000000</v>
      </c>
      <c r="W153" s="128">
        <v>12000000</v>
      </c>
      <c r="X153" s="126" t="s">
        <v>1209</v>
      </c>
      <c r="Y153" s="126">
        <v>0</v>
      </c>
      <c r="Z153" s="126">
        <v>0</v>
      </c>
      <c r="AA153" s="126" t="s">
        <v>2</v>
      </c>
      <c r="AB153" s="126" t="s">
        <v>140</v>
      </c>
      <c r="AC153" s="126" t="s">
        <v>162</v>
      </c>
      <c r="AD153" s="126"/>
      <c r="AE153" s="126"/>
      <c r="AF153" s="126"/>
      <c r="AG153" s="126"/>
      <c r="AH153" s="126" t="s">
        <v>178</v>
      </c>
      <c r="AI153" s="126" t="s">
        <v>1515</v>
      </c>
    </row>
    <row r="154" spans="1:35" ht="150" x14ac:dyDescent="0.25">
      <c r="A154" s="46" t="str">
        <f t="shared" si="2"/>
        <v>BUCACRD025040TRADICIONALNUTRESA</v>
      </c>
      <c r="B154" s="126" t="s">
        <v>5</v>
      </c>
      <c r="C154" s="126">
        <v>29123</v>
      </c>
      <c r="D154" s="126" t="s">
        <v>140</v>
      </c>
      <c r="E154" s="126" t="s">
        <v>177</v>
      </c>
      <c r="F154" s="127">
        <v>44551</v>
      </c>
      <c r="G154" s="126" t="s">
        <v>175</v>
      </c>
      <c r="H154" s="126" t="s">
        <v>176</v>
      </c>
      <c r="I154" s="126">
        <v>1</v>
      </c>
      <c r="J154" s="126" t="s">
        <v>184</v>
      </c>
      <c r="K154" s="126" t="s">
        <v>178</v>
      </c>
      <c r="L154" s="126" t="s">
        <v>1516</v>
      </c>
      <c r="M154" s="126">
        <v>0</v>
      </c>
      <c r="N154" s="126">
        <v>0</v>
      </c>
      <c r="O154" s="126" t="s">
        <v>1514</v>
      </c>
      <c r="P154" s="126" t="s">
        <v>170</v>
      </c>
      <c r="Q154" s="126" t="s">
        <v>1461</v>
      </c>
      <c r="R154" s="126" t="s">
        <v>1461</v>
      </c>
      <c r="S154" s="126" t="s">
        <v>1462</v>
      </c>
      <c r="T154" s="126" t="s">
        <v>160</v>
      </c>
      <c r="U154" s="126"/>
      <c r="V154" s="128">
        <v>1000000</v>
      </c>
      <c r="W154" s="128">
        <v>1000000</v>
      </c>
      <c r="X154" s="126" t="s">
        <v>1209</v>
      </c>
      <c r="Y154" s="126">
        <v>0</v>
      </c>
      <c r="Z154" s="126">
        <v>0</v>
      </c>
      <c r="AA154" s="126" t="s">
        <v>2</v>
      </c>
      <c r="AB154" s="126" t="s">
        <v>140</v>
      </c>
      <c r="AC154" s="126" t="s">
        <v>162</v>
      </c>
      <c r="AD154" s="126"/>
      <c r="AE154" s="126"/>
      <c r="AF154" s="126"/>
      <c r="AG154" s="126"/>
      <c r="AH154" s="126" t="s">
        <v>178</v>
      </c>
      <c r="AI154" s="126" t="s">
        <v>1517</v>
      </c>
    </row>
    <row r="155" spans="1:35" ht="150" x14ac:dyDescent="0.25">
      <c r="A155" s="46" t="str">
        <f t="shared" si="2"/>
        <v>BUCACRD025040AUTOSERVICIONUTRESA</v>
      </c>
      <c r="B155" s="126" t="s">
        <v>5</v>
      </c>
      <c r="C155" s="126">
        <v>29124</v>
      </c>
      <c r="D155" s="126" t="s">
        <v>140</v>
      </c>
      <c r="E155" s="126" t="s">
        <v>177</v>
      </c>
      <c r="F155" s="127">
        <v>44551</v>
      </c>
      <c r="G155" s="126" t="s">
        <v>175</v>
      </c>
      <c r="H155" s="126" t="s">
        <v>176</v>
      </c>
      <c r="I155" s="126">
        <v>1</v>
      </c>
      <c r="J155" s="126" t="s">
        <v>184</v>
      </c>
      <c r="K155" s="126"/>
      <c r="L155" s="126" t="s">
        <v>1518</v>
      </c>
      <c r="M155" s="126">
        <v>0</v>
      </c>
      <c r="N155" s="126">
        <v>0</v>
      </c>
      <c r="O155" s="126" t="s">
        <v>1511</v>
      </c>
      <c r="P155" s="126" t="s">
        <v>170</v>
      </c>
      <c r="Q155" s="126" t="s">
        <v>1461</v>
      </c>
      <c r="R155" s="126" t="s">
        <v>1461</v>
      </c>
      <c r="S155" s="126" t="s">
        <v>1462</v>
      </c>
      <c r="T155" s="126" t="s">
        <v>160</v>
      </c>
      <c r="U155" s="126"/>
      <c r="V155" s="128">
        <v>4000000</v>
      </c>
      <c r="W155" s="128">
        <v>4000000</v>
      </c>
      <c r="X155" s="126" t="s">
        <v>1209</v>
      </c>
      <c r="Y155" s="126">
        <v>0</v>
      </c>
      <c r="Z155" s="126">
        <v>0</v>
      </c>
      <c r="AA155" s="126" t="s">
        <v>0</v>
      </c>
      <c r="AB155" s="126" t="s">
        <v>140</v>
      </c>
      <c r="AC155" s="126" t="s">
        <v>162</v>
      </c>
      <c r="AD155" s="126"/>
      <c r="AE155" s="126"/>
      <c r="AF155" s="126"/>
      <c r="AG155" s="126"/>
      <c r="AH155" s="126" t="s">
        <v>178</v>
      </c>
      <c r="AI155" s="126" t="s">
        <v>1519</v>
      </c>
    </row>
    <row r="156" spans="1:35" ht="105" x14ac:dyDescent="0.25">
      <c r="A156" s="46" t="str">
        <f t="shared" si="2"/>
        <v>CALIACT000436AUTOSERVICIOBPO</v>
      </c>
      <c r="B156" s="126" t="s">
        <v>6</v>
      </c>
      <c r="C156" s="126">
        <v>52309</v>
      </c>
      <c r="D156" s="126" t="s">
        <v>140</v>
      </c>
      <c r="E156" s="126" t="s">
        <v>177</v>
      </c>
      <c r="F156" s="127">
        <v>44529</v>
      </c>
      <c r="G156" s="126" t="s">
        <v>175</v>
      </c>
      <c r="H156" s="126" t="s">
        <v>176</v>
      </c>
      <c r="I156" s="126">
        <v>1</v>
      </c>
      <c r="J156" s="126" t="s">
        <v>184</v>
      </c>
      <c r="K156" s="126" t="s">
        <v>258</v>
      </c>
      <c r="L156" s="126" t="s">
        <v>1520</v>
      </c>
      <c r="M156" s="126">
        <v>0</v>
      </c>
      <c r="N156" s="126">
        <v>0</v>
      </c>
      <c r="O156" s="126" t="s">
        <v>1521</v>
      </c>
      <c r="P156" s="126" t="s">
        <v>170</v>
      </c>
      <c r="Q156" s="126" t="s">
        <v>349</v>
      </c>
      <c r="R156" s="126" t="s">
        <v>349</v>
      </c>
      <c r="S156" s="126" t="s">
        <v>350</v>
      </c>
      <c r="T156" s="126" t="s">
        <v>160</v>
      </c>
      <c r="U156" s="126"/>
      <c r="V156" s="128">
        <v>1000000</v>
      </c>
      <c r="W156" s="128">
        <v>1000000</v>
      </c>
      <c r="X156" s="126" t="s">
        <v>1209</v>
      </c>
      <c r="Y156" s="126">
        <v>91554</v>
      </c>
      <c r="Z156" s="126">
        <v>0</v>
      </c>
      <c r="AA156" s="126" t="s">
        <v>0</v>
      </c>
      <c r="AB156" s="126" t="s">
        <v>161</v>
      </c>
      <c r="AC156" s="126" t="s">
        <v>165</v>
      </c>
      <c r="AD156" s="126"/>
      <c r="AE156" s="126"/>
      <c r="AF156" s="126"/>
      <c r="AG156" s="126"/>
      <c r="AH156" s="126" t="s">
        <v>237</v>
      </c>
      <c r="AI156" s="126" t="s">
        <v>1522</v>
      </c>
    </row>
    <row r="157" spans="1:35" ht="135" x14ac:dyDescent="0.25">
      <c r="A157" s="46" t="str">
        <f t="shared" si="2"/>
        <v>CALICRD024843AUTOSERVICIOBPO</v>
      </c>
      <c r="B157" s="126" t="s">
        <v>6</v>
      </c>
      <c r="C157" s="126">
        <v>52315</v>
      </c>
      <c r="D157" s="126" t="s">
        <v>140</v>
      </c>
      <c r="E157" s="126" t="s">
        <v>177</v>
      </c>
      <c r="F157" s="127">
        <v>44529</v>
      </c>
      <c r="G157" s="126" t="s">
        <v>175</v>
      </c>
      <c r="H157" s="126" t="s">
        <v>176</v>
      </c>
      <c r="I157" s="126">
        <v>1</v>
      </c>
      <c r="J157" s="126" t="s">
        <v>184</v>
      </c>
      <c r="K157" s="126" t="s">
        <v>258</v>
      </c>
      <c r="L157" s="126" t="s">
        <v>1523</v>
      </c>
      <c r="M157" s="126">
        <v>0</v>
      </c>
      <c r="N157" s="126">
        <v>0</v>
      </c>
      <c r="O157" s="126" t="s">
        <v>1524</v>
      </c>
      <c r="P157" s="126" t="s">
        <v>171</v>
      </c>
      <c r="Q157" s="126" t="s">
        <v>463</v>
      </c>
      <c r="R157" s="126" t="s">
        <v>463</v>
      </c>
      <c r="S157" s="126" t="s">
        <v>1214</v>
      </c>
      <c r="T157" s="126" t="s">
        <v>160</v>
      </c>
      <c r="U157" s="126"/>
      <c r="V157" s="128">
        <v>500000000</v>
      </c>
      <c r="W157" s="128">
        <v>500000000</v>
      </c>
      <c r="X157" s="126" t="s">
        <v>1209</v>
      </c>
      <c r="Y157" s="126">
        <v>0</v>
      </c>
      <c r="Z157" s="126">
        <v>0</v>
      </c>
      <c r="AA157" s="126" t="s">
        <v>0</v>
      </c>
      <c r="AB157" s="126" t="s">
        <v>161</v>
      </c>
      <c r="AC157" s="126" t="s">
        <v>162</v>
      </c>
      <c r="AD157" s="126"/>
      <c r="AE157" s="126"/>
      <c r="AF157" s="126"/>
      <c r="AG157" s="126"/>
      <c r="AH157" s="126" t="s">
        <v>578</v>
      </c>
      <c r="AI157" s="126" t="s">
        <v>1525</v>
      </c>
    </row>
    <row r="158" spans="1:35" ht="135" x14ac:dyDescent="0.25">
      <c r="A158" s="46" t="str">
        <f t="shared" si="2"/>
        <v>CALICRD024842AUTOSERVICIOBPO</v>
      </c>
      <c r="B158" s="126" t="s">
        <v>6</v>
      </c>
      <c r="C158" s="126">
        <v>52315</v>
      </c>
      <c r="D158" s="126" t="s">
        <v>140</v>
      </c>
      <c r="E158" s="126" t="s">
        <v>177</v>
      </c>
      <c r="F158" s="127">
        <v>44529</v>
      </c>
      <c r="G158" s="126" t="s">
        <v>175</v>
      </c>
      <c r="H158" s="126" t="s">
        <v>176</v>
      </c>
      <c r="I158" s="126">
        <v>1</v>
      </c>
      <c r="J158" s="126" t="s">
        <v>184</v>
      </c>
      <c r="K158" s="126" t="s">
        <v>258</v>
      </c>
      <c r="L158" s="126" t="s">
        <v>1523</v>
      </c>
      <c r="M158" s="126">
        <v>0</v>
      </c>
      <c r="N158" s="126">
        <v>0</v>
      </c>
      <c r="O158" s="126" t="s">
        <v>1524</v>
      </c>
      <c r="P158" s="126" t="s">
        <v>171</v>
      </c>
      <c r="Q158" s="126" t="s">
        <v>459</v>
      </c>
      <c r="R158" s="126" t="s">
        <v>459</v>
      </c>
      <c r="S158" s="126" t="s">
        <v>460</v>
      </c>
      <c r="T158" s="126" t="s">
        <v>160</v>
      </c>
      <c r="U158" s="126"/>
      <c r="V158" s="128">
        <v>500000000</v>
      </c>
      <c r="W158" s="128">
        <v>500000000</v>
      </c>
      <c r="X158" s="126" t="s">
        <v>1209</v>
      </c>
      <c r="Y158" s="126">
        <v>0</v>
      </c>
      <c r="Z158" s="126">
        <v>0</v>
      </c>
      <c r="AA158" s="126" t="s">
        <v>0</v>
      </c>
      <c r="AB158" s="126" t="s">
        <v>161</v>
      </c>
      <c r="AC158" s="126" t="s">
        <v>162</v>
      </c>
      <c r="AD158" s="126"/>
      <c r="AE158" s="126"/>
      <c r="AF158" s="126"/>
      <c r="AG158" s="126"/>
      <c r="AH158" s="126" t="s">
        <v>578</v>
      </c>
      <c r="AI158" s="126" t="s">
        <v>1526</v>
      </c>
    </row>
    <row r="159" spans="1:35" ht="135" x14ac:dyDescent="0.25">
      <c r="A159" s="46" t="str">
        <f t="shared" si="2"/>
        <v>CALICRD024842CADENASBPO</v>
      </c>
      <c r="B159" s="126" t="s">
        <v>6</v>
      </c>
      <c r="C159" s="126">
        <v>52315</v>
      </c>
      <c r="D159" s="126" t="s">
        <v>140</v>
      </c>
      <c r="E159" s="126" t="s">
        <v>177</v>
      </c>
      <c r="F159" s="127">
        <v>44529</v>
      </c>
      <c r="G159" s="126" t="s">
        <v>175</v>
      </c>
      <c r="H159" s="126" t="s">
        <v>176</v>
      </c>
      <c r="I159" s="126">
        <v>1</v>
      </c>
      <c r="J159" s="126" t="s">
        <v>184</v>
      </c>
      <c r="K159" s="126" t="s">
        <v>258</v>
      </c>
      <c r="L159" s="126" t="s">
        <v>1523</v>
      </c>
      <c r="M159" s="126">
        <v>0</v>
      </c>
      <c r="N159" s="126">
        <v>0</v>
      </c>
      <c r="O159" s="126" t="s">
        <v>1524</v>
      </c>
      <c r="P159" s="126" t="s">
        <v>171</v>
      </c>
      <c r="Q159" s="126" t="s">
        <v>459</v>
      </c>
      <c r="R159" s="126" t="s">
        <v>459</v>
      </c>
      <c r="S159" s="126" t="s">
        <v>460</v>
      </c>
      <c r="T159" s="126" t="s">
        <v>160</v>
      </c>
      <c r="U159" s="126"/>
      <c r="V159" s="128">
        <v>1000000000</v>
      </c>
      <c r="W159" s="128">
        <v>1000000000</v>
      </c>
      <c r="X159" s="126" t="s">
        <v>1209</v>
      </c>
      <c r="Y159" s="126">
        <v>0</v>
      </c>
      <c r="Z159" s="126">
        <v>0</v>
      </c>
      <c r="AA159" s="126" t="s">
        <v>1</v>
      </c>
      <c r="AB159" s="126" t="s">
        <v>161</v>
      </c>
      <c r="AC159" s="126" t="s">
        <v>162</v>
      </c>
      <c r="AD159" s="126"/>
      <c r="AE159" s="126"/>
      <c r="AF159" s="126"/>
      <c r="AG159" s="126"/>
      <c r="AH159" s="126" t="s">
        <v>578</v>
      </c>
      <c r="AI159" s="126" t="s">
        <v>1527</v>
      </c>
    </row>
    <row r="160" spans="1:35" ht="135" x14ac:dyDescent="0.25">
      <c r="A160" s="46" t="str">
        <f t="shared" si="2"/>
        <v>CALICRD024843CADENASBPO</v>
      </c>
      <c r="B160" s="126" t="s">
        <v>6</v>
      </c>
      <c r="C160" s="126">
        <v>52315</v>
      </c>
      <c r="D160" s="126" t="s">
        <v>140</v>
      </c>
      <c r="E160" s="126" t="s">
        <v>177</v>
      </c>
      <c r="F160" s="127">
        <v>44529</v>
      </c>
      <c r="G160" s="126" t="s">
        <v>175</v>
      </c>
      <c r="H160" s="126" t="s">
        <v>176</v>
      </c>
      <c r="I160" s="126">
        <v>1</v>
      </c>
      <c r="J160" s="126" t="s">
        <v>184</v>
      </c>
      <c r="K160" s="126" t="s">
        <v>258</v>
      </c>
      <c r="L160" s="126" t="s">
        <v>1523</v>
      </c>
      <c r="M160" s="126">
        <v>0</v>
      </c>
      <c r="N160" s="126">
        <v>0</v>
      </c>
      <c r="O160" s="126" t="s">
        <v>1524</v>
      </c>
      <c r="P160" s="126" t="s">
        <v>171</v>
      </c>
      <c r="Q160" s="126" t="s">
        <v>463</v>
      </c>
      <c r="R160" s="126" t="s">
        <v>463</v>
      </c>
      <c r="S160" s="126" t="s">
        <v>1214</v>
      </c>
      <c r="T160" s="126" t="s">
        <v>160</v>
      </c>
      <c r="U160" s="126"/>
      <c r="V160" s="128">
        <v>1000000000</v>
      </c>
      <c r="W160" s="128">
        <v>1000000000</v>
      </c>
      <c r="X160" s="126" t="s">
        <v>1209</v>
      </c>
      <c r="Y160" s="126">
        <v>0</v>
      </c>
      <c r="Z160" s="126">
        <v>0</v>
      </c>
      <c r="AA160" s="126" t="s">
        <v>1</v>
      </c>
      <c r="AB160" s="126" t="s">
        <v>161</v>
      </c>
      <c r="AC160" s="126" t="s">
        <v>162</v>
      </c>
      <c r="AD160" s="126"/>
      <c r="AE160" s="126"/>
      <c r="AF160" s="126"/>
      <c r="AG160" s="126"/>
      <c r="AH160" s="126" t="s">
        <v>578</v>
      </c>
      <c r="AI160" s="126" t="s">
        <v>1528</v>
      </c>
    </row>
    <row r="161" spans="1:35" ht="135" x14ac:dyDescent="0.25">
      <c r="A161" s="46" t="str">
        <f t="shared" si="2"/>
        <v>CALICRD024844AUTOSERVICIOBPO</v>
      </c>
      <c r="B161" s="126" t="s">
        <v>6</v>
      </c>
      <c r="C161" s="126">
        <v>52315</v>
      </c>
      <c r="D161" s="126" t="s">
        <v>140</v>
      </c>
      <c r="E161" s="126" t="s">
        <v>177</v>
      </c>
      <c r="F161" s="127">
        <v>44529</v>
      </c>
      <c r="G161" s="126" t="s">
        <v>175</v>
      </c>
      <c r="H161" s="126" t="s">
        <v>176</v>
      </c>
      <c r="I161" s="126">
        <v>1</v>
      </c>
      <c r="J161" s="126" t="s">
        <v>184</v>
      </c>
      <c r="K161" s="126" t="s">
        <v>258</v>
      </c>
      <c r="L161" s="126" t="s">
        <v>1523</v>
      </c>
      <c r="M161" s="126">
        <v>0</v>
      </c>
      <c r="N161" s="126">
        <v>0</v>
      </c>
      <c r="O161" s="126" t="s">
        <v>1524</v>
      </c>
      <c r="P161" s="126" t="s">
        <v>171</v>
      </c>
      <c r="Q161" s="126" t="s">
        <v>461</v>
      </c>
      <c r="R161" s="126" t="s">
        <v>461</v>
      </c>
      <c r="S161" s="126" t="s">
        <v>462</v>
      </c>
      <c r="T161" s="126" t="s">
        <v>160</v>
      </c>
      <c r="U161" s="126"/>
      <c r="V161" s="128">
        <v>500000000</v>
      </c>
      <c r="W161" s="128">
        <v>500000000</v>
      </c>
      <c r="X161" s="126" t="s">
        <v>1209</v>
      </c>
      <c r="Y161" s="126">
        <v>0</v>
      </c>
      <c r="Z161" s="126">
        <v>0</v>
      </c>
      <c r="AA161" s="126" t="s">
        <v>0</v>
      </c>
      <c r="AB161" s="126" t="s">
        <v>161</v>
      </c>
      <c r="AC161" s="126" t="s">
        <v>162</v>
      </c>
      <c r="AD161" s="126"/>
      <c r="AE161" s="126"/>
      <c r="AF161" s="126"/>
      <c r="AG161" s="126"/>
      <c r="AH161" s="126" t="s">
        <v>578</v>
      </c>
      <c r="AI161" s="126" t="s">
        <v>1529</v>
      </c>
    </row>
    <row r="162" spans="1:35" ht="135" x14ac:dyDescent="0.25">
      <c r="A162" s="46" t="str">
        <f t="shared" si="2"/>
        <v>CALICRD024844CADENASBPO</v>
      </c>
      <c r="B162" s="126" t="s">
        <v>6</v>
      </c>
      <c r="C162" s="126">
        <v>52315</v>
      </c>
      <c r="D162" s="126" t="s">
        <v>140</v>
      </c>
      <c r="E162" s="126" t="s">
        <v>177</v>
      </c>
      <c r="F162" s="127">
        <v>44529</v>
      </c>
      <c r="G162" s="126" t="s">
        <v>175</v>
      </c>
      <c r="H162" s="126" t="s">
        <v>176</v>
      </c>
      <c r="I162" s="126">
        <v>1</v>
      </c>
      <c r="J162" s="126" t="s">
        <v>184</v>
      </c>
      <c r="K162" s="126" t="s">
        <v>258</v>
      </c>
      <c r="L162" s="126" t="s">
        <v>1523</v>
      </c>
      <c r="M162" s="126">
        <v>0</v>
      </c>
      <c r="N162" s="126">
        <v>0</v>
      </c>
      <c r="O162" s="126" t="s">
        <v>1524</v>
      </c>
      <c r="P162" s="126" t="s">
        <v>171</v>
      </c>
      <c r="Q162" s="126" t="s">
        <v>461</v>
      </c>
      <c r="R162" s="126" t="s">
        <v>461</v>
      </c>
      <c r="S162" s="126" t="s">
        <v>462</v>
      </c>
      <c r="T162" s="126" t="s">
        <v>160</v>
      </c>
      <c r="U162" s="126"/>
      <c r="V162" s="128">
        <v>1000000000</v>
      </c>
      <c r="W162" s="128">
        <v>1000000000</v>
      </c>
      <c r="X162" s="126" t="s">
        <v>1209</v>
      </c>
      <c r="Y162" s="126">
        <v>0</v>
      </c>
      <c r="Z162" s="126">
        <v>0</v>
      </c>
      <c r="AA162" s="126" t="s">
        <v>1</v>
      </c>
      <c r="AB162" s="126" t="s">
        <v>161</v>
      </c>
      <c r="AC162" s="126" t="s">
        <v>162</v>
      </c>
      <c r="AD162" s="126"/>
      <c r="AE162" s="126"/>
      <c r="AF162" s="126"/>
      <c r="AG162" s="126"/>
      <c r="AH162" s="126" t="s">
        <v>578</v>
      </c>
      <c r="AI162" s="126" t="s">
        <v>1530</v>
      </c>
    </row>
    <row r="163" spans="1:35" ht="135" x14ac:dyDescent="0.25">
      <c r="A163" s="46" t="str">
        <f t="shared" si="2"/>
        <v>CALICRD024845AUTOSERVICIOBPO</v>
      </c>
      <c r="B163" s="126" t="s">
        <v>6</v>
      </c>
      <c r="C163" s="126">
        <v>52315</v>
      </c>
      <c r="D163" s="126" t="s">
        <v>140</v>
      </c>
      <c r="E163" s="126" t="s">
        <v>177</v>
      </c>
      <c r="F163" s="127">
        <v>44529</v>
      </c>
      <c r="G163" s="126" t="s">
        <v>175</v>
      </c>
      <c r="H163" s="126" t="s">
        <v>176</v>
      </c>
      <c r="I163" s="126">
        <v>1</v>
      </c>
      <c r="J163" s="126" t="s">
        <v>184</v>
      </c>
      <c r="K163" s="126" t="s">
        <v>258</v>
      </c>
      <c r="L163" s="126" t="s">
        <v>1523</v>
      </c>
      <c r="M163" s="126">
        <v>0</v>
      </c>
      <c r="N163" s="126">
        <v>0</v>
      </c>
      <c r="O163" s="126" t="s">
        <v>1524</v>
      </c>
      <c r="P163" s="126" t="s">
        <v>171</v>
      </c>
      <c r="Q163" s="126" t="s">
        <v>464</v>
      </c>
      <c r="R163" s="126" t="s">
        <v>464</v>
      </c>
      <c r="S163" s="126" t="s">
        <v>465</v>
      </c>
      <c r="T163" s="126" t="s">
        <v>160</v>
      </c>
      <c r="U163" s="126"/>
      <c r="V163" s="128">
        <v>500000000</v>
      </c>
      <c r="W163" s="128">
        <v>500000000</v>
      </c>
      <c r="X163" s="126" t="s">
        <v>1209</v>
      </c>
      <c r="Y163" s="126">
        <v>0</v>
      </c>
      <c r="Z163" s="126">
        <v>0</v>
      </c>
      <c r="AA163" s="126" t="s">
        <v>0</v>
      </c>
      <c r="AB163" s="126" t="s">
        <v>161</v>
      </c>
      <c r="AC163" s="126" t="s">
        <v>162</v>
      </c>
      <c r="AD163" s="126"/>
      <c r="AE163" s="126"/>
      <c r="AF163" s="126"/>
      <c r="AG163" s="126"/>
      <c r="AH163" s="126" t="s">
        <v>578</v>
      </c>
      <c r="AI163" s="126" t="s">
        <v>1531</v>
      </c>
    </row>
    <row r="164" spans="1:35" ht="135" x14ac:dyDescent="0.25">
      <c r="A164" s="46" t="str">
        <f t="shared" si="2"/>
        <v>CALICRD024845CADENASBPO</v>
      </c>
      <c r="B164" s="126" t="s">
        <v>6</v>
      </c>
      <c r="C164" s="126">
        <v>52315</v>
      </c>
      <c r="D164" s="126" t="s">
        <v>140</v>
      </c>
      <c r="E164" s="126" t="s">
        <v>177</v>
      </c>
      <c r="F164" s="127">
        <v>44529</v>
      </c>
      <c r="G164" s="126" t="s">
        <v>175</v>
      </c>
      <c r="H164" s="126" t="s">
        <v>176</v>
      </c>
      <c r="I164" s="126">
        <v>1</v>
      </c>
      <c r="J164" s="126" t="s">
        <v>184</v>
      </c>
      <c r="K164" s="126" t="s">
        <v>258</v>
      </c>
      <c r="L164" s="126" t="s">
        <v>1523</v>
      </c>
      <c r="M164" s="126">
        <v>0</v>
      </c>
      <c r="N164" s="126">
        <v>0</v>
      </c>
      <c r="O164" s="126" t="s">
        <v>1524</v>
      </c>
      <c r="P164" s="126" t="s">
        <v>171</v>
      </c>
      <c r="Q164" s="126" t="s">
        <v>464</v>
      </c>
      <c r="R164" s="126" t="s">
        <v>464</v>
      </c>
      <c r="S164" s="126" t="s">
        <v>465</v>
      </c>
      <c r="T164" s="126" t="s">
        <v>160</v>
      </c>
      <c r="U164" s="126"/>
      <c r="V164" s="128">
        <v>1000000000</v>
      </c>
      <c r="W164" s="128">
        <v>1000000000</v>
      </c>
      <c r="X164" s="126" t="s">
        <v>1209</v>
      </c>
      <c r="Y164" s="126">
        <v>0</v>
      </c>
      <c r="Z164" s="126">
        <v>0</v>
      </c>
      <c r="AA164" s="126" t="s">
        <v>1</v>
      </c>
      <c r="AB164" s="126" t="s">
        <v>161</v>
      </c>
      <c r="AC164" s="126" t="s">
        <v>162</v>
      </c>
      <c r="AD164" s="126"/>
      <c r="AE164" s="126"/>
      <c r="AF164" s="126"/>
      <c r="AG164" s="126"/>
      <c r="AH164" s="126" t="s">
        <v>578</v>
      </c>
      <c r="AI164" s="126" t="s">
        <v>1532</v>
      </c>
    </row>
    <row r="165" spans="1:35" ht="165" x14ac:dyDescent="0.25">
      <c r="A165" s="46" t="str">
        <f t="shared" si="2"/>
        <v>CALICRD022322AUTOSERVICIOBPO</v>
      </c>
      <c r="B165" s="126" t="s">
        <v>6</v>
      </c>
      <c r="C165" s="126">
        <v>52358</v>
      </c>
      <c r="D165" s="126" t="s">
        <v>140</v>
      </c>
      <c r="E165" s="126" t="s">
        <v>177</v>
      </c>
      <c r="F165" s="127">
        <v>44530</v>
      </c>
      <c r="G165" s="126" t="s">
        <v>175</v>
      </c>
      <c r="H165" s="126" t="s">
        <v>176</v>
      </c>
      <c r="I165" s="126">
        <v>1</v>
      </c>
      <c r="J165" s="126" t="s">
        <v>184</v>
      </c>
      <c r="K165" s="126" t="s">
        <v>258</v>
      </c>
      <c r="L165" s="126" t="s">
        <v>1533</v>
      </c>
      <c r="M165" s="126">
        <v>0</v>
      </c>
      <c r="N165" s="126">
        <v>0</v>
      </c>
      <c r="O165" s="126" t="s">
        <v>1534</v>
      </c>
      <c r="P165" s="126" t="s">
        <v>171</v>
      </c>
      <c r="Q165" s="126" t="s">
        <v>398</v>
      </c>
      <c r="R165" s="126" t="s">
        <v>398</v>
      </c>
      <c r="S165" s="126" t="s">
        <v>399</v>
      </c>
      <c r="T165" s="126" t="s">
        <v>163</v>
      </c>
      <c r="U165" s="126"/>
      <c r="V165" s="128">
        <v>75000000</v>
      </c>
      <c r="W165" s="128">
        <v>75000000</v>
      </c>
      <c r="X165" s="126" t="s">
        <v>1209</v>
      </c>
      <c r="Y165" s="126">
        <v>0</v>
      </c>
      <c r="Z165" s="126">
        <v>0</v>
      </c>
      <c r="AA165" s="126" t="s">
        <v>0</v>
      </c>
      <c r="AB165" s="126" t="s">
        <v>161</v>
      </c>
      <c r="AC165" s="126" t="s">
        <v>162</v>
      </c>
      <c r="AD165" s="126"/>
      <c r="AE165" s="126"/>
      <c r="AF165" s="126"/>
      <c r="AG165" s="126"/>
      <c r="AH165" s="126" t="s">
        <v>578</v>
      </c>
      <c r="AI165" s="126" t="s">
        <v>1535</v>
      </c>
    </row>
    <row r="166" spans="1:35" ht="150" x14ac:dyDescent="0.25">
      <c r="A166" s="46" t="str">
        <f t="shared" si="2"/>
        <v>CALICRD023535AUTOSERVICIONUTRESA</v>
      </c>
      <c r="B166" s="126" t="s">
        <v>6</v>
      </c>
      <c r="C166" s="126">
        <v>52385</v>
      </c>
      <c r="D166" s="126" t="s">
        <v>140</v>
      </c>
      <c r="E166" s="126" t="s">
        <v>177</v>
      </c>
      <c r="F166" s="127">
        <v>44531</v>
      </c>
      <c r="G166" s="126" t="s">
        <v>175</v>
      </c>
      <c r="H166" s="126" t="s">
        <v>176</v>
      </c>
      <c r="I166" s="126">
        <v>1</v>
      </c>
      <c r="J166" s="126" t="s">
        <v>184</v>
      </c>
      <c r="K166" s="126" t="s">
        <v>258</v>
      </c>
      <c r="L166" s="126" t="s">
        <v>1536</v>
      </c>
      <c r="M166" s="126">
        <v>0</v>
      </c>
      <c r="N166" s="126">
        <v>0</v>
      </c>
      <c r="O166" s="126" t="s">
        <v>1537</v>
      </c>
      <c r="P166" s="126" t="s">
        <v>170</v>
      </c>
      <c r="Q166" s="126" t="s">
        <v>245</v>
      </c>
      <c r="R166" s="126" t="s">
        <v>245</v>
      </c>
      <c r="S166" s="126" t="s">
        <v>257</v>
      </c>
      <c r="T166" s="126" t="s">
        <v>160</v>
      </c>
      <c r="U166" s="126"/>
      <c r="V166" s="128">
        <v>2000000</v>
      </c>
      <c r="W166" s="128">
        <v>2000000</v>
      </c>
      <c r="X166" s="126" t="s">
        <v>1209</v>
      </c>
      <c r="Y166" s="126">
        <v>0</v>
      </c>
      <c r="Z166" s="126">
        <v>0</v>
      </c>
      <c r="AA166" s="126" t="s">
        <v>0</v>
      </c>
      <c r="AB166" s="126" t="s">
        <v>140</v>
      </c>
      <c r="AC166" s="126" t="s">
        <v>162</v>
      </c>
      <c r="AD166" s="126"/>
      <c r="AE166" s="126"/>
      <c r="AF166" s="126"/>
      <c r="AG166" s="126"/>
      <c r="AH166" s="126" t="s">
        <v>578</v>
      </c>
      <c r="AI166" s="126" t="s">
        <v>1538</v>
      </c>
    </row>
    <row r="167" spans="1:35" ht="135" x14ac:dyDescent="0.25">
      <c r="A167" s="46" t="str">
        <f t="shared" si="2"/>
        <v>CALICRD025003CADENASBPO</v>
      </c>
      <c r="B167" s="126" t="s">
        <v>6</v>
      </c>
      <c r="C167" s="126">
        <v>52389</v>
      </c>
      <c r="D167" s="126" t="s">
        <v>140</v>
      </c>
      <c r="E167" s="126" t="s">
        <v>177</v>
      </c>
      <c r="F167" s="127">
        <v>44531</v>
      </c>
      <c r="G167" s="126" t="s">
        <v>175</v>
      </c>
      <c r="H167" s="126" t="s">
        <v>176</v>
      </c>
      <c r="I167" s="126">
        <v>1</v>
      </c>
      <c r="J167" s="126" t="s">
        <v>184</v>
      </c>
      <c r="K167" s="126" t="s">
        <v>258</v>
      </c>
      <c r="L167" s="126" t="s">
        <v>1539</v>
      </c>
      <c r="M167" s="126">
        <v>0</v>
      </c>
      <c r="N167" s="126">
        <v>0</v>
      </c>
      <c r="O167" s="126" t="s">
        <v>1540</v>
      </c>
      <c r="P167" s="126" t="s">
        <v>171</v>
      </c>
      <c r="Q167" s="126" t="s">
        <v>469</v>
      </c>
      <c r="R167" s="126" t="s">
        <v>469</v>
      </c>
      <c r="S167" s="126" t="s">
        <v>1231</v>
      </c>
      <c r="T167" s="126" t="s">
        <v>160</v>
      </c>
      <c r="U167" s="126"/>
      <c r="V167" s="128">
        <v>100000000</v>
      </c>
      <c r="W167" s="128">
        <v>100000000</v>
      </c>
      <c r="X167" s="126" t="s">
        <v>1209</v>
      </c>
      <c r="Y167" s="126">
        <v>0</v>
      </c>
      <c r="Z167" s="126">
        <v>0</v>
      </c>
      <c r="AA167" s="126" t="s">
        <v>1</v>
      </c>
      <c r="AB167" s="126" t="s">
        <v>161</v>
      </c>
      <c r="AC167" s="126" t="s">
        <v>162</v>
      </c>
      <c r="AD167" s="126"/>
      <c r="AE167" s="126"/>
      <c r="AF167" s="126"/>
      <c r="AG167" s="126"/>
      <c r="AH167" s="126" t="s">
        <v>578</v>
      </c>
      <c r="AI167" s="126" t="s">
        <v>1541</v>
      </c>
    </row>
    <row r="168" spans="1:35" ht="135" x14ac:dyDescent="0.25">
      <c r="A168" s="46" t="str">
        <f t="shared" si="2"/>
        <v>CALICRD024849AUTOSERVICIONUTRESA</v>
      </c>
      <c r="B168" s="126" t="s">
        <v>6</v>
      </c>
      <c r="C168" s="126">
        <v>52395</v>
      </c>
      <c r="D168" s="126" t="s">
        <v>140</v>
      </c>
      <c r="E168" s="126" t="s">
        <v>177</v>
      </c>
      <c r="F168" s="127">
        <v>44532</v>
      </c>
      <c r="G168" s="126" t="s">
        <v>175</v>
      </c>
      <c r="H168" s="126" t="s">
        <v>176</v>
      </c>
      <c r="I168" s="126">
        <v>1</v>
      </c>
      <c r="J168" s="126" t="s">
        <v>184</v>
      </c>
      <c r="K168" s="126" t="s">
        <v>258</v>
      </c>
      <c r="L168" s="126" t="s">
        <v>1542</v>
      </c>
      <c r="M168" s="126">
        <v>0</v>
      </c>
      <c r="N168" s="126">
        <v>0</v>
      </c>
      <c r="O168" s="126" t="s">
        <v>1543</v>
      </c>
      <c r="P168" s="126" t="s">
        <v>168</v>
      </c>
      <c r="Q168" s="126" t="s">
        <v>467</v>
      </c>
      <c r="R168" s="126" t="s">
        <v>467</v>
      </c>
      <c r="S168" s="126" t="s">
        <v>468</v>
      </c>
      <c r="T168" s="126" t="s">
        <v>160</v>
      </c>
      <c r="U168" s="126"/>
      <c r="V168" s="128">
        <v>15000000000</v>
      </c>
      <c r="W168" s="128">
        <v>15000000000</v>
      </c>
      <c r="X168" s="126" t="s">
        <v>1209</v>
      </c>
      <c r="Y168" s="126">
        <v>0</v>
      </c>
      <c r="Z168" s="126">
        <v>0</v>
      </c>
      <c r="AA168" s="126" t="s">
        <v>0</v>
      </c>
      <c r="AB168" s="126" t="s">
        <v>140</v>
      </c>
      <c r="AC168" s="126" t="s">
        <v>162</v>
      </c>
      <c r="AD168" s="126"/>
      <c r="AE168" s="126"/>
      <c r="AF168" s="126"/>
      <c r="AG168" s="126"/>
      <c r="AH168" s="126" t="s">
        <v>578</v>
      </c>
      <c r="AI168" s="126" t="s">
        <v>1544</v>
      </c>
    </row>
    <row r="169" spans="1:35" ht="105" x14ac:dyDescent="0.25">
      <c r="A169" s="46" t="str">
        <f t="shared" si="2"/>
        <v>CALIACT000225TRADICIONALNUTRESA</v>
      </c>
      <c r="B169" s="126" t="s">
        <v>6</v>
      </c>
      <c r="C169" s="126">
        <v>52396</v>
      </c>
      <c r="D169" s="126" t="s">
        <v>140</v>
      </c>
      <c r="E169" s="126" t="s">
        <v>177</v>
      </c>
      <c r="F169" s="127">
        <v>44532</v>
      </c>
      <c r="G169" s="126" t="s">
        <v>175</v>
      </c>
      <c r="H169" s="126" t="s">
        <v>176</v>
      </c>
      <c r="I169" s="126">
        <v>1</v>
      </c>
      <c r="J169" s="126" t="s">
        <v>184</v>
      </c>
      <c r="K169" s="126" t="s">
        <v>258</v>
      </c>
      <c r="L169" s="126" t="s">
        <v>1545</v>
      </c>
      <c r="M169" s="126">
        <v>0</v>
      </c>
      <c r="N169" s="126">
        <v>0</v>
      </c>
      <c r="O169" s="126" t="s">
        <v>1546</v>
      </c>
      <c r="P169" s="126" t="s">
        <v>170</v>
      </c>
      <c r="Q169" s="126" t="s">
        <v>136</v>
      </c>
      <c r="R169" s="126" t="s">
        <v>136</v>
      </c>
      <c r="S169" s="126" t="s">
        <v>173</v>
      </c>
      <c r="T169" s="126" t="s">
        <v>160</v>
      </c>
      <c r="U169" s="126" t="s">
        <v>136</v>
      </c>
      <c r="V169" s="128">
        <v>1000000</v>
      </c>
      <c r="W169" s="128">
        <v>1000000</v>
      </c>
      <c r="X169" s="126" t="s">
        <v>1209</v>
      </c>
      <c r="Y169" s="126">
        <v>130680</v>
      </c>
      <c r="Z169" s="126">
        <v>0</v>
      </c>
      <c r="AA169" s="126" t="s">
        <v>2</v>
      </c>
      <c r="AB169" s="126" t="s">
        <v>140</v>
      </c>
      <c r="AC169" s="126" t="s">
        <v>218</v>
      </c>
      <c r="AD169" s="126"/>
      <c r="AE169" s="126"/>
      <c r="AF169" s="126"/>
      <c r="AG169" s="126"/>
      <c r="AH169" s="126" t="s">
        <v>258</v>
      </c>
      <c r="AI169" s="126" t="s">
        <v>1547</v>
      </c>
    </row>
    <row r="170" spans="1:35" ht="90" x14ac:dyDescent="0.25">
      <c r="A170" s="46" t="str">
        <f t="shared" si="2"/>
        <v>CALIACT000035TRADICIONALNUTRESA</v>
      </c>
      <c r="B170" s="126" t="s">
        <v>6</v>
      </c>
      <c r="C170" s="126">
        <v>52429</v>
      </c>
      <c r="D170" s="126" t="s">
        <v>140</v>
      </c>
      <c r="E170" s="126" t="s">
        <v>177</v>
      </c>
      <c r="F170" s="127">
        <v>44533</v>
      </c>
      <c r="G170" s="126" t="s">
        <v>175</v>
      </c>
      <c r="H170" s="126" t="s">
        <v>176</v>
      </c>
      <c r="I170" s="126">
        <v>1</v>
      </c>
      <c r="J170" s="126" t="s">
        <v>184</v>
      </c>
      <c r="K170" s="126" t="s">
        <v>258</v>
      </c>
      <c r="L170" s="126" t="s">
        <v>1548</v>
      </c>
      <c r="M170" s="126">
        <v>0</v>
      </c>
      <c r="N170" s="126">
        <v>0</v>
      </c>
      <c r="O170" s="126" t="s">
        <v>1549</v>
      </c>
      <c r="P170" s="126" t="s">
        <v>170</v>
      </c>
      <c r="Q170" s="126" t="s">
        <v>132</v>
      </c>
      <c r="R170" s="126" t="s">
        <v>132</v>
      </c>
      <c r="S170" s="126" t="s">
        <v>209</v>
      </c>
      <c r="T170" s="126" t="s">
        <v>160</v>
      </c>
      <c r="U170" s="126"/>
      <c r="V170" s="128">
        <v>1000000</v>
      </c>
      <c r="W170" s="128">
        <v>1000000</v>
      </c>
      <c r="X170" s="126" t="s">
        <v>1209</v>
      </c>
      <c r="Y170" s="126">
        <v>62729</v>
      </c>
      <c r="Z170" s="126">
        <v>0</v>
      </c>
      <c r="AA170" s="126" t="s">
        <v>2</v>
      </c>
      <c r="AB170" s="126" t="s">
        <v>140</v>
      </c>
      <c r="AC170" s="126" t="s">
        <v>218</v>
      </c>
      <c r="AD170" s="126"/>
      <c r="AE170" s="126"/>
      <c r="AF170" s="126"/>
      <c r="AG170" s="126"/>
      <c r="AH170" s="126" t="s">
        <v>578</v>
      </c>
      <c r="AI170" s="126" t="s">
        <v>1550</v>
      </c>
    </row>
    <row r="171" spans="1:35" ht="150" x14ac:dyDescent="0.25">
      <c r="A171" s="46" t="str">
        <f t="shared" si="2"/>
        <v>CALICRD025004TRADICIONALNUTRESA</v>
      </c>
      <c r="B171" s="126" t="s">
        <v>6</v>
      </c>
      <c r="C171" s="126">
        <v>52556</v>
      </c>
      <c r="D171" s="126" t="s">
        <v>140</v>
      </c>
      <c r="E171" s="126" t="s">
        <v>177</v>
      </c>
      <c r="F171" s="127">
        <v>44541</v>
      </c>
      <c r="G171" s="126" t="s">
        <v>175</v>
      </c>
      <c r="H171" s="126" t="s">
        <v>176</v>
      </c>
      <c r="I171" s="126">
        <v>1</v>
      </c>
      <c r="J171" s="126" t="s">
        <v>184</v>
      </c>
      <c r="K171" s="126" t="s">
        <v>258</v>
      </c>
      <c r="L171" s="126" t="s">
        <v>1551</v>
      </c>
      <c r="M171" s="126">
        <v>0</v>
      </c>
      <c r="N171" s="126">
        <v>0</v>
      </c>
      <c r="O171" s="126" t="s">
        <v>1552</v>
      </c>
      <c r="P171" s="126" t="s">
        <v>171</v>
      </c>
      <c r="Q171" s="126" t="s">
        <v>485</v>
      </c>
      <c r="R171" s="126" t="s">
        <v>485</v>
      </c>
      <c r="S171" s="126" t="s">
        <v>1245</v>
      </c>
      <c r="T171" s="126" t="s">
        <v>160</v>
      </c>
      <c r="U171" s="126"/>
      <c r="V171" s="128">
        <v>80000000</v>
      </c>
      <c r="W171" s="128">
        <v>80000000</v>
      </c>
      <c r="X171" s="126" t="s">
        <v>1209</v>
      </c>
      <c r="Y171" s="126">
        <v>0</v>
      </c>
      <c r="Z171" s="126">
        <v>0</v>
      </c>
      <c r="AA171" s="126" t="s">
        <v>2</v>
      </c>
      <c r="AB171" s="126" t="s">
        <v>140</v>
      </c>
      <c r="AC171" s="126" t="s">
        <v>162</v>
      </c>
      <c r="AD171" s="126"/>
      <c r="AE171" s="126"/>
      <c r="AF171" s="126"/>
      <c r="AG171" s="126"/>
      <c r="AH171" s="126" t="s">
        <v>578</v>
      </c>
      <c r="AI171" s="126" t="s">
        <v>1553</v>
      </c>
    </row>
    <row r="172" spans="1:35" ht="135" x14ac:dyDescent="0.25">
      <c r="A172" s="46" t="str">
        <f t="shared" si="2"/>
        <v>CALICRD024971TRADICIONALNUTRESA</v>
      </c>
      <c r="B172" s="126" t="s">
        <v>6</v>
      </c>
      <c r="C172" s="126">
        <v>52583</v>
      </c>
      <c r="D172" s="126" t="s">
        <v>140</v>
      </c>
      <c r="E172" s="126" t="s">
        <v>177</v>
      </c>
      <c r="F172" s="127">
        <v>44543</v>
      </c>
      <c r="G172" s="126" t="s">
        <v>175</v>
      </c>
      <c r="H172" s="126" t="s">
        <v>176</v>
      </c>
      <c r="I172" s="126">
        <v>1</v>
      </c>
      <c r="J172" s="126" t="s">
        <v>184</v>
      </c>
      <c r="K172" s="126" t="s">
        <v>258</v>
      </c>
      <c r="L172" s="126" t="s">
        <v>1554</v>
      </c>
      <c r="M172" s="126">
        <v>0</v>
      </c>
      <c r="N172" s="126">
        <v>0</v>
      </c>
      <c r="O172" s="126" t="s">
        <v>1555</v>
      </c>
      <c r="P172" s="126" t="s">
        <v>170</v>
      </c>
      <c r="Q172" s="126" t="s">
        <v>555</v>
      </c>
      <c r="R172" s="126" t="s">
        <v>555</v>
      </c>
      <c r="S172" s="126" t="s">
        <v>556</v>
      </c>
      <c r="T172" s="126" t="s">
        <v>160</v>
      </c>
      <c r="U172" s="126"/>
      <c r="V172" s="128">
        <v>522000000</v>
      </c>
      <c r="W172" s="128">
        <v>522000000</v>
      </c>
      <c r="X172" s="126" t="s">
        <v>1209</v>
      </c>
      <c r="Y172" s="126">
        <v>0</v>
      </c>
      <c r="Z172" s="126">
        <v>0</v>
      </c>
      <c r="AA172" s="126" t="s">
        <v>2</v>
      </c>
      <c r="AB172" s="126" t="s">
        <v>140</v>
      </c>
      <c r="AC172" s="126" t="s">
        <v>162</v>
      </c>
      <c r="AD172" s="126"/>
      <c r="AE172" s="126"/>
      <c r="AF172" s="126"/>
      <c r="AG172" s="126"/>
      <c r="AH172" s="126" t="s">
        <v>237</v>
      </c>
      <c r="AI172" s="126" t="s">
        <v>1556</v>
      </c>
    </row>
    <row r="173" spans="1:35" ht="135" x14ac:dyDescent="0.25">
      <c r="A173" s="46" t="str">
        <f t="shared" si="2"/>
        <v>CALICRD025001AUTOSERVICIONUTRESA</v>
      </c>
      <c r="B173" s="126" t="s">
        <v>6</v>
      </c>
      <c r="C173" s="126">
        <v>52606</v>
      </c>
      <c r="D173" s="126" t="s">
        <v>140</v>
      </c>
      <c r="E173" s="126" t="s">
        <v>177</v>
      </c>
      <c r="F173" s="127">
        <v>44544</v>
      </c>
      <c r="G173" s="126" t="s">
        <v>175</v>
      </c>
      <c r="H173" s="126" t="s">
        <v>176</v>
      </c>
      <c r="I173" s="126">
        <v>1</v>
      </c>
      <c r="J173" s="126" t="s">
        <v>184</v>
      </c>
      <c r="K173" s="126" t="s">
        <v>258</v>
      </c>
      <c r="L173" s="126" t="s">
        <v>1557</v>
      </c>
      <c r="M173" s="126">
        <v>0</v>
      </c>
      <c r="N173" s="126">
        <v>0</v>
      </c>
      <c r="O173" s="126" t="s">
        <v>1558</v>
      </c>
      <c r="P173" s="126" t="s">
        <v>171</v>
      </c>
      <c r="Q173" s="126" t="s">
        <v>489</v>
      </c>
      <c r="R173" s="126" t="s">
        <v>489</v>
      </c>
      <c r="S173" s="126" t="s">
        <v>490</v>
      </c>
      <c r="T173" s="126" t="s">
        <v>160</v>
      </c>
      <c r="U173" s="126"/>
      <c r="V173" s="128">
        <v>90000000</v>
      </c>
      <c r="W173" s="128">
        <v>90000000</v>
      </c>
      <c r="X173" s="126" t="s">
        <v>1209</v>
      </c>
      <c r="Y173" s="126">
        <v>0</v>
      </c>
      <c r="Z173" s="126">
        <v>0</v>
      </c>
      <c r="AA173" s="126" t="s">
        <v>0</v>
      </c>
      <c r="AB173" s="126" t="s">
        <v>140</v>
      </c>
      <c r="AC173" s="126" t="s">
        <v>162</v>
      </c>
      <c r="AD173" s="126"/>
      <c r="AE173" s="126"/>
      <c r="AF173" s="126"/>
      <c r="AG173" s="126"/>
      <c r="AH173" s="126" t="s">
        <v>578</v>
      </c>
      <c r="AI173" s="126" t="s">
        <v>1559</v>
      </c>
    </row>
    <row r="174" spans="1:35" ht="135" x14ac:dyDescent="0.25">
      <c r="A174" s="46" t="str">
        <f t="shared" si="2"/>
        <v>CALICRD025002AUTOSERVICIONUTRESA</v>
      </c>
      <c r="B174" s="126" t="s">
        <v>6</v>
      </c>
      <c r="C174" s="126">
        <v>52606</v>
      </c>
      <c r="D174" s="126" t="s">
        <v>140</v>
      </c>
      <c r="E174" s="126" t="s">
        <v>177</v>
      </c>
      <c r="F174" s="127">
        <v>44544</v>
      </c>
      <c r="G174" s="126" t="s">
        <v>175</v>
      </c>
      <c r="H174" s="126" t="s">
        <v>176</v>
      </c>
      <c r="I174" s="126">
        <v>1</v>
      </c>
      <c r="J174" s="126" t="s">
        <v>184</v>
      </c>
      <c r="K174" s="126" t="s">
        <v>258</v>
      </c>
      <c r="L174" s="126" t="s">
        <v>1557</v>
      </c>
      <c r="M174" s="126">
        <v>0</v>
      </c>
      <c r="N174" s="126">
        <v>0</v>
      </c>
      <c r="O174" s="126" t="s">
        <v>1558</v>
      </c>
      <c r="P174" s="126" t="s">
        <v>171</v>
      </c>
      <c r="Q174" s="126" t="s">
        <v>491</v>
      </c>
      <c r="R174" s="126" t="s">
        <v>491</v>
      </c>
      <c r="S174" s="126" t="s">
        <v>492</v>
      </c>
      <c r="T174" s="126" t="s">
        <v>160</v>
      </c>
      <c r="U174" s="126"/>
      <c r="V174" s="128">
        <v>90000000</v>
      </c>
      <c r="W174" s="128">
        <v>90000000</v>
      </c>
      <c r="X174" s="126" t="s">
        <v>1209</v>
      </c>
      <c r="Y174" s="126">
        <v>0</v>
      </c>
      <c r="Z174" s="126">
        <v>0</v>
      </c>
      <c r="AA174" s="126" t="s">
        <v>0</v>
      </c>
      <c r="AB174" s="126" t="s">
        <v>140</v>
      </c>
      <c r="AC174" s="126" t="s">
        <v>162</v>
      </c>
      <c r="AD174" s="126"/>
      <c r="AE174" s="126"/>
      <c r="AF174" s="126"/>
      <c r="AG174" s="126"/>
      <c r="AH174" s="126" t="s">
        <v>578</v>
      </c>
      <c r="AI174" s="126" t="s">
        <v>1560</v>
      </c>
    </row>
    <row r="175" spans="1:35" ht="135" x14ac:dyDescent="0.25">
      <c r="A175" s="46" t="str">
        <f t="shared" si="2"/>
        <v>CALICRD025008TRADICIONALNUTRESA</v>
      </c>
      <c r="B175" s="126" t="s">
        <v>6</v>
      </c>
      <c r="C175" s="126">
        <v>52615</v>
      </c>
      <c r="D175" s="126" t="s">
        <v>140</v>
      </c>
      <c r="E175" s="126" t="s">
        <v>177</v>
      </c>
      <c r="F175" s="127">
        <v>44544</v>
      </c>
      <c r="G175" s="126" t="s">
        <v>175</v>
      </c>
      <c r="H175" s="126" t="s">
        <v>176</v>
      </c>
      <c r="I175" s="126">
        <v>1</v>
      </c>
      <c r="J175" s="126" t="s">
        <v>184</v>
      </c>
      <c r="K175" s="126" t="s">
        <v>258</v>
      </c>
      <c r="L175" s="126" t="s">
        <v>1561</v>
      </c>
      <c r="M175" s="126">
        <v>0</v>
      </c>
      <c r="N175" s="126">
        <v>0</v>
      </c>
      <c r="O175" s="126" t="s">
        <v>1562</v>
      </c>
      <c r="P175" s="126" t="s">
        <v>171</v>
      </c>
      <c r="Q175" s="126" t="s">
        <v>486</v>
      </c>
      <c r="R175" s="126" t="s">
        <v>486</v>
      </c>
      <c r="S175" s="126" t="s">
        <v>1251</v>
      </c>
      <c r="T175" s="126" t="s">
        <v>160</v>
      </c>
      <c r="U175" s="126"/>
      <c r="V175" s="128">
        <v>2000000000</v>
      </c>
      <c r="W175" s="128">
        <v>2000000000</v>
      </c>
      <c r="X175" s="126" t="s">
        <v>1209</v>
      </c>
      <c r="Y175" s="126">
        <v>0</v>
      </c>
      <c r="Z175" s="126">
        <v>0</v>
      </c>
      <c r="AA175" s="126" t="s">
        <v>2</v>
      </c>
      <c r="AB175" s="126" t="s">
        <v>140</v>
      </c>
      <c r="AC175" s="126" t="s">
        <v>162</v>
      </c>
      <c r="AD175" s="126"/>
      <c r="AE175" s="126"/>
      <c r="AF175" s="126"/>
      <c r="AG175" s="126"/>
      <c r="AH175" s="126" t="s">
        <v>578</v>
      </c>
      <c r="AI175" s="126" t="s">
        <v>1563</v>
      </c>
    </row>
    <row r="176" spans="1:35" ht="135" x14ac:dyDescent="0.25">
      <c r="A176" s="46" t="str">
        <f t="shared" si="2"/>
        <v>CALICRD025010TRADICIONALNUTRESA</v>
      </c>
      <c r="B176" s="126" t="s">
        <v>6</v>
      </c>
      <c r="C176" s="126">
        <v>52615</v>
      </c>
      <c r="D176" s="126" t="s">
        <v>140</v>
      </c>
      <c r="E176" s="126" t="s">
        <v>177</v>
      </c>
      <c r="F176" s="127">
        <v>44544</v>
      </c>
      <c r="G176" s="126" t="s">
        <v>175</v>
      </c>
      <c r="H176" s="126" t="s">
        <v>176</v>
      </c>
      <c r="I176" s="126">
        <v>1</v>
      </c>
      <c r="J176" s="126" t="s">
        <v>184</v>
      </c>
      <c r="K176" s="126" t="s">
        <v>258</v>
      </c>
      <c r="L176" s="126" t="s">
        <v>1561</v>
      </c>
      <c r="M176" s="126">
        <v>0</v>
      </c>
      <c r="N176" s="126">
        <v>0</v>
      </c>
      <c r="O176" s="126" t="s">
        <v>1562</v>
      </c>
      <c r="P176" s="126" t="s">
        <v>171</v>
      </c>
      <c r="Q176" s="126" t="s">
        <v>488</v>
      </c>
      <c r="R176" s="126" t="s">
        <v>488</v>
      </c>
      <c r="S176" s="126" t="s">
        <v>1255</v>
      </c>
      <c r="T176" s="126" t="s">
        <v>160</v>
      </c>
      <c r="U176" s="126"/>
      <c r="V176" s="128">
        <v>1000000000</v>
      </c>
      <c r="W176" s="128">
        <v>1000000000</v>
      </c>
      <c r="X176" s="126" t="s">
        <v>1209</v>
      </c>
      <c r="Y176" s="126">
        <v>0</v>
      </c>
      <c r="Z176" s="126">
        <v>0</v>
      </c>
      <c r="AA176" s="126" t="s">
        <v>2</v>
      </c>
      <c r="AB176" s="126" t="s">
        <v>140</v>
      </c>
      <c r="AC176" s="126" t="s">
        <v>162</v>
      </c>
      <c r="AD176" s="126"/>
      <c r="AE176" s="126"/>
      <c r="AF176" s="126"/>
      <c r="AG176" s="126"/>
      <c r="AH176" s="126" t="s">
        <v>578</v>
      </c>
      <c r="AI176" s="126" t="s">
        <v>1564</v>
      </c>
    </row>
    <row r="177" spans="1:35" ht="135" x14ac:dyDescent="0.25">
      <c r="A177" s="46" t="str">
        <f t="shared" si="2"/>
        <v>CALICRD025009TRADICIONALNUTRESA</v>
      </c>
      <c r="B177" s="126" t="s">
        <v>6</v>
      </c>
      <c r="C177" s="126">
        <v>52615</v>
      </c>
      <c r="D177" s="126" t="s">
        <v>140</v>
      </c>
      <c r="E177" s="126" t="s">
        <v>177</v>
      </c>
      <c r="F177" s="127">
        <v>44544</v>
      </c>
      <c r="G177" s="126" t="s">
        <v>175</v>
      </c>
      <c r="H177" s="126" t="s">
        <v>176</v>
      </c>
      <c r="I177" s="126">
        <v>1</v>
      </c>
      <c r="J177" s="126" t="s">
        <v>184</v>
      </c>
      <c r="K177" s="126" t="s">
        <v>258</v>
      </c>
      <c r="L177" s="126" t="s">
        <v>1561</v>
      </c>
      <c r="M177" s="126">
        <v>0</v>
      </c>
      <c r="N177" s="126">
        <v>0</v>
      </c>
      <c r="O177" s="126" t="s">
        <v>1562</v>
      </c>
      <c r="P177" s="126" t="s">
        <v>171</v>
      </c>
      <c r="Q177" s="126" t="s">
        <v>487</v>
      </c>
      <c r="R177" s="126" t="s">
        <v>487</v>
      </c>
      <c r="S177" s="126" t="s">
        <v>1253</v>
      </c>
      <c r="T177" s="126" t="s">
        <v>160</v>
      </c>
      <c r="U177" s="126"/>
      <c r="V177" s="128">
        <v>1400000000</v>
      </c>
      <c r="W177" s="128">
        <v>1400000000</v>
      </c>
      <c r="X177" s="126" t="s">
        <v>1209</v>
      </c>
      <c r="Y177" s="126">
        <v>0</v>
      </c>
      <c r="Z177" s="126">
        <v>0</v>
      </c>
      <c r="AA177" s="126" t="s">
        <v>2</v>
      </c>
      <c r="AB177" s="126" t="s">
        <v>140</v>
      </c>
      <c r="AC177" s="126" t="s">
        <v>162</v>
      </c>
      <c r="AD177" s="126"/>
      <c r="AE177" s="126"/>
      <c r="AF177" s="126"/>
      <c r="AG177" s="126"/>
      <c r="AH177" s="126" t="s">
        <v>578</v>
      </c>
      <c r="AI177" s="126" t="s">
        <v>1565</v>
      </c>
    </row>
    <row r="178" spans="1:35" ht="105" x14ac:dyDescent="0.25">
      <c r="A178" s="46" t="str">
        <f t="shared" si="2"/>
        <v>CALICRD018324AUTOSERVICIONUTRESA</v>
      </c>
      <c r="B178" s="126" t="s">
        <v>6</v>
      </c>
      <c r="C178" s="126">
        <v>52625</v>
      </c>
      <c r="D178" s="126" t="s">
        <v>140</v>
      </c>
      <c r="E178" s="126" t="s">
        <v>177</v>
      </c>
      <c r="F178" s="127">
        <v>44544</v>
      </c>
      <c r="G178" s="126" t="s">
        <v>175</v>
      </c>
      <c r="H178" s="126" t="s">
        <v>176</v>
      </c>
      <c r="I178" s="126">
        <v>1</v>
      </c>
      <c r="J178" s="126" t="s">
        <v>184</v>
      </c>
      <c r="K178" s="126" t="s">
        <v>258</v>
      </c>
      <c r="L178" s="126" t="s">
        <v>1566</v>
      </c>
      <c r="M178" s="126">
        <v>0</v>
      </c>
      <c r="N178" s="126">
        <v>0</v>
      </c>
      <c r="O178" s="126" t="s">
        <v>1567</v>
      </c>
      <c r="P178" s="126" t="s">
        <v>170</v>
      </c>
      <c r="Q178" s="126" t="s">
        <v>152</v>
      </c>
      <c r="R178" s="126" t="s">
        <v>152</v>
      </c>
      <c r="S178" s="126" t="s">
        <v>219</v>
      </c>
      <c r="T178" s="126" t="s">
        <v>160</v>
      </c>
      <c r="U178" s="126"/>
      <c r="V178" s="128">
        <v>1000000</v>
      </c>
      <c r="W178" s="128">
        <v>1000000</v>
      </c>
      <c r="X178" s="126" t="s">
        <v>1209</v>
      </c>
      <c r="Y178" s="126">
        <v>0</v>
      </c>
      <c r="Z178" s="126">
        <v>0</v>
      </c>
      <c r="AA178" s="126" t="s">
        <v>0</v>
      </c>
      <c r="AB178" s="126" t="s">
        <v>140</v>
      </c>
      <c r="AC178" s="126" t="s">
        <v>218</v>
      </c>
      <c r="AD178" s="126"/>
      <c r="AE178" s="126"/>
      <c r="AF178" s="126"/>
      <c r="AG178" s="126"/>
      <c r="AH178" s="126" t="s">
        <v>578</v>
      </c>
      <c r="AI178" s="126" t="s">
        <v>1568</v>
      </c>
    </row>
    <row r="179" spans="1:35" ht="105" x14ac:dyDescent="0.25">
      <c r="A179" s="46" t="str">
        <f t="shared" si="2"/>
        <v>CALICRD018325AUTOSERVICIONUTRESA</v>
      </c>
      <c r="B179" s="126" t="s">
        <v>6</v>
      </c>
      <c r="C179" s="126">
        <v>52625</v>
      </c>
      <c r="D179" s="126" t="s">
        <v>140</v>
      </c>
      <c r="E179" s="126" t="s">
        <v>177</v>
      </c>
      <c r="F179" s="127">
        <v>44544</v>
      </c>
      <c r="G179" s="126" t="s">
        <v>175</v>
      </c>
      <c r="H179" s="126" t="s">
        <v>176</v>
      </c>
      <c r="I179" s="126">
        <v>1</v>
      </c>
      <c r="J179" s="126" t="s">
        <v>184</v>
      </c>
      <c r="K179" s="126" t="s">
        <v>258</v>
      </c>
      <c r="L179" s="126" t="s">
        <v>1566</v>
      </c>
      <c r="M179" s="126">
        <v>0</v>
      </c>
      <c r="N179" s="126">
        <v>0</v>
      </c>
      <c r="O179" s="126" t="s">
        <v>1567</v>
      </c>
      <c r="P179" s="126" t="s">
        <v>170</v>
      </c>
      <c r="Q179" s="126" t="s">
        <v>151</v>
      </c>
      <c r="R179" s="126" t="s">
        <v>151</v>
      </c>
      <c r="S179" s="126" t="s">
        <v>217</v>
      </c>
      <c r="T179" s="126" t="s">
        <v>160</v>
      </c>
      <c r="U179" s="126"/>
      <c r="V179" s="128">
        <v>1000000</v>
      </c>
      <c r="W179" s="128">
        <v>1000000</v>
      </c>
      <c r="X179" s="126" t="s">
        <v>1209</v>
      </c>
      <c r="Y179" s="126">
        <v>0</v>
      </c>
      <c r="Z179" s="126">
        <v>0</v>
      </c>
      <c r="AA179" s="126" t="s">
        <v>0</v>
      </c>
      <c r="AB179" s="126" t="s">
        <v>140</v>
      </c>
      <c r="AC179" s="126" t="s">
        <v>218</v>
      </c>
      <c r="AD179" s="126"/>
      <c r="AE179" s="126"/>
      <c r="AF179" s="126"/>
      <c r="AG179" s="126"/>
      <c r="AH179" s="126" t="s">
        <v>578</v>
      </c>
      <c r="AI179" s="126" t="s">
        <v>1569</v>
      </c>
    </row>
    <row r="180" spans="1:35" ht="150" x14ac:dyDescent="0.25">
      <c r="A180" s="46" t="str">
        <f t="shared" si="2"/>
        <v>CALICRD025006TRADICIONALNUTRESA</v>
      </c>
      <c r="B180" s="126" t="s">
        <v>6</v>
      </c>
      <c r="C180" s="126">
        <v>52634</v>
      </c>
      <c r="D180" s="126" t="s">
        <v>140</v>
      </c>
      <c r="E180" s="126" t="s">
        <v>177</v>
      </c>
      <c r="F180" s="127">
        <v>44545</v>
      </c>
      <c r="G180" s="126" t="s">
        <v>175</v>
      </c>
      <c r="H180" s="126" t="s">
        <v>176</v>
      </c>
      <c r="I180" s="126">
        <v>1</v>
      </c>
      <c r="J180" s="126" t="s">
        <v>184</v>
      </c>
      <c r="K180" s="126" t="s">
        <v>258</v>
      </c>
      <c r="L180" s="126" t="s">
        <v>1570</v>
      </c>
      <c r="M180" s="126">
        <v>0</v>
      </c>
      <c r="N180" s="126">
        <v>0</v>
      </c>
      <c r="O180" s="126" t="s">
        <v>1571</v>
      </c>
      <c r="P180" s="126" t="s">
        <v>171</v>
      </c>
      <c r="Q180" s="126" t="s">
        <v>579</v>
      </c>
      <c r="R180" s="126" t="s">
        <v>579</v>
      </c>
      <c r="S180" s="126" t="s">
        <v>1266</v>
      </c>
      <c r="T180" s="126" t="s">
        <v>160</v>
      </c>
      <c r="U180" s="126"/>
      <c r="V180" s="128">
        <v>79000000</v>
      </c>
      <c r="W180" s="128">
        <v>79000000</v>
      </c>
      <c r="X180" s="126" t="s">
        <v>1209</v>
      </c>
      <c r="Y180" s="126">
        <v>0</v>
      </c>
      <c r="Z180" s="126">
        <v>0</v>
      </c>
      <c r="AA180" s="126" t="s">
        <v>2</v>
      </c>
      <c r="AB180" s="126" t="s">
        <v>140</v>
      </c>
      <c r="AC180" s="126" t="s">
        <v>162</v>
      </c>
      <c r="AD180" s="126"/>
      <c r="AE180" s="126"/>
      <c r="AF180" s="126"/>
      <c r="AG180" s="126"/>
      <c r="AH180" s="126" t="s">
        <v>578</v>
      </c>
      <c r="AI180" s="126" t="s">
        <v>1572</v>
      </c>
    </row>
    <row r="181" spans="1:35" ht="150" x14ac:dyDescent="0.25">
      <c r="A181" s="46" t="str">
        <f t="shared" si="2"/>
        <v>CALICRD018765CADENASBPO</v>
      </c>
      <c r="B181" s="126" t="s">
        <v>6</v>
      </c>
      <c r="C181" s="126">
        <v>52635</v>
      </c>
      <c r="D181" s="126" t="s">
        <v>140</v>
      </c>
      <c r="E181" s="126" t="s">
        <v>177</v>
      </c>
      <c r="F181" s="127">
        <v>44545</v>
      </c>
      <c r="G181" s="126" t="s">
        <v>175</v>
      </c>
      <c r="H181" s="126" t="s">
        <v>176</v>
      </c>
      <c r="I181" s="126">
        <v>1</v>
      </c>
      <c r="J181" s="126" t="s">
        <v>184</v>
      </c>
      <c r="K181" s="126" t="s">
        <v>258</v>
      </c>
      <c r="L181" s="126" t="s">
        <v>1573</v>
      </c>
      <c r="M181" s="126">
        <v>0</v>
      </c>
      <c r="N181" s="126">
        <v>0</v>
      </c>
      <c r="O181" s="126" t="s">
        <v>1574</v>
      </c>
      <c r="P181" s="126" t="s">
        <v>168</v>
      </c>
      <c r="Q181" s="126" t="s">
        <v>401</v>
      </c>
      <c r="R181" s="126" t="s">
        <v>401</v>
      </c>
      <c r="S181" s="126" t="s">
        <v>402</v>
      </c>
      <c r="T181" s="126" t="s">
        <v>160</v>
      </c>
      <c r="U181" s="126" t="s">
        <v>401</v>
      </c>
      <c r="V181" s="128">
        <v>50000000</v>
      </c>
      <c r="W181" s="128">
        <v>50000000</v>
      </c>
      <c r="X181" s="126" t="s">
        <v>1209</v>
      </c>
      <c r="Y181" s="126">
        <v>0</v>
      </c>
      <c r="Z181" s="126">
        <v>0</v>
      </c>
      <c r="AA181" s="126" t="s">
        <v>1</v>
      </c>
      <c r="AB181" s="126" t="s">
        <v>161</v>
      </c>
      <c r="AC181" s="126" t="s">
        <v>162</v>
      </c>
      <c r="AD181" s="126"/>
      <c r="AE181" s="126"/>
      <c r="AF181" s="126"/>
      <c r="AG181" s="126"/>
      <c r="AH181" s="126" t="s">
        <v>578</v>
      </c>
      <c r="AI181" s="126" t="s">
        <v>1575</v>
      </c>
    </row>
    <row r="182" spans="1:35" ht="135" x14ac:dyDescent="0.25">
      <c r="A182" s="46" t="str">
        <f t="shared" si="2"/>
        <v>CALICRD025023AUTOSERVICIONUTRESA</v>
      </c>
      <c r="B182" s="126" t="s">
        <v>6</v>
      </c>
      <c r="C182" s="126">
        <v>52696</v>
      </c>
      <c r="D182" s="126" t="s">
        <v>140</v>
      </c>
      <c r="E182" s="126" t="s">
        <v>177</v>
      </c>
      <c r="F182" s="127">
        <v>44546</v>
      </c>
      <c r="G182" s="126" t="s">
        <v>175</v>
      </c>
      <c r="H182" s="126" t="s">
        <v>176</v>
      </c>
      <c r="I182" s="126">
        <v>1</v>
      </c>
      <c r="J182" s="126" t="s">
        <v>184</v>
      </c>
      <c r="K182" s="126" t="s">
        <v>258</v>
      </c>
      <c r="L182" s="126" t="s">
        <v>1576</v>
      </c>
      <c r="M182" s="126">
        <v>0</v>
      </c>
      <c r="N182" s="126">
        <v>0</v>
      </c>
      <c r="O182" s="126" t="s">
        <v>1577</v>
      </c>
      <c r="P182" s="126" t="s">
        <v>170</v>
      </c>
      <c r="Q182" s="126" t="s">
        <v>765</v>
      </c>
      <c r="R182" s="126" t="s">
        <v>765</v>
      </c>
      <c r="S182" s="126" t="s">
        <v>766</v>
      </c>
      <c r="T182" s="126" t="s">
        <v>160</v>
      </c>
      <c r="U182" s="126"/>
      <c r="V182" s="128">
        <v>40000000</v>
      </c>
      <c r="W182" s="128">
        <v>40000000</v>
      </c>
      <c r="X182" s="126" t="s">
        <v>1209</v>
      </c>
      <c r="Y182" s="126">
        <v>0</v>
      </c>
      <c r="Z182" s="126">
        <v>0</v>
      </c>
      <c r="AA182" s="126" t="s">
        <v>0</v>
      </c>
      <c r="AB182" s="126" t="s">
        <v>140</v>
      </c>
      <c r="AC182" s="126" t="s">
        <v>162</v>
      </c>
      <c r="AD182" s="126"/>
      <c r="AE182" s="126"/>
      <c r="AF182" s="126"/>
      <c r="AG182" s="126"/>
      <c r="AH182" s="126" t="s">
        <v>578</v>
      </c>
      <c r="AI182" s="126" t="s">
        <v>1578</v>
      </c>
    </row>
    <row r="183" spans="1:35" ht="105" x14ac:dyDescent="0.25">
      <c r="A183" s="46" t="str">
        <f t="shared" si="2"/>
        <v>CALICRD016151CADENASBPO</v>
      </c>
      <c r="B183" s="126" t="s">
        <v>6</v>
      </c>
      <c r="C183" s="126">
        <v>52711</v>
      </c>
      <c r="D183" s="126" t="s">
        <v>140</v>
      </c>
      <c r="E183" s="126" t="s">
        <v>177</v>
      </c>
      <c r="F183" s="127">
        <v>44547</v>
      </c>
      <c r="G183" s="126" t="s">
        <v>175</v>
      </c>
      <c r="H183" s="126" t="s">
        <v>176</v>
      </c>
      <c r="I183" s="126">
        <v>1</v>
      </c>
      <c r="J183" s="126" t="s">
        <v>184</v>
      </c>
      <c r="K183" s="126" t="s">
        <v>258</v>
      </c>
      <c r="L183" s="126" t="s">
        <v>1579</v>
      </c>
      <c r="M183" s="126">
        <v>0</v>
      </c>
      <c r="N183" s="126">
        <v>0</v>
      </c>
      <c r="O183" s="126" t="s">
        <v>1580</v>
      </c>
      <c r="P183" s="126" t="s">
        <v>168</v>
      </c>
      <c r="Q183" s="126" t="s">
        <v>146</v>
      </c>
      <c r="R183" s="126" t="s">
        <v>146</v>
      </c>
      <c r="S183" s="126" t="s">
        <v>203</v>
      </c>
      <c r="T183" s="126" t="s">
        <v>160</v>
      </c>
      <c r="U183" s="126"/>
      <c r="V183" s="128">
        <v>5000000</v>
      </c>
      <c r="W183" s="128">
        <v>5000000</v>
      </c>
      <c r="X183" s="126" t="s">
        <v>1209</v>
      </c>
      <c r="Y183" s="126">
        <v>0</v>
      </c>
      <c r="Z183" s="126">
        <v>0</v>
      </c>
      <c r="AA183" s="126" t="s">
        <v>1</v>
      </c>
      <c r="AB183" s="126" t="s">
        <v>161</v>
      </c>
      <c r="AC183" s="126" t="s">
        <v>162</v>
      </c>
      <c r="AD183" s="126"/>
      <c r="AE183" s="126"/>
      <c r="AF183" s="126"/>
      <c r="AG183" s="126"/>
      <c r="AH183" s="126" t="s">
        <v>578</v>
      </c>
      <c r="AI183" s="126" t="s">
        <v>1581</v>
      </c>
    </row>
    <row r="184" spans="1:35" ht="105" x14ac:dyDescent="0.25">
      <c r="A184" s="46" t="str">
        <f t="shared" si="2"/>
        <v>CALICRD022670CADENASBPO</v>
      </c>
      <c r="B184" s="126" t="s">
        <v>6</v>
      </c>
      <c r="C184" s="126">
        <v>52711</v>
      </c>
      <c r="D184" s="126" t="s">
        <v>140</v>
      </c>
      <c r="E184" s="126" t="s">
        <v>177</v>
      </c>
      <c r="F184" s="127">
        <v>44547</v>
      </c>
      <c r="G184" s="126" t="s">
        <v>175</v>
      </c>
      <c r="H184" s="126" t="s">
        <v>176</v>
      </c>
      <c r="I184" s="126">
        <v>1</v>
      </c>
      <c r="J184" s="126" t="s">
        <v>184</v>
      </c>
      <c r="K184" s="126" t="s">
        <v>258</v>
      </c>
      <c r="L184" s="126" t="s">
        <v>1579</v>
      </c>
      <c r="M184" s="126">
        <v>0</v>
      </c>
      <c r="N184" s="126">
        <v>0</v>
      </c>
      <c r="O184" s="126" t="s">
        <v>1580</v>
      </c>
      <c r="P184" s="126" t="s">
        <v>172</v>
      </c>
      <c r="Q184" s="126" t="s">
        <v>309</v>
      </c>
      <c r="R184" s="126" t="s">
        <v>309</v>
      </c>
      <c r="S184" s="126" t="s">
        <v>310</v>
      </c>
      <c r="T184" s="126" t="s">
        <v>160</v>
      </c>
      <c r="U184" s="126"/>
      <c r="V184" s="128">
        <v>1000000</v>
      </c>
      <c r="W184" s="128">
        <v>1000000</v>
      </c>
      <c r="X184" s="126" t="s">
        <v>1209</v>
      </c>
      <c r="Y184" s="126">
        <v>0</v>
      </c>
      <c r="Z184" s="126" t="s">
        <v>311</v>
      </c>
      <c r="AA184" s="126" t="s">
        <v>1</v>
      </c>
      <c r="AB184" s="126" t="s">
        <v>161</v>
      </c>
      <c r="AC184" s="126" t="s">
        <v>162</v>
      </c>
      <c r="AD184" s="127">
        <v>44714</v>
      </c>
      <c r="AE184" s="126"/>
      <c r="AF184" s="127">
        <v>44714</v>
      </c>
      <c r="AG184" s="126"/>
      <c r="AH184" s="126" t="s">
        <v>578</v>
      </c>
      <c r="AI184" s="126" t="s">
        <v>1582</v>
      </c>
    </row>
    <row r="185" spans="1:35" ht="105" x14ac:dyDescent="0.25">
      <c r="A185" s="46" t="str">
        <f t="shared" si="2"/>
        <v>CALICRD014117CADENASBPO</v>
      </c>
      <c r="B185" s="126" t="s">
        <v>6</v>
      </c>
      <c r="C185" s="126">
        <v>52711</v>
      </c>
      <c r="D185" s="126" t="s">
        <v>140</v>
      </c>
      <c r="E185" s="126" t="s">
        <v>177</v>
      </c>
      <c r="F185" s="127">
        <v>44547</v>
      </c>
      <c r="G185" s="126" t="s">
        <v>175</v>
      </c>
      <c r="H185" s="126" t="s">
        <v>176</v>
      </c>
      <c r="I185" s="126">
        <v>1</v>
      </c>
      <c r="J185" s="126" t="s">
        <v>184</v>
      </c>
      <c r="K185" s="126" t="s">
        <v>258</v>
      </c>
      <c r="L185" s="126" t="s">
        <v>1579</v>
      </c>
      <c r="M185" s="126">
        <v>0</v>
      </c>
      <c r="N185" s="126">
        <v>0</v>
      </c>
      <c r="O185" s="126" t="s">
        <v>1580</v>
      </c>
      <c r="P185" s="126" t="s">
        <v>172</v>
      </c>
      <c r="Q185" s="126" t="s">
        <v>508</v>
      </c>
      <c r="R185" s="126" t="s">
        <v>508</v>
      </c>
      <c r="S185" s="126" t="s">
        <v>509</v>
      </c>
      <c r="T185" s="126" t="s">
        <v>160</v>
      </c>
      <c r="U185" s="126"/>
      <c r="V185" s="128">
        <v>5000000</v>
      </c>
      <c r="W185" s="128">
        <v>5000000</v>
      </c>
      <c r="X185" s="126" t="s">
        <v>1209</v>
      </c>
      <c r="Y185" s="126">
        <v>0</v>
      </c>
      <c r="Z185" s="126" t="s">
        <v>308</v>
      </c>
      <c r="AA185" s="126" t="s">
        <v>1</v>
      </c>
      <c r="AB185" s="126" t="s">
        <v>161</v>
      </c>
      <c r="AC185" s="126" t="s">
        <v>162</v>
      </c>
      <c r="AD185" s="127">
        <v>44694</v>
      </c>
      <c r="AE185" s="126"/>
      <c r="AF185" s="127">
        <v>44694</v>
      </c>
      <c r="AG185" s="126"/>
      <c r="AH185" s="126" t="s">
        <v>578</v>
      </c>
      <c r="AI185" s="126" t="s">
        <v>1583</v>
      </c>
    </row>
    <row r="186" spans="1:35" ht="105" x14ac:dyDescent="0.25">
      <c r="A186" s="46" t="str">
        <f t="shared" si="2"/>
        <v>CALICRD025003CADENASBPO</v>
      </c>
      <c r="B186" s="126" t="s">
        <v>6</v>
      </c>
      <c r="C186" s="126">
        <v>52711</v>
      </c>
      <c r="D186" s="126" t="s">
        <v>140</v>
      </c>
      <c r="E186" s="126" t="s">
        <v>177</v>
      </c>
      <c r="F186" s="127">
        <v>44547</v>
      </c>
      <c r="G186" s="126" t="s">
        <v>175</v>
      </c>
      <c r="H186" s="126" t="s">
        <v>176</v>
      </c>
      <c r="I186" s="126">
        <v>1</v>
      </c>
      <c r="J186" s="126" t="s">
        <v>184</v>
      </c>
      <c r="K186" s="126" t="s">
        <v>258</v>
      </c>
      <c r="L186" s="126" t="s">
        <v>1579</v>
      </c>
      <c r="M186" s="126">
        <v>0</v>
      </c>
      <c r="N186" s="126">
        <v>0</v>
      </c>
      <c r="O186" s="126" t="s">
        <v>1580</v>
      </c>
      <c r="P186" s="126" t="s">
        <v>171</v>
      </c>
      <c r="Q186" s="126" t="s">
        <v>469</v>
      </c>
      <c r="R186" s="126" t="s">
        <v>469</v>
      </c>
      <c r="S186" s="126" t="s">
        <v>1231</v>
      </c>
      <c r="T186" s="126" t="s">
        <v>160</v>
      </c>
      <c r="U186" s="126"/>
      <c r="V186" s="128">
        <v>5000000</v>
      </c>
      <c r="W186" s="128">
        <v>5000000</v>
      </c>
      <c r="X186" s="126" t="s">
        <v>1209</v>
      </c>
      <c r="Y186" s="126">
        <v>0</v>
      </c>
      <c r="Z186" s="126">
        <v>0</v>
      </c>
      <c r="AA186" s="126" t="s">
        <v>1</v>
      </c>
      <c r="AB186" s="126" t="s">
        <v>161</v>
      </c>
      <c r="AC186" s="126" t="s">
        <v>162</v>
      </c>
      <c r="AD186" s="126"/>
      <c r="AE186" s="126"/>
      <c r="AF186" s="126"/>
      <c r="AG186" s="126"/>
      <c r="AH186" s="126" t="s">
        <v>578</v>
      </c>
      <c r="AI186" s="126" t="s">
        <v>1584</v>
      </c>
    </row>
    <row r="187" spans="1:35" ht="150" x14ac:dyDescent="0.25">
      <c r="A187" s="46" t="str">
        <f t="shared" si="2"/>
        <v>CALICRD024953CADENASNUTRESA</v>
      </c>
      <c r="B187" s="126" t="s">
        <v>6</v>
      </c>
      <c r="C187" s="126">
        <v>52713</v>
      </c>
      <c r="D187" s="126" t="s">
        <v>140</v>
      </c>
      <c r="E187" s="126" t="s">
        <v>177</v>
      </c>
      <c r="F187" s="127">
        <v>44547</v>
      </c>
      <c r="G187" s="126" t="s">
        <v>175</v>
      </c>
      <c r="H187" s="126" t="s">
        <v>176</v>
      </c>
      <c r="I187" s="126">
        <v>1</v>
      </c>
      <c r="J187" s="126" t="s">
        <v>184</v>
      </c>
      <c r="K187" s="126" t="s">
        <v>258</v>
      </c>
      <c r="L187" s="126" t="s">
        <v>1585</v>
      </c>
      <c r="M187" s="126">
        <v>0</v>
      </c>
      <c r="N187" s="126">
        <v>0</v>
      </c>
      <c r="O187" s="126" t="s">
        <v>1586</v>
      </c>
      <c r="P187" s="126" t="s">
        <v>170</v>
      </c>
      <c r="Q187" s="126" t="s">
        <v>450</v>
      </c>
      <c r="R187" s="126" t="s">
        <v>450</v>
      </c>
      <c r="S187" s="126" t="s">
        <v>451</v>
      </c>
      <c r="T187" s="126" t="s">
        <v>160</v>
      </c>
      <c r="U187" s="126"/>
      <c r="V187" s="128">
        <v>1000000</v>
      </c>
      <c r="W187" s="128">
        <v>1000000</v>
      </c>
      <c r="X187" s="126" t="s">
        <v>1209</v>
      </c>
      <c r="Y187" s="126">
        <v>0</v>
      </c>
      <c r="Z187" s="126">
        <v>0</v>
      </c>
      <c r="AA187" s="126" t="s">
        <v>1</v>
      </c>
      <c r="AB187" s="126" t="s">
        <v>140</v>
      </c>
      <c r="AC187" s="126" t="s">
        <v>165</v>
      </c>
      <c r="AD187" s="126"/>
      <c r="AE187" s="126"/>
      <c r="AF187" s="126"/>
      <c r="AG187" s="126"/>
      <c r="AH187" s="126" t="s">
        <v>578</v>
      </c>
      <c r="AI187" s="126" t="s">
        <v>1587</v>
      </c>
    </row>
    <row r="188" spans="1:35" ht="150" x14ac:dyDescent="0.25">
      <c r="A188" s="46" t="str">
        <f t="shared" si="2"/>
        <v>CALICRD025020AUTOSERVICIONUTRESA</v>
      </c>
      <c r="B188" s="126" t="s">
        <v>6</v>
      </c>
      <c r="C188" s="126">
        <v>52716</v>
      </c>
      <c r="D188" s="126" t="s">
        <v>140</v>
      </c>
      <c r="E188" s="126" t="s">
        <v>177</v>
      </c>
      <c r="F188" s="127">
        <v>44547</v>
      </c>
      <c r="G188" s="126" t="s">
        <v>175</v>
      </c>
      <c r="H188" s="126" t="s">
        <v>176</v>
      </c>
      <c r="I188" s="126">
        <v>1</v>
      </c>
      <c r="J188" s="126" t="s">
        <v>184</v>
      </c>
      <c r="K188" s="126" t="s">
        <v>258</v>
      </c>
      <c r="L188" s="126" t="s">
        <v>1588</v>
      </c>
      <c r="M188" s="126">
        <v>0</v>
      </c>
      <c r="N188" s="126">
        <v>0</v>
      </c>
      <c r="O188" s="126" t="s">
        <v>1589</v>
      </c>
      <c r="P188" s="126" t="s">
        <v>171</v>
      </c>
      <c r="Q188" s="126" t="s">
        <v>817</v>
      </c>
      <c r="R188" s="126" t="s">
        <v>817</v>
      </c>
      <c r="S188" s="126" t="s">
        <v>818</v>
      </c>
      <c r="T188" s="126" t="s">
        <v>160</v>
      </c>
      <c r="U188" s="126"/>
      <c r="V188" s="128">
        <v>60000000</v>
      </c>
      <c r="W188" s="128">
        <v>60000000</v>
      </c>
      <c r="X188" s="126" t="s">
        <v>1209</v>
      </c>
      <c r="Y188" s="126">
        <v>0</v>
      </c>
      <c r="Z188" s="126">
        <v>0</v>
      </c>
      <c r="AA188" s="126" t="s">
        <v>0</v>
      </c>
      <c r="AB188" s="126" t="s">
        <v>140</v>
      </c>
      <c r="AC188" s="126" t="s">
        <v>162</v>
      </c>
      <c r="AD188" s="126"/>
      <c r="AE188" s="126"/>
      <c r="AF188" s="126"/>
      <c r="AG188" s="126"/>
      <c r="AH188" s="126" t="s">
        <v>578</v>
      </c>
      <c r="AI188" s="126" t="s">
        <v>1590</v>
      </c>
    </row>
    <row r="189" spans="1:35" ht="150" x14ac:dyDescent="0.25">
      <c r="A189" s="46" t="str">
        <f t="shared" si="2"/>
        <v>CALICRD025021AUTOSERVICIONUTRESA</v>
      </c>
      <c r="B189" s="126" t="s">
        <v>6</v>
      </c>
      <c r="C189" s="126">
        <v>52716</v>
      </c>
      <c r="D189" s="126" t="s">
        <v>140</v>
      </c>
      <c r="E189" s="126" t="s">
        <v>177</v>
      </c>
      <c r="F189" s="127">
        <v>44547</v>
      </c>
      <c r="G189" s="126" t="s">
        <v>175</v>
      </c>
      <c r="H189" s="126" t="s">
        <v>176</v>
      </c>
      <c r="I189" s="126">
        <v>1</v>
      </c>
      <c r="J189" s="126" t="s">
        <v>184</v>
      </c>
      <c r="K189" s="126" t="s">
        <v>258</v>
      </c>
      <c r="L189" s="126" t="s">
        <v>1588</v>
      </c>
      <c r="M189" s="126">
        <v>0</v>
      </c>
      <c r="N189" s="126">
        <v>0</v>
      </c>
      <c r="O189" s="126" t="s">
        <v>1589</v>
      </c>
      <c r="P189" s="126" t="s">
        <v>171</v>
      </c>
      <c r="Q189" s="126" t="s">
        <v>815</v>
      </c>
      <c r="R189" s="126" t="s">
        <v>815</v>
      </c>
      <c r="S189" s="126" t="s">
        <v>816</v>
      </c>
      <c r="T189" s="126" t="s">
        <v>160</v>
      </c>
      <c r="U189" s="126"/>
      <c r="V189" s="128">
        <v>70000000</v>
      </c>
      <c r="W189" s="128">
        <v>70000000</v>
      </c>
      <c r="X189" s="126" t="s">
        <v>1209</v>
      </c>
      <c r="Y189" s="126">
        <v>0</v>
      </c>
      <c r="Z189" s="126">
        <v>0</v>
      </c>
      <c r="AA189" s="126" t="s">
        <v>0</v>
      </c>
      <c r="AB189" s="126" t="s">
        <v>140</v>
      </c>
      <c r="AC189" s="126" t="s">
        <v>162</v>
      </c>
      <c r="AD189" s="126"/>
      <c r="AE189" s="126"/>
      <c r="AF189" s="126"/>
      <c r="AG189" s="126"/>
      <c r="AH189" s="126" t="s">
        <v>578</v>
      </c>
      <c r="AI189" s="126" t="s">
        <v>1591</v>
      </c>
    </row>
    <row r="190" spans="1:35" ht="150" x14ac:dyDescent="0.25">
      <c r="A190" s="46" t="str">
        <f t="shared" si="2"/>
        <v>CALICRD025020AUTOSERVICIONUTRESA</v>
      </c>
      <c r="B190" s="126" t="s">
        <v>6</v>
      </c>
      <c r="C190" s="126">
        <v>52717</v>
      </c>
      <c r="D190" s="126" t="s">
        <v>140</v>
      </c>
      <c r="E190" s="126" t="s">
        <v>177</v>
      </c>
      <c r="F190" s="127">
        <v>44547</v>
      </c>
      <c r="G190" s="126" t="s">
        <v>175</v>
      </c>
      <c r="H190" s="126" t="s">
        <v>176</v>
      </c>
      <c r="I190" s="126">
        <v>1</v>
      </c>
      <c r="J190" s="126" t="s">
        <v>184</v>
      </c>
      <c r="K190" s="126" t="s">
        <v>258</v>
      </c>
      <c r="L190" s="126" t="s">
        <v>1592</v>
      </c>
      <c r="M190" s="126">
        <v>0</v>
      </c>
      <c r="N190" s="126">
        <v>0</v>
      </c>
      <c r="O190" s="126" t="s">
        <v>1593</v>
      </c>
      <c r="P190" s="126" t="s">
        <v>171</v>
      </c>
      <c r="Q190" s="126" t="s">
        <v>817</v>
      </c>
      <c r="R190" s="126" t="s">
        <v>817</v>
      </c>
      <c r="S190" s="126" t="s">
        <v>818</v>
      </c>
      <c r="T190" s="126" t="s">
        <v>160</v>
      </c>
      <c r="U190" s="126"/>
      <c r="V190" s="128">
        <v>60000000</v>
      </c>
      <c r="W190" s="128">
        <v>60000000</v>
      </c>
      <c r="X190" s="126" t="s">
        <v>1209</v>
      </c>
      <c r="Y190" s="126">
        <v>0</v>
      </c>
      <c r="Z190" s="126">
        <v>0</v>
      </c>
      <c r="AA190" s="126" t="s">
        <v>0</v>
      </c>
      <c r="AB190" s="126" t="s">
        <v>140</v>
      </c>
      <c r="AC190" s="126" t="s">
        <v>162</v>
      </c>
      <c r="AD190" s="126"/>
      <c r="AE190" s="126"/>
      <c r="AF190" s="126"/>
      <c r="AG190" s="126"/>
      <c r="AH190" s="126" t="s">
        <v>578</v>
      </c>
      <c r="AI190" s="126" t="s">
        <v>1594</v>
      </c>
    </row>
    <row r="191" spans="1:35" ht="150" x14ac:dyDescent="0.25">
      <c r="A191" s="46" t="str">
        <f t="shared" si="2"/>
        <v>CALICRD025021AUTOSERVICIONUTRESA</v>
      </c>
      <c r="B191" s="126" t="s">
        <v>6</v>
      </c>
      <c r="C191" s="126">
        <v>52717</v>
      </c>
      <c r="D191" s="126" t="s">
        <v>140</v>
      </c>
      <c r="E191" s="126" t="s">
        <v>177</v>
      </c>
      <c r="F191" s="127">
        <v>44547</v>
      </c>
      <c r="G191" s="126" t="s">
        <v>175</v>
      </c>
      <c r="H191" s="126" t="s">
        <v>176</v>
      </c>
      <c r="I191" s="126">
        <v>1</v>
      </c>
      <c r="J191" s="126" t="s">
        <v>184</v>
      </c>
      <c r="K191" s="126" t="s">
        <v>258</v>
      </c>
      <c r="L191" s="126" t="s">
        <v>1592</v>
      </c>
      <c r="M191" s="126">
        <v>0</v>
      </c>
      <c r="N191" s="126">
        <v>0</v>
      </c>
      <c r="O191" s="126" t="s">
        <v>1593</v>
      </c>
      <c r="P191" s="126" t="s">
        <v>171</v>
      </c>
      <c r="Q191" s="126" t="s">
        <v>815</v>
      </c>
      <c r="R191" s="126" t="s">
        <v>815</v>
      </c>
      <c r="S191" s="126" t="s">
        <v>816</v>
      </c>
      <c r="T191" s="126" t="s">
        <v>160</v>
      </c>
      <c r="U191" s="126"/>
      <c r="V191" s="128">
        <v>50000000</v>
      </c>
      <c r="W191" s="128">
        <v>50000000</v>
      </c>
      <c r="X191" s="126" t="s">
        <v>1209</v>
      </c>
      <c r="Y191" s="126">
        <v>0</v>
      </c>
      <c r="Z191" s="126">
        <v>0</v>
      </c>
      <c r="AA191" s="126" t="s">
        <v>0</v>
      </c>
      <c r="AB191" s="126" t="s">
        <v>140</v>
      </c>
      <c r="AC191" s="126" t="s">
        <v>162</v>
      </c>
      <c r="AD191" s="126"/>
      <c r="AE191" s="126"/>
      <c r="AF191" s="126"/>
      <c r="AG191" s="126"/>
      <c r="AH191" s="126" t="s">
        <v>578</v>
      </c>
      <c r="AI191" s="126" t="s">
        <v>1595</v>
      </c>
    </row>
    <row r="192" spans="1:35" ht="120" x14ac:dyDescent="0.25">
      <c r="A192" s="46" t="str">
        <f t="shared" si="2"/>
        <v>CALICRD023611CADENASBPO</v>
      </c>
      <c r="B192" s="126" t="s">
        <v>6</v>
      </c>
      <c r="C192" s="126">
        <v>52719</v>
      </c>
      <c r="D192" s="126" t="s">
        <v>140</v>
      </c>
      <c r="E192" s="126" t="s">
        <v>177</v>
      </c>
      <c r="F192" s="127">
        <v>44547</v>
      </c>
      <c r="G192" s="126" t="s">
        <v>175</v>
      </c>
      <c r="H192" s="126" t="s">
        <v>176</v>
      </c>
      <c r="I192" s="126">
        <v>1</v>
      </c>
      <c r="J192" s="126" t="s">
        <v>184</v>
      </c>
      <c r="K192" s="126" t="s">
        <v>258</v>
      </c>
      <c r="L192" s="126" t="s">
        <v>1596</v>
      </c>
      <c r="M192" s="126">
        <v>0</v>
      </c>
      <c r="N192" s="126">
        <v>0</v>
      </c>
      <c r="O192" s="126" t="s">
        <v>1597</v>
      </c>
      <c r="P192" s="126" t="s">
        <v>172</v>
      </c>
      <c r="Q192" s="126" t="s">
        <v>251</v>
      </c>
      <c r="R192" s="126" t="s">
        <v>251</v>
      </c>
      <c r="S192" s="126" t="s">
        <v>252</v>
      </c>
      <c r="T192" s="126" t="s">
        <v>160</v>
      </c>
      <c r="U192" s="126"/>
      <c r="V192" s="128">
        <v>1000000</v>
      </c>
      <c r="W192" s="128">
        <v>1000000</v>
      </c>
      <c r="X192" s="126" t="s">
        <v>1209</v>
      </c>
      <c r="Y192" s="126">
        <v>0</v>
      </c>
      <c r="Z192" s="126" t="s">
        <v>262</v>
      </c>
      <c r="AA192" s="126" t="s">
        <v>1</v>
      </c>
      <c r="AB192" s="126" t="s">
        <v>161</v>
      </c>
      <c r="AC192" s="126" t="s">
        <v>162</v>
      </c>
      <c r="AD192" s="127">
        <v>44983</v>
      </c>
      <c r="AE192" s="126"/>
      <c r="AF192" s="127">
        <v>44983</v>
      </c>
      <c r="AG192" s="126"/>
      <c r="AH192" s="126" t="s">
        <v>578</v>
      </c>
      <c r="AI192" s="126" t="s">
        <v>1598</v>
      </c>
    </row>
    <row r="193" spans="1:35" ht="120" x14ac:dyDescent="0.25">
      <c r="A193" s="46" t="str">
        <f t="shared" si="2"/>
        <v>CALICRD023405CADENASBPO</v>
      </c>
      <c r="B193" s="126" t="s">
        <v>6</v>
      </c>
      <c r="C193" s="126">
        <v>52719</v>
      </c>
      <c r="D193" s="126" t="s">
        <v>140</v>
      </c>
      <c r="E193" s="126" t="s">
        <v>177</v>
      </c>
      <c r="F193" s="127">
        <v>44547</v>
      </c>
      <c r="G193" s="126" t="s">
        <v>175</v>
      </c>
      <c r="H193" s="126" t="s">
        <v>176</v>
      </c>
      <c r="I193" s="126">
        <v>1</v>
      </c>
      <c r="J193" s="126" t="s">
        <v>184</v>
      </c>
      <c r="K193" s="126" t="s">
        <v>258</v>
      </c>
      <c r="L193" s="126" t="s">
        <v>1596</v>
      </c>
      <c r="M193" s="126">
        <v>0</v>
      </c>
      <c r="N193" s="126">
        <v>0</v>
      </c>
      <c r="O193" s="126" t="s">
        <v>1597</v>
      </c>
      <c r="P193" s="126" t="s">
        <v>171</v>
      </c>
      <c r="Q193" s="126" t="s">
        <v>241</v>
      </c>
      <c r="R193" s="126" t="s">
        <v>241</v>
      </c>
      <c r="S193" s="126" t="s">
        <v>242</v>
      </c>
      <c r="T193" s="126" t="s">
        <v>160</v>
      </c>
      <c r="U193" s="126"/>
      <c r="V193" s="128">
        <v>100000000</v>
      </c>
      <c r="W193" s="128">
        <v>100000000</v>
      </c>
      <c r="X193" s="126" t="s">
        <v>1209</v>
      </c>
      <c r="Y193" s="126">
        <v>0</v>
      </c>
      <c r="Z193" s="126">
        <v>0</v>
      </c>
      <c r="AA193" s="126" t="s">
        <v>1</v>
      </c>
      <c r="AB193" s="126" t="s">
        <v>161</v>
      </c>
      <c r="AC193" s="126" t="s">
        <v>162</v>
      </c>
      <c r="AD193" s="126"/>
      <c r="AE193" s="126"/>
      <c r="AF193" s="126"/>
      <c r="AG193" s="126"/>
      <c r="AH193" s="126" t="s">
        <v>578</v>
      </c>
      <c r="AI193" s="126" t="s">
        <v>1599</v>
      </c>
    </row>
    <row r="194" spans="1:35" ht="120" x14ac:dyDescent="0.25">
      <c r="A194" s="46" t="str">
        <f t="shared" si="2"/>
        <v>CALICRD014117CADENASBPO</v>
      </c>
      <c r="B194" s="126" t="s">
        <v>6</v>
      </c>
      <c r="C194" s="126">
        <v>52719</v>
      </c>
      <c r="D194" s="126" t="s">
        <v>140</v>
      </c>
      <c r="E194" s="126" t="s">
        <v>177</v>
      </c>
      <c r="F194" s="127">
        <v>44547</v>
      </c>
      <c r="G194" s="126" t="s">
        <v>175</v>
      </c>
      <c r="H194" s="126" t="s">
        <v>176</v>
      </c>
      <c r="I194" s="126">
        <v>1</v>
      </c>
      <c r="J194" s="126" t="s">
        <v>184</v>
      </c>
      <c r="K194" s="126" t="s">
        <v>258</v>
      </c>
      <c r="L194" s="126" t="s">
        <v>1596</v>
      </c>
      <c r="M194" s="126">
        <v>0</v>
      </c>
      <c r="N194" s="126">
        <v>0</v>
      </c>
      <c r="O194" s="126" t="s">
        <v>1597</v>
      </c>
      <c r="P194" s="126" t="s">
        <v>172</v>
      </c>
      <c r="Q194" s="126" t="s">
        <v>508</v>
      </c>
      <c r="R194" s="126" t="s">
        <v>508</v>
      </c>
      <c r="S194" s="126" t="s">
        <v>509</v>
      </c>
      <c r="T194" s="126" t="s">
        <v>160</v>
      </c>
      <c r="U194" s="126"/>
      <c r="V194" s="128">
        <v>1000000</v>
      </c>
      <c r="W194" s="128">
        <v>1000000</v>
      </c>
      <c r="X194" s="126" t="s">
        <v>1209</v>
      </c>
      <c r="Y194" s="126">
        <v>0</v>
      </c>
      <c r="Z194" s="126" t="s">
        <v>720</v>
      </c>
      <c r="AA194" s="126" t="s">
        <v>1</v>
      </c>
      <c r="AB194" s="126" t="s">
        <v>161</v>
      </c>
      <c r="AC194" s="126" t="s">
        <v>162</v>
      </c>
      <c r="AD194" s="127">
        <v>45068</v>
      </c>
      <c r="AE194" s="126"/>
      <c r="AF194" s="127">
        <v>45068</v>
      </c>
      <c r="AG194" s="126"/>
      <c r="AH194" s="126" t="s">
        <v>578</v>
      </c>
      <c r="AI194" s="126" t="s">
        <v>1600</v>
      </c>
    </row>
    <row r="195" spans="1:35" ht="120" x14ac:dyDescent="0.25">
      <c r="A195" s="46" t="str">
        <f t="shared" ref="A195:A258" si="3">+CONCATENATE(B195,Q195,AA195,AB195)</f>
        <v>CALICRD014118CADENASBPO</v>
      </c>
      <c r="B195" s="126" t="s">
        <v>6</v>
      </c>
      <c r="C195" s="126">
        <v>52719</v>
      </c>
      <c r="D195" s="126" t="s">
        <v>140</v>
      </c>
      <c r="E195" s="126" t="s">
        <v>177</v>
      </c>
      <c r="F195" s="127">
        <v>44547</v>
      </c>
      <c r="G195" s="126" t="s">
        <v>175</v>
      </c>
      <c r="H195" s="126" t="s">
        <v>176</v>
      </c>
      <c r="I195" s="126">
        <v>1</v>
      </c>
      <c r="J195" s="126" t="s">
        <v>184</v>
      </c>
      <c r="K195" s="126" t="s">
        <v>258</v>
      </c>
      <c r="L195" s="126" t="s">
        <v>1596</v>
      </c>
      <c r="M195" s="126">
        <v>0</v>
      </c>
      <c r="N195" s="126">
        <v>0</v>
      </c>
      <c r="O195" s="126" t="s">
        <v>1597</v>
      </c>
      <c r="P195" s="126" t="s">
        <v>172</v>
      </c>
      <c r="Q195" s="126" t="s">
        <v>312</v>
      </c>
      <c r="R195" s="126" t="s">
        <v>312</v>
      </c>
      <c r="S195" s="126" t="s">
        <v>313</v>
      </c>
      <c r="T195" s="126" t="s">
        <v>160</v>
      </c>
      <c r="U195" s="126"/>
      <c r="V195" s="128">
        <v>1000000</v>
      </c>
      <c r="W195" s="128">
        <v>1000000</v>
      </c>
      <c r="X195" s="126" t="s">
        <v>1209</v>
      </c>
      <c r="Y195" s="126">
        <v>0</v>
      </c>
      <c r="Z195" s="126" t="s">
        <v>314</v>
      </c>
      <c r="AA195" s="126" t="s">
        <v>1</v>
      </c>
      <c r="AB195" s="126" t="s">
        <v>161</v>
      </c>
      <c r="AC195" s="126" t="s">
        <v>162</v>
      </c>
      <c r="AD195" s="127">
        <v>44703</v>
      </c>
      <c r="AE195" s="126"/>
      <c r="AF195" s="127">
        <v>44703</v>
      </c>
      <c r="AG195" s="126"/>
      <c r="AH195" s="126" t="s">
        <v>578</v>
      </c>
      <c r="AI195" s="126" t="s">
        <v>1601</v>
      </c>
    </row>
    <row r="196" spans="1:35" ht="120" x14ac:dyDescent="0.25">
      <c r="A196" s="46" t="str">
        <f t="shared" si="3"/>
        <v>CALICRD014120CADENASBPO</v>
      </c>
      <c r="B196" s="126" t="s">
        <v>6</v>
      </c>
      <c r="C196" s="126">
        <v>52719</v>
      </c>
      <c r="D196" s="126" t="s">
        <v>140</v>
      </c>
      <c r="E196" s="126" t="s">
        <v>177</v>
      </c>
      <c r="F196" s="127">
        <v>44547</v>
      </c>
      <c r="G196" s="126" t="s">
        <v>175</v>
      </c>
      <c r="H196" s="126" t="s">
        <v>176</v>
      </c>
      <c r="I196" s="126">
        <v>1</v>
      </c>
      <c r="J196" s="126" t="s">
        <v>184</v>
      </c>
      <c r="K196" s="126" t="s">
        <v>258</v>
      </c>
      <c r="L196" s="126" t="s">
        <v>1596</v>
      </c>
      <c r="M196" s="126">
        <v>0</v>
      </c>
      <c r="N196" s="126">
        <v>0</v>
      </c>
      <c r="O196" s="126" t="s">
        <v>1597</v>
      </c>
      <c r="P196" s="126" t="s">
        <v>172</v>
      </c>
      <c r="Q196" s="126" t="s">
        <v>224</v>
      </c>
      <c r="R196" s="126" t="s">
        <v>224</v>
      </c>
      <c r="S196" s="126" t="s">
        <v>225</v>
      </c>
      <c r="T196" s="126" t="s">
        <v>160</v>
      </c>
      <c r="U196" s="126"/>
      <c r="V196" s="128">
        <v>1000000</v>
      </c>
      <c r="W196" s="128">
        <v>1000000</v>
      </c>
      <c r="X196" s="126" t="s">
        <v>1209</v>
      </c>
      <c r="Y196" s="126">
        <v>0</v>
      </c>
      <c r="Z196" s="126" t="s">
        <v>1602</v>
      </c>
      <c r="AA196" s="126" t="s">
        <v>1</v>
      </c>
      <c r="AB196" s="126" t="s">
        <v>161</v>
      </c>
      <c r="AC196" s="126" t="s">
        <v>162</v>
      </c>
      <c r="AD196" s="127">
        <v>44624</v>
      </c>
      <c r="AE196" s="126"/>
      <c r="AF196" s="127">
        <v>44624</v>
      </c>
      <c r="AG196" s="126"/>
      <c r="AH196" s="126" t="s">
        <v>578</v>
      </c>
      <c r="AI196" s="126" t="s">
        <v>1603</v>
      </c>
    </row>
    <row r="197" spans="1:35" ht="120" x14ac:dyDescent="0.25">
      <c r="A197" s="46" t="str">
        <f t="shared" si="3"/>
        <v>CALICRD016151CADENASBPO</v>
      </c>
      <c r="B197" s="126" t="s">
        <v>6</v>
      </c>
      <c r="C197" s="126">
        <v>52719</v>
      </c>
      <c r="D197" s="126" t="s">
        <v>140</v>
      </c>
      <c r="E197" s="126" t="s">
        <v>177</v>
      </c>
      <c r="F197" s="127">
        <v>44547</v>
      </c>
      <c r="G197" s="126" t="s">
        <v>175</v>
      </c>
      <c r="H197" s="126" t="s">
        <v>176</v>
      </c>
      <c r="I197" s="126">
        <v>1</v>
      </c>
      <c r="J197" s="126" t="s">
        <v>184</v>
      </c>
      <c r="K197" s="126" t="s">
        <v>258</v>
      </c>
      <c r="L197" s="126" t="s">
        <v>1596</v>
      </c>
      <c r="M197" s="126">
        <v>0</v>
      </c>
      <c r="N197" s="126">
        <v>0</v>
      </c>
      <c r="O197" s="126" t="s">
        <v>1597</v>
      </c>
      <c r="P197" s="126" t="s">
        <v>168</v>
      </c>
      <c r="Q197" s="126" t="s">
        <v>146</v>
      </c>
      <c r="R197" s="126" t="s">
        <v>146</v>
      </c>
      <c r="S197" s="126" t="s">
        <v>203</v>
      </c>
      <c r="T197" s="126" t="s">
        <v>160</v>
      </c>
      <c r="U197" s="126"/>
      <c r="V197" s="128">
        <v>1000000</v>
      </c>
      <c r="W197" s="128">
        <v>1000000</v>
      </c>
      <c r="X197" s="126" t="s">
        <v>1209</v>
      </c>
      <c r="Y197" s="126">
        <v>0</v>
      </c>
      <c r="Z197" s="126">
        <v>0</v>
      </c>
      <c r="AA197" s="126" t="s">
        <v>1</v>
      </c>
      <c r="AB197" s="126" t="s">
        <v>161</v>
      </c>
      <c r="AC197" s="126" t="s">
        <v>162</v>
      </c>
      <c r="AD197" s="126"/>
      <c r="AE197" s="126"/>
      <c r="AF197" s="126"/>
      <c r="AG197" s="126"/>
      <c r="AH197" s="126" t="s">
        <v>578</v>
      </c>
      <c r="AI197" s="126" t="s">
        <v>1604</v>
      </c>
    </row>
    <row r="198" spans="1:35" ht="120" x14ac:dyDescent="0.25">
      <c r="A198" s="46" t="str">
        <f t="shared" si="3"/>
        <v>CALICRD019868CADENASBPO</v>
      </c>
      <c r="B198" s="126" t="s">
        <v>6</v>
      </c>
      <c r="C198" s="126">
        <v>52719</v>
      </c>
      <c r="D198" s="126" t="s">
        <v>140</v>
      </c>
      <c r="E198" s="126" t="s">
        <v>177</v>
      </c>
      <c r="F198" s="127">
        <v>44547</v>
      </c>
      <c r="G198" s="126" t="s">
        <v>175</v>
      </c>
      <c r="H198" s="126" t="s">
        <v>176</v>
      </c>
      <c r="I198" s="126">
        <v>1</v>
      </c>
      <c r="J198" s="126" t="s">
        <v>184</v>
      </c>
      <c r="K198" s="126" t="s">
        <v>258</v>
      </c>
      <c r="L198" s="126" t="s">
        <v>1596</v>
      </c>
      <c r="M198" s="126">
        <v>0</v>
      </c>
      <c r="N198" s="126">
        <v>0</v>
      </c>
      <c r="O198" s="126" t="s">
        <v>1597</v>
      </c>
      <c r="P198" s="126" t="s">
        <v>166</v>
      </c>
      <c r="Q198" s="126" t="s">
        <v>153</v>
      </c>
      <c r="R198" s="126" t="s">
        <v>153</v>
      </c>
      <c r="S198" s="126" t="s">
        <v>167</v>
      </c>
      <c r="T198" s="126" t="s">
        <v>160</v>
      </c>
      <c r="U198" s="126"/>
      <c r="V198" s="128">
        <v>1000000</v>
      </c>
      <c r="W198" s="128">
        <v>1000000</v>
      </c>
      <c r="X198" s="126" t="s">
        <v>1209</v>
      </c>
      <c r="Y198" s="126">
        <v>0</v>
      </c>
      <c r="Z198" s="126">
        <v>0</v>
      </c>
      <c r="AA198" s="126" t="s">
        <v>1</v>
      </c>
      <c r="AB198" s="126" t="s">
        <v>161</v>
      </c>
      <c r="AC198" s="126" t="s">
        <v>162</v>
      </c>
      <c r="AD198" s="126"/>
      <c r="AE198" s="126"/>
      <c r="AF198" s="126"/>
      <c r="AG198" s="126"/>
      <c r="AH198" s="126" t="s">
        <v>578</v>
      </c>
      <c r="AI198" s="126" t="s">
        <v>1605</v>
      </c>
    </row>
    <row r="199" spans="1:35" ht="120" x14ac:dyDescent="0.25">
      <c r="A199" s="46" t="str">
        <f t="shared" si="3"/>
        <v>CALICRD021350CADENASBPO</v>
      </c>
      <c r="B199" s="126" t="s">
        <v>6</v>
      </c>
      <c r="C199" s="126">
        <v>52719</v>
      </c>
      <c r="D199" s="126" t="s">
        <v>140</v>
      </c>
      <c r="E199" s="126" t="s">
        <v>177</v>
      </c>
      <c r="F199" s="127">
        <v>44547</v>
      </c>
      <c r="G199" s="126" t="s">
        <v>175</v>
      </c>
      <c r="H199" s="126" t="s">
        <v>176</v>
      </c>
      <c r="I199" s="126">
        <v>1</v>
      </c>
      <c r="J199" s="126" t="s">
        <v>184</v>
      </c>
      <c r="K199" s="126" t="s">
        <v>258</v>
      </c>
      <c r="L199" s="126" t="s">
        <v>1596</v>
      </c>
      <c r="M199" s="126">
        <v>0</v>
      </c>
      <c r="N199" s="126">
        <v>0</v>
      </c>
      <c r="O199" s="126" t="s">
        <v>1597</v>
      </c>
      <c r="P199" s="126" t="s">
        <v>172</v>
      </c>
      <c r="Q199" s="126" t="s">
        <v>289</v>
      </c>
      <c r="R199" s="126" t="s">
        <v>289</v>
      </c>
      <c r="S199" s="126" t="s">
        <v>290</v>
      </c>
      <c r="T199" s="126" t="s">
        <v>160</v>
      </c>
      <c r="U199" s="126"/>
      <c r="V199" s="128">
        <v>1000000</v>
      </c>
      <c r="W199" s="128">
        <v>1000000</v>
      </c>
      <c r="X199" s="126" t="s">
        <v>1209</v>
      </c>
      <c r="Y199" s="126">
        <v>0</v>
      </c>
      <c r="Z199" s="126" t="s">
        <v>315</v>
      </c>
      <c r="AA199" s="126" t="s">
        <v>1</v>
      </c>
      <c r="AB199" s="126" t="s">
        <v>161</v>
      </c>
      <c r="AC199" s="126" t="s">
        <v>162</v>
      </c>
      <c r="AD199" s="127">
        <v>44699</v>
      </c>
      <c r="AE199" s="126"/>
      <c r="AF199" s="127">
        <v>44699</v>
      </c>
      <c r="AG199" s="126"/>
      <c r="AH199" s="126" t="s">
        <v>578</v>
      </c>
      <c r="AI199" s="126" t="s">
        <v>1606</v>
      </c>
    </row>
    <row r="200" spans="1:35" ht="120" x14ac:dyDescent="0.25">
      <c r="A200" s="46" t="str">
        <f t="shared" si="3"/>
        <v>CALICRD021973CADENASBPO</v>
      </c>
      <c r="B200" s="126" t="s">
        <v>6</v>
      </c>
      <c r="C200" s="126">
        <v>52719</v>
      </c>
      <c r="D200" s="126" t="s">
        <v>140</v>
      </c>
      <c r="E200" s="126" t="s">
        <v>177</v>
      </c>
      <c r="F200" s="127">
        <v>44547</v>
      </c>
      <c r="G200" s="126" t="s">
        <v>175</v>
      </c>
      <c r="H200" s="126" t="s">
        <v>176</v>
      </c>
      <c r="I200" s="126">
        <v>1</v>
      </c>
      <c r="J200" s="126" t="s">
        <v>184</v>
      </c>
      <c r="K200" s="126" t="s">
        <v>258</v>
      </c>
      <c r="L200" s="126" t="s">
        <v>1596</v>
      </c>
      <c r="M200" s="126">
        <v>0</v>
      </c>
      <c r="N200" s="126">
        <v>0</v>
      </c>
      <c r="O200" s="126" t="s">
        <v>1597</v>
      </c>
      <c r="P200" s="126" t="s">
        <v>172</v>
      </c>
      <c r="Q200" s="126" t="s">
        <v>306</v>
      </c>
      <c r="R200" s="126" t="s">
        <v>306</v>
      </c>
      <c r="S200" s="126" t="s">
        <v>307</v>
      </c>
      <c r="T200" s="126" t="s">
        <v>160</v>
      </c>
      <c r="U200" s="126"/>
      <c r="V200" s="128">
        <v>1000000</v>
      </c>
      <c r="W200" s="128">
        <v>1000000</v>
      </c>
      <c r="X200" s="126" t="s">
        <v>1209</v>
      </c>
      <c r="Y200" s="126">
        <v>0</v>
      </c>
      <c r="Z200" s="126" t="s">
        <v>315</v>
      </c>
      <c r="AA200" s="126" t="s">
        <v>1</v>
      </c>
      <c r="AB200" s="126" t="s">
        <v>161</v>
      </c>
      <c r="AC200" s="126" t="s">
        <v>162</v>
      </c>
      <c r="AD200" s="127">
        <v>44699</v>
      </c>
      <c r="AE200" s="126"/>
      <c r="AF200" s="127">
        <v>44699</v>
      </c>
      <c r="AG200" s="126"/>
      <c r="AH200" s="126" t="s">
        <v>578</v>
      </c>
      <c r="AI200" s="126" t="s">
        <v>1607</v>
      </c>
    </row>
    <row r="201" spans="1:35" ht="120" x14ac:dyDescent="0.25">
      <c r="A201" s="46" t="str">
        <f t="shared" si="3"/>
        <v>CALICRD025003CADENASBPO</v>
      </c>
      <c r="B201" s="126" t="s">
        <v>6</v>
      </c>
      <c r="C201" s="126">
        <v>52719</v>
      </c>
      <c r="D201" s="126" t="s">
        <v>140</v>
      </c>
      <c r="E201" s="126" t="s">
        <v>177</v>
      </c>
      <c r="F201" s="127">
        <v>44547</v>
      </c>
      <c r="G201" s="126" t="s">
        <v>175</v>
      </c>
      <c r="H201" s="126" t="s">
        <v>176</v>
      </c>
      <c r="I201" s="126">
        <v>1</v>
      </c>
      <c r="J201" s="126" t="s">
        <v>184</v>
      </c>
      <c r="K201" s="126" t="s">
        <v>258</v>
      </c>
      <c r="L201" s="126" t="s">
        <v>1596</v>
      </c>
      <c r="M201" s="126">
        <v>0</v>
      </c>
      <c r="N201" s="126">
        <v>0</v>
      </c>
      <c r="O201" s="126" t="s">
        <v>1597</v>
      </c>
      <c r="P201" s="126" t="s">
        <v>171</v>
      </c>
      <c r="Q201" s="126" t="s">
        <v>469</v>
      </c>
      <c r="R201" s="126" t="s">
        <v>469</v>
      </c>
      <c r="S201" s="126" t="s">
        <v>1231</v>
      </c>
      <c r="T201" s="126" t="s">
        <v>160</v>
      </c>
      <c r="U201" s="126"/>
      <c r="V201" s="128">
        <v>2000000</v>
      </c>
      <c r="W201" s="128">
        <v>2000000</v>
      </c>
      <c r="X201" s="126" t="s">
        <v>1209</v>
      </c>
      <c r="Y201" s="126">
        <v>0</v>
      </c>
      <c r="Z201" s="126">
        <v>0</v>
      </c>
      <c r="AA201" s="126" t="s">
        <v>1</v>
      </c>
      <c r="AB201" s="126" t="s">
        <v>161</v>
      </c>
      <c r="AC201" s="126" t="s">
        <v>162</v>
      </c>
      <c r="AD201" s="126"/>
      <c r="AE201" s="126"/>
      <c r="AF201" s="126"/>
      <c r="AG201" s="126"/>
      <c r="AH201" s="126" t="s">
        <v>578</v>
      </c>
      <c r="AI201" s="126" t="s">
        <v>1608</v>
      </c>
    </row>
    <row r="202" spans="1:35" ht="120" x14ac:dyDescent="0.25">
      <c r="A202" s="46" t="str">
        <f t="shared" si="3"/>
        <v>CALICRD022670CADENASBPO</v>
      </c>
      <c r="B202" s="126" t="s">
        <v>6</v>
      </c>
      <c r="C202" s="126">
        <v>52719</v>
      </c>
      <c r="D202" s="126" t="s">
        <v>140</v>
      </c>
      <c r="E202" s="126" t="s">
        <v>177</v>
      </c>
      <c r="F202" s="127">
        <v>44547</v>
      </c>
      <c r="G202" s="126" t="s">
        <v>175</v>
      </c>
      <c r="H202" s="126" t="s">
        <v>176</v>
      </c>
      <c r="I202" s="126">
        <v>1</v>
      </c>
      <c r="J202" s="126" t="s">
        <v>184</v>
      </c>
      <c r="K202" s="126" t="s">
        <v>258</v>
      </c>
      <c r="L202" s="126" t="s">
        <v>1596</v>
      </c>
      <c r="M202" s="126">
        <v>0</v>
      </c>
      <c r="N202" s="126">
        <v>0</v>
      </c>
      <c r="O202" s="126" t="s">
        <v>1597</v>
      </c>
      <c r="P202" s="126" t="s">
        <v>172</v>
      </c>
      <c r="Q202" s="126" t="s">
        <v>309</v>
      </c>
      <c r="R202" s="126" t="s">
        <v>309</v>
      </c>
      <c r="S202" s="126" t="s">
        <v>310</v>
      </c>
      <c r="T202" s="126" t="s">
        <v>160</v>
      </c>
      <c r="U202" s="126"/>
      <c r="V202" s="128">
        <v>1000000</v>
      </c>
      <c r="W202" s="128">
        <v>1000000</v>
      </c>
      <c r="X202" s="126" t="s">
        <v>1209</v>
      </c>
      <c r="Y202" s="126">
        <v>0</v>
      </c>
      <c r="Z202" s="126" t="s">
        <v>311</v>
      </c>
      <c r="AA202" s="126" t="s">
        <v>1</v>
      </c>
      <c r="AB202" s="126" t="s">
        <v>161</v>
      </c>
      <c r="AC202" s="126" t="s">
        <v>162</v>
      </c>
      <c r="AD202" s="127">
        <v>44714</v>
      </c>
      <c r="AE202" s="126"/>
      <c r="AF202" s="127">
        <v>44714</v>
      </c>
      <c r="AG202" s="126"/>
      <c r="AH202" s="126" t="s">
        <v>578</v>
      </c>
      <c r="AI202" s="126" t="s">
        <v>1609</v>
      </c>
    </row>
    <row r="203" spans="1:35" ht="120" x14ac:dyDescent="0.25">
      <c r="A203" s="46" t="str">
        <f t="shared" si="3"/>
        <v>CALICRD025026CADENASNUTRESA</v>
      </c>
      <c r="B203" s="126" t="s">
        <v>6</v>
      </c>
      <c r="C203" s="126">
        <v>52745</v>
      </c>
      <c r="D203" s="126" t="s">
        <v>140</v>
      </c>
      <c r="E203" s="126" t="s">
        <v>177</v>
      </c>
      <c r="F203" s="127">
        <v>44550</v>
      </c>
      <c r="G203" s="126" t="s">
        <v>175</v>
      </c>
      <c r="H203" s="126" t="s">
        <v>176</v>
      </c>
      <c r="I203" s="126">
        <v>1</v>
      </c>
      <c r="J203" s="126" t="s">
        <v>184</v>
      </c>
      <c r="K203" s="126" t="s">
        <v>258</v>
      </c>
      <c r="L203" s="126" t="s">
        <v>1610</v>
      </c>
      <c r="M203" s="126">
        <v>0</v>
      </c>
      <c r="N203" s="126">
        <v>0</v>
      </c>
      <c r="O203" s="126" t="s">
        <v>1611</v>
      </c>
      <c r="P203" s="126" t="s">
        <v>171</v>
      </c>
      <c r="Q203" s="126" t="s">
        <v>1612</v>
      </c>
      <c r="R203" s="126" t="s">
        <v>1612</v>
      </c>
      <c r="S203" s="126" t="s">
        <v>1613</v>
      </c>
      <c r="T203" s="126" t="s">
        <v>160</v>
      </c>
      <c r="U203" s="126"/>
      <c r="V203" s="128">
        <v>1000000</v>
      </c>
      <c r="W203" s="128">
        <v>1000000</v>
      </c>
      <c r="X203" s="126" t="s">
        <v>1209</v>
      </c>
      <c r="Y203" s="126">
        <v>0</v>
      </c>
      <c r="Z203" s="126">
        <v>0</v>
      </c>
      <c r="AA203" s="126" t="s">
        <v>1</v>
      </c>
      <c r="AB203" s="126" t="s">
        <v>140</v>
      </c>
      <c r="AC203" s="126" t="s">
        <v>162</v>
      </c>
      <c r="AD203" s="126"/>
      <c r="AE203" s="126"/>
      <c r="AF203" s="126"/>
      <c r="AG203" s="126"/>
      <c r="AH203" s="126" t="s">
        <v>1614</v>
      </c>
      <c r="AI203" s="126" t="s">
        <v>1615</v>
      </c>
    </row>
    <row r="204" spans="1:35" ht="315" x14ac:dyDescent="0.25">
      <c r="A204" s="46" t="str">
        <f t="shared" si="3"/>
        <v>CARTCRD024946CADENASNUTRESA</v>
      </c>
      <c r="B204" s="126" t="s">
        <v>7</v>
      </c>
      <c r="C204" s="126">
        <v>20442</v>
      </c>
      <c r="D204" s="126" t="s">
        <v>140</v>
      </c>
      <c r="E204" s="126" t="s">
        <v>177</v>
      </c>
      <c r="F204" s="127">
        <v>44530</v>
      </c>
      <c r="G204" s="126" t="s">
        <v>175</v>
      </c>
      <c r="H204" s="126" t="s">
        <v>176</v>
      </c>
      <c r="I204" s="126">
        <v>1</v>
      </c>
      <c r="J204" s="126" t="s">
        <v>184</v>
      </c>
      <c r="K204" s="126" t="s">
        <v>286</v>
      </c>
      <c r="L204" s="126" t="s">
        <v>1616</v>
      </c>
      <c r="M204" s="126" t="s">
        <v>1617</v>
      </c>
      <c r="N204" s="126" t="s">
        <v>1617</v>
      </c>
      <c r="O204" s="126" t="s">
        <v>1618</v>
      </c>
      <c r="P204" s="126" t="s">
        <v>171</v>
      </c>
      <c r="Q204" s="126" t="s">
        <v>449</v>
      </c>
      <c r="R204" s="126" t="s">
        <v>449</v>
      </c>
      <c r="S204" s="126" t="s">
        <v>454</v>
      </c>
      <c r="T204" s="126" t="s">
        <v>160</v>
      </c>
      <c r="U204" s="126"/>
      <c r="V204" s="128">
        <v>2000000</v>
      </c>
      <c r="W204" s="128">
        <v>2000000</v>
      </c>
      <c r="X204" s="126" t="s">
        <v>1209</v>
      </c>
      <c r="Y204" s="126">
        <v>0</v>
      </c>
      <c r="Z204" s="126">
        <v>0</v>
      </c>
      <c r="AA204" s="126" t="s">
        <v>1</v>
      </c>
      <c r="AB204" s="126" t="s">
        <v>140</v>
      </c>
      <c r="AC204" s="126" t="s">
        <v>165</v>
      </c>
      <c r="AD204" s="126"/>
      <c r="AE204" s="126"/>
      <c r="AF204" s="126"/>
      <c r="AG204" s="126"/>
      <c r="AH204" s="126" t="s">
        <v>286</v>
      </c>
      <c r="AI204" s="126" t="s">
        <v>1619</v>
      </c>
    </row>
    <row r="205" spans="1:35" ht="315" x14ac:dyDescent="0.25">
      <c r="A205" s="46" t="str">
        <f t="shared" si="3"/>
        <v>CARTCRD024946CADENASNUTRESA</v>
      </c>
      <c r="B205" s="126" t="s">
        <v>7</v>
      </c>
      <c r="C205" s="126">
        <v>20442</v>
      </c>
      <c r="D205" s="126" t="s">
        <v>140</v>
      </c>
      <c r="E205" s="126" t="s">
        <v>177</v>
      </c>
      <c r="F205" s="127">
        <v>44530</v>
      </c>
      <c r="G205" s="126" t="s">
        <v>175</v>
      </c>
      <c r="H205" s="126" t="s">
        <v>176</v>
      </c>
      <c r="I205" s="126">
        <v>1</v>
      </c>
      <c r="J205" s="126" t="s">
        <v>184</v>
      </c>
      <c r="K205" s="126" t="s">
        <v>286</v>
      </c>
      <c r="L205" s="126" t="s">
        <v>1616</v>
      </c>
      <c r="M205" s="126" t="s">
        <v>1617</v>
      </c>
      <c r="N205" s="126" t="s">
        <v>1617</v>
      </c>
      <c r="O205" s="126" t="s">
        <v>1618</v>
      </c>
      <c r="P205" s="126" t="s">
        <v>171</v>
      </c>
      <c r="Q205" s="126" t="s">
        <v>449</v>
      </c>
      <c r="R205" s="126" t="s">
        <v>449</v>
      </c>
      <c r="S205" s="126" t="s">
        <v>454</v>
      </c>
      <c r="T205" s="126" t="s">
        <v>160</v>
      </c>
      <c r="U205" s="126"/>
      <c r="V205" s="128">
        <v>2000000</v>
      </c>
      <c r="W205" s="128">
        <v>2000000</v>
      </c>
      <c r="X205" s="126" t="s">
        <v>1209</v>
      </c>
      <c r="Y205" s="126">
        <v>0</v>
      </c>
      <c r="Z205" s="126">
        <v>0</v>
      </c>
      <c r="AA205" s="126" t="s">
        <v>1</v>
      </c>
      <c r="AB205" s="126" t="s">
        <v>140</v>
      </c>
      <c r="AC205" s="126" t="s">
        <v>162</v>
      </c>
      <c r="AD205" s="126"/>
      <c r="AE205" s="126"/>
      <c r="AF205" s="126"/>
      <c r="AG205" s="126"/>
      <c r="AH205" s="126" t="s">
        <v>286</v>
      </c>
      <c r="AI205" s="126" t="s">
        <v>1620</v>
      </c>
    </row>
    <row r="206" spans="1:35" ht="315" x14ac:dyDescent="0.25">
      <c r="A206" s="46" t="str">
        <f t="shared" si="3"/>
        <v>CARTCRD024945CADENASNUTRESA</v>
      </c>
      <c r="B206" s="126" t="s">
        <v>7</v>
      </c>
      <c r="C206" s="126">
        <v>20442</v>
      </c>
      <c r="D206" s="126" t="s">
        <v>140</v>
      </c>
      <c r="E206" s="126" t="s">
        <v>177</v>
      </c>
      <c r="F206" s="127">
        <v>44530</v>
      </c>
      <c r="G206" s="126" t="s">
        <v>175</v>
      </c>
      <c r="H206" s="126" t="s">
        <v>176</v>
      </c>
      <c r="I206" s="126">
        <v>1</v>
      </c>
      <c r="J206" s="126" t="s">
        <v>184</v>
      </c>
      <c r="K206" s="126" t="s">
        <v>286</v>
      </c>
      <c r="L206" s="126" t="s">
        <v>1616</v>
      </c>
      <c r="M206" s="126" t="s">
        <v>1617</v>
      </c>
      <c r="N206" s="126" t="s">
        <v>1617</v>
      </c>
      <c r="O206" s="126" t="s">
        <v>1618</v>
      </c>
      <c r="P206" s="126" t="s">
        <v>171</v>
      </c>
      <c r="Q206" s="126" t="s">
        <v>447</v>
      </c>
      <c r="R206" s="126" t="s">
        <v>447</v>
      </c>
      <c r="S206" s="126" t="s">
        <v>448</v>
      </c>
      <c r="T206" s="126" t="s">
        <v>160</v>
      </c>
      <c r="U206" s="126"/>
      <c r="V206" s="128">
        <v>4000000</v>
      </c>
      <c r="W206" s="128">
        <v>4000000</v>
      </c>
      <c r="X206" s="126" t="s">
        <v>1209</v>
      </c>
      <c r="Y206" s="126">
        <v>0</v>
      </c>
      <c r="Z206" s="126">
        <v>0</v>
      </c>
      <c r="AA206" s="126" t="s">
        <v>1</v>
      </c>
      <c r="AB206" s="126" t="s">
        <v>140</v>
      </c>
      <c r="AC206" s="126" t="s">
        <v>162</v>
      </c>
      <c r="AD206" s="126"/>
      <c r="AE206" s="126"/>
      <c r="AF206" s="126"/>
      <c r="AG206" s="126"/>
      <c r="AH206" s="126" t="s">
        <v>286</v>
      </c>
      <c r="AI206" s="126" t="s">
        <v>1621</v>
      </c>
    </row>
    <row r="207" spans="1:35" ht="255" x14ac:dyDescent="0.25">
      <c r="A207" s="46" t="str">
        <f t="shared" si="3"/>
        <v>CARTACT000176AUTOSERVICIONUTRESA</v>
      </c>
      <c r="B207" s="126" t="s">
        <v>7</v>
      </c>
      <c r="C207" s="126">
        <v>20443</v>
      </c>
      <c r="D207" s="126" t="s">
        <v>140</v>
      </c>
      <c r="E207" s="126" t="s">
        <v>177</v>
      </c>
      <c r="F207" s="127">
        <v>44530</v>
      </c>
      <c r="G207" s="126" t="s">
        <v>175</v>
      </c>
      <c r="H207" s="126" t="s">
        <v>176</v>
      </c>
      <c r="I207" s="126">
        <v>1</v>
      </c>
      <c r="J207" s="126" t="s">
        <v>184</v>
      </c>
      <c r="K207" s="126" t="s">
        <v>266</v>
      </c>
      <c r="L207" s="126" t="s">
        <v>1622</v>
      </c>
      <c r="M207" s="126" t="s">
        <v>1623</v>
      </c>
      <c r="N207" s="126" t="s">
        <v>1623</v>
      </c>
      <c r="O207" s="126" t="s">
        <v>1624</v>
      </c>
      <c r="P207" s="126" t="s">
        <v>170</v>
      </c>
      <c r="Q207" s="126" t="s">
        <v>133</v>
      </c>
      <c r="R207" s="126" t="s">
        <v>133</v>
      </c>
      <c r="S207" s="126" t="s">
        <v>211</v>
      </c>
      <c r="T207" s="126" t="s">
        <v>160</v>
      </c>
      <c r="U207" s="126" t="s">
        <v>133</v>
      </c>
      <c r="V207" s="128">
        <v>1000000</v>
      </c>
      <c r="W207" s="128">
        <v>1000000</v>
      </c>
      <c r="X207" s="126" t="s">
        <v>1209</v>
      </c>
      <c r="Y207" s="126">
        <v>79901</v>
      </c>
      <c r="Z207" s="126">
        <v>0</v>
      </c>
      <c r="AA207" s="126" t="s">
        <v>0</v>
      </c>
      <c r="AB207" s="126" t="s">
        <v>140</v>
      </c>
      <c r="AC207" s="126" t="s">
        <v>218</v>
      </c>
      <c r="AD207" s="126"/>
      <c r="AE207" s="126"/>
      <c r="AF207" s="126"/>
      <c r="AG207" s="126"/>
      <c r="AH207" s="126" t="s">
        <v>266</v>
      </c>
      <c r="AI207" s="126" t="s">
        <v>1625</v>
      </c>
    </row>
    <row r="208" spans="1:35" ht="255" x14ac:dyDescent="0.25">
      <c r="A208" s="46" t="str">
        <f t="shared" si="3"/>
        <v>CARTACT000063TRADICIONALNUTRESA</v>
      </c>
      <c r="B208" s="126" t="s">
        <v>7</v>
      </c>
      <c r="C208" s="126">
        <v>20451</v>
      </c>
      <c r="D208" s="126" t="s">
        <v>140</v>
      </c>
      <c r="E208" s="126" t="s">
        <v>177</v>
      </c>
      <c r="F208" s="127">
        <v>44530</v>
      </c>
      <c r="G208" s="126" t="s">
        <v>175</v>
      </c>
      <c r="H208" s="126" t="s">
        <v>176</v>
      </c>
      <c r="I208" s="126">
        <v>1</v>
      </c>
      <c r="J208" s="126" t="s">
        <v>184</v>
      </c>
      <c r="K208" s="126" t="s">
        <v>266</v>
      </c>
      <c r="L208" s="126" t="s">
        <v>1626</v>
      </c>
      <c r="M208" s="126" t="s">
        <v>1627</v>
      </c>
      <c r="N208" s="126">
        <v>864100172303</v>
      </c>
      <c r="O208" s="126" t="s">
        <v>1628</v>
      </c>
      <c r="P208" s="126" t="s">
        <v>170</v>
      </c>
      <c r="Q208" s="126" t="s">
        <v>135</v>
      </c>
      <c r="R208" s="126" t="s">
        <v>135</v>
      </c>
      <c r="S208" s="126" t="s">
        <v>207</v>
      </c>
      <c r="T208" s="126" t="s">
        <v>160</v>
      </c>
      <c r="U208" s="126" t="s">
        <v>135</v>
      </c>
      <c r="V208" s="128">
        <v>1000000</v>
      </c>
      <c r="W208" s="128">
        <v>1000000</v>
      </c>
      <c r="X208" s="126" t="s">
        <v>1209</v>
      </c>
      <c r="Y208" s="126">
        <v>88311</v>
      </c>
      <c r="Z208" s="126">
        <v>0</v>
      </c>
      <c r="AA208" s="126" t="s">
        <v>2</v>
      </c>
      <c r="AB208" s="126" t="s">
        <v>140</v>
      </c>
      <c r="AC208" s="126" t="s">
        <v>218</v>
      </c>
      <c r="AD208" s="126"/>
      <c r="AE208" s="126"/>
      <c r="AF208" s="126"/>
      <c r="AG208" s="126"/>
      <c r="AH208" s="126" t="s">
        <v>266</v>
      </c>
      <c r="AI208" s="126" t="s">
        <v>1629</v>
      </c>
    </row>
    <row r="209" spans="1:35" ht="390" x14ac:dyDescent="0.25">
      <c r="A209" s="46" t="str">
        <f t="shared" si="3"/>
        <v>CARTCRD008369TRADICIONALNUTRESA</v>
      </c>
      <c r="B209" s="126" t="s">
        <v>7</v>
      </c>
      <c r="C209" s="126">
        <v>20481</v>
      </c>
      <c r="D209" s="126" t="s">
        <v>140</v>
      </c>
      <c r="E209" s="126" t="s">
        <v>177</v>
      </c>
      <c r="F209" s="127">
        <v>44532</v>
      </c>
      <c r="G209" s="126" t="s">
        <v>175</v>
      </c>
      <c r="H209" s="126" t="s">
        <v>176</v>
      </c>
      <c r="I209" s="126">
        <v>1</v>
      </c>
      <c r="J209" s="126" t="s">
        <v>184</v>
      </c>
      <c r="K209" s="126" t="s">
        <v>286</v>
      </c>
      <c r="L209" s="126" t="s">
        <v>1630</v>
      </c>
      <c r="M209" s="126" t="s">
        <v>580</v>
      </c>
      <c r="N209" s="126" t="s">
        <v>580</v>
      </c>
      <c r="O209" s="126" t="s">
        <v>581</v>
      </c>
      <c r="P209" s="126" t="s">
        <v>168</v>
      </c>
      <c r="Q209" s="126" t="s">
        <v>588</v>
      </c>
      <c r="R209" s="126" t="s">
        <v>588</v>
      </c>
      <c r="S209" s="126" t="s">
        <v>589</v>
      </c>
      <c r="T209" s="126" t="s">
        <v>160</v>
      </c>
      <c r="U209" s="126"/>
      <c r="V209" s="128">
        <v>400000000</v>
      </c>
      <c r="W209" s="128">
        <v>400000000</v>
      </c>
      <c r="X209" s="126" t="s">
        <v>1209</v>
      </c>
      <c r="Y209" s="126">
        <v>0</v>
      </c>
      <c r="Z209" s="126">
        <v>0</v>
      </c>
      <c r="AA209" s="126" t="s">
        <v>2</v>
      </c>
      <c r="AB209" s="126" t="s">
        <v>140</v>
      </c>
      <c r="AC209" s="126" t="s">
        <v>162</v>
      </c>
      <c r="AD209" s="126"/>
      <c r="AE209" s="126"/>
      <c r="AF209" s="126"/>
      <c r="AG209" s="126"/>
      <c r="AH209" s="126" t="s">
        <v>286</v>
      </c>
      <c r="AI209" s="126" t="s">
        <v>1631</v>
      </c>
    </row>
    <row r="210" spans="1:35" ht="390" x14ac:dyDescent="0.25">
      <c r="A210" s="46" t="str">
        <f t="shared" si="3"/>
        <v>CARTCRD024642TRADICIONALNUTRESA</v>
      </c>
      <c r="B210" s="126" t="s">
        <v>7</v>
      </c>
      <c r="C210" s="126">
        <v>20481</v>
      </c>
      <c r="D210" s="126" t="s">
        <v>140</v>
      </c>
      <c r="E210" s="126" t="s">
        <v>177</v>
      </c>
      <c r="F210" s="127">
        <v>44532</v>
      </c>
      <c r="G210" s="126" t="s">
        <v>175</v>
      </c>
      <c r="H210" s="126" t="s">
        <v>176</v>
      </c>
      <c r="I210" s="126">
        <v>1</v>
      </c>
      <c r="J210" s="126" t="s">
        <v>184</v>
      </c>
      <c r="K210" s="126" t="s">
        <v>286</v>
      </c>
      <c r="L210" s="126" t="s">
        <v>1630</v>
      </c>
      <c r="M210" s="126" t="s">
        <v>580</v>
      </c>
      <c r="N210" s="126" t="s">
        <v>580</v>
      </c>
      <c r="O210" s="126" t="s">
        <v>581</v>
      </c>
      <c r="P210" s="126" t="s">
        <v>171</v>
      </c>
      <c r="Q210" s="126" t="s">
        <v>582</v>
      </c>
      <c r="R210" s="126" t="s">
        <v>582</v>
      </c>
      <c r="S210" s="126" t="s">
        <v>583</v>
      </c>
      <c r="T210" s="126" t="s">
        <v>160</v>
      </c>
      <c r="U210" s="126"/>
      <c r="V210" s="128">
        <v>400000000</v>
      </c>
      <c r="W210" s="128">
        <v>400000000</v>
      </c>
      <c r="X210" s="126" t="s">
        <v>1209</v>
      </c>
      <c r="Y210" s="126">
        <v>0</v>
      </c>
      <c r="Z210" s="126">
        <v>0</v>
      </c>
      <c r="AA210" s="126" t="s">
        <v>2</v>
      </c>
      <c r="AB210" s="126" t="s">
        <v>140</v>
      </c>
      <c r="AC210" s="126" t="s">
        <v>162</v>
      </c>
      <c r="AD210" s="126"/>
      <c r="AE210" s="126"/>
      <c r="AF210" s="126"/>
      <c r="AG210" s="126"/>
      <c r="AH210" s="126" t="s">
        <v>286</v>
      </c>
      <c r="AI210" s="126" t="s">
        <v>1632</v>
      </c>
    </row>
    <row r="211" spans="1:35" ht="390" x14ac:dyDescent="0.25">
      <c r="A211" s="46" t="str">
        <f t="shared" si="3"/>
        <v>CARTCRD012773TRADICIONALNUTRESA</v>
      </c>
      <c r="B211" s="126" t="s">
        <v>7</v>
      </c>
      <c r="C211" s="126">
        <v>20481</v>
      </c>
      <c r="D211" s="126" t="s">
        <v>140</v>
      </c>
      <c r="E211" s="126" t="s">
        <v>177</v>
      </c>
      <c r="F211" s="127">
        <v>44532</v>
      </c>
      <c r="G211" s="126" t="s">
        <v>175</v>
      </c>
      <c r="H211" s="126" t="s">
        <v>176</v>
      </c>
      <c r="I211" s="126">
        <v>1</v>
      </c>
      <c r="J211" s="126" t="s">
        <v>184</v>
      </c>
      <c r="K211" s="126" t="s">
        <v>286</v>
      </c>
      <c r="L211" s="126" t="s">
        <v>1630</v>
      </c>
      <c r="M211" s="126" t="s">
        <v>580</v>
      </c>
      <c r="N211" s="126" t="s">
        <v>580</v>
      </c>
      <c r="O211" s="126" t="s">
        <v>581</v>
      </c>
      <c r="P211" s="126" t="s">
        <v>168</v>
      </c>
      <c r="Q211" s="126" t="s">
        <v>586</v>
      </c>
      <c r="R211" s="126" t="s">
        <v>586</v>
      </c>
      <c r="S211" s="126" t="s">
        <v>587</v>
      </c>
      <c r="T211" s="126" t="s">
        <v>160</v>
      </c>
      <c r="U211" s="126"/>
      <c r="V211" s="128">
        <v>800000000</v>
      </c>
      <c r="W211" s="128">
        <v>800000000</v>
      </c>
      <c r="X211" s="126" t="s">
        <v>1209</v>
      </c>
      <c r="Y211" s="126">
        <v>0</v>
      </c>
      <c r="Z211" s="126">
        <v>0</v>
      </c>
      <c r="AA211" s="126" t="s">
        <v>2</v>
      </c>
      <c r="AB211" s="126" t="s">
        <v>140</v>
      </c>
      <c r="AC211" s="126" t="s">
        <v>162</v>
      </c>
      <c r="AD211" s="126"/>
      <c r="AE211" s="126"/>
      <c r="AF211" s="126"/>
      <c r="AG211" s="126"/>
      <c r="AH211" s="126" t="s">
        <v>286</v>
      </c>
      <c r="AI211" s="126" t="s">
        <v>1633</v>
      </c>
    </row>
    <row r="212" spans="1:35" ht="390" x14ac:dyDescent="0.25">
      <c r="A212" s="46" t="str">
        <f t="shared" si="3"/>
        <v>CARTCRD007133TRADICIONALNUTRESA</v>
      </c>
      <c r="B212" s="126" t="s">
        <v>7</v>
      </c>
      <c r="C212" s="126">
        <v>20481</v>
      </c>
      <c r="D212" s="126" t="s">
        <v>140</v>
      </c>
      <c r="E212" s="126" t="s">
        <v>177</v>
      </c>
      <c r="F212" s="127">
        <v>44532</v>
      </c>
      <c r="G212" s="126" t="s">
        <v>175</v>
      </c>
      <c r="H212" s="126" t="s">
        <v>176</v>
      </c>
      <c r="I212" s="126">
        <v>1</v>
      </c>
      <c r="J212" s="126" t="s">
        <v>184</v>
      </c>
      <c r="K212" s="126" t="s">
        <v>286</v>
      </c>
      <c r="L212" s="126" t="s">
        <v>1630</v>
      </c>
      <c r="M212" s="126" t="s">
        <v>580</v>
      </c>
      <c r="N212" s="126" t="s">
        <v>580</v>
      </c>
      <c r="O212" s="126" t="s">
        <v>581</v>
      </c>
      <c r="P212" s="126" t="s">
        <v>168</v>
      </c>
      <c r="Q212" s="126" t="s">
        <v>590</v>
      </c>
      <c r="R212" s="126" t="s">
        <v>590</v>
      </c>
      <c r="S212" s="126" t="s">
        <v>591</v>
      </c>
      <c r="T212" s="126" t="s">
        <v>160</v>
      </c>
      <c r="U212" s="126"/>
      <c r="V212" s="128">
        <v>400000000</v>
      </c>
      <c r="W212" s="128">
        <v>400000000</v>
      </c>
      <c r="X212" s="126" t="s">
        <v>1209</v>
      </c>
      <c r="Y212" s="126">
        <v>0</v>
      </c>
      <c r="Z212" s="126">
        <v>0</v>
      </c>
      <c r="AA212" s="126" t="s">
        <v>2</v>
      </c>
      <c r="AB212" s="126" t="s">
        <v>140</v>
      </c>
      <c r="AC212" s="126" t="s">
        <v>162</v>
      </c>
      <c r="AD212" s="126"/>
      <c r="AE212" s="126"/>
      <c r="AF212" s="126"/>
      <c r="AG212" s="126"/>
      <c r="AH212" s="126" t="s">
        <v>286</v>
      </c>
      <c r="AI212" s="126" t="s">
        <v>1634</v>
      </c>
    </row>
    <row r="213" spans="1:35" ht="390" x14ac:dyDescent="0.25">
      <c r="A213" s="46" t="str">
        <f t="shared" si="3"/>
        <v>CARTCRD024657TRADICIONALNUTRESA</v>
      </c>
      <c r="B213" s="126" t="s">
        <v>7</v>
      </c>
      <c r="C213" s="126">
        <v>20481</v>
      </c>
      <c r="D213" s="126" t="s">
        <v>140</v>
      </c>
      <c r="E213" s="126" t="s">
        <v>177</v>
      </c>
      <c r="F213" s="127">
        <v>44532</v>
      </c>
      <c r="G213" s="126" t="s">
        <v>175</v>
      </c>
      <c r="H213" s="126" t="s">
        <v>176</v>
      </c>
      <c r="I213" s="126">
        <v>1</v>
      </c>
      <c r="J213" s="126" t="s">
        <v>184</v>
      </c>
      <c r="K213" s="126" t="s">
        <v>286</v>
      </c>
      <c r="L213" s="126" t="s">
        <v>1630</v>
      </c>
      <c r="M213" s="126" t="s">
        <v>580</v>
      </c>
      <c r="N213" s="126" t="s">
        <v>580</v>
      </c>
      <c r="O213" s="126" t="s">
        <v>581</v>
      </c>
      <c r="P213" s="126" t="s">
        <v>171</v>
      </c>
      <c r="Q213" s="126" t="s">
        <v>584</v>
      </c>
      <c r="R213" s="126" t="s">
        <v>584</v>
      </c>
      <c r="S213" s="126" t="s">
        <v>585</v>
      </c>
      <c r="T213" s="126" t="s">
        <v>160</v>
      </c>
      <c r="U213" s="126"/>
      <c r="V213" s="128">
        <v>400000000</v>
      </c>
      <c r="W213" s="128">
        <v>400000000</v>
      </c>
      <c r="X213" s="126" t="s">
        <v>1209</v>
      </c>
      <c r="Y213" s="126">
        <v>0</v>
      </c>
      <c r="Z213" s="126">
        <v>0</v>
      </c>
      <c r="AA213" s="126" t="s">
        <v>2</v>
      </c>
      <c r="AB213" s="126" t="s">
        <v>140</v>
      </c>
      <c r="AC213" s="126" t="s">
        <v>162</v>
      </c>
      <c r="AD213" s="126"/>
      <c r="AE213" s="126"/>
      <c r="AF213" s="126"/>
      <c r="AG213" s="126"/>
      <c r="AH213" s="126" t="s">
        <v>286</v>
      </c>
      <c r="AI213" s="126" t="s">
        <v>1635</v>
      </c>
    </row>
    <row r="214" spans="1:35" ht="390" x14ac:dyDescent="0.25">
      <c r="A214" s="46" t="str">
        <f t="shared" si="3"/>
        <v>CARTCRD024643TRADICIONALNUTRESA</v>
      </c>
      <c r="B214" s="126" t="s">
        <v>7</v>
      </c>
      <c r="C214" s="126">
        <v>20481</v>
      </c>
      <c r="D214" s="126" t="s">
        <v>140</v>
      </c>
      <c r="E214" s="126" t="s">
        <v>177</v>
      </c>
      <c r="F214" s="127">
        <v>44532</v>
      </c>
      <c r="G214" s="126" t="s">
        <v>175</v>
      </c>
      <c r="H214" s="126" t="s">
        <v>176</v>
      </c>
      <c r="I214" s="126">
        <v>1</v>
      </c>
      <c r="J214" s="126" t="s">
        <v>184</v>
      </c>
      <c r="K214" s="126" t="s">
        <v>286</v>
      </c>
      <c r="L214" s="126" t="s">
        <v>1630</v>
      </c>
      <c r="M214" s="126" t="s">
        <v>580</v>
      </c>
      <c r="N214" s="126" t="s">
        <v>580</v>
      </c>
      <c r="O214" s="126" t="s">
        <v>581</v>
      </c>
      <c r="P214" s="126" t="s">
        <v>171</v>
      </c>
      <c r="Q214" s="126" t="s">
        <v>493</v>
      </c>
      <c r="R214" s="126" t="s">
        <v>493</v>
      </c>
      <c r="S214" s="126" t="s">
        <v>494</v>
      </c>
      <c r="T214" s="126" t="s">
        <v>160</v>
      </c>
      <c r="U214" s="126"/>
      <c r="V214" s="128">
        <v>400000000</v>
      </c>
      <c r="W214" s="128">
        <v>400000000</v>
      </c>
      <c r="X214" s="126" t="s">
        <v>1209</v>
      </c>
      <c r="Y214" s="126">
        <v>0</v>
      </c>
      <c r="Z214" s="126">
        <v>0</v>
      </c>
      <c r="AA214" s="126" t="s">
        <v>2</v>
      </c>
      <c r="AB214" s="126" t="s">
        <v>140</v>
      </c>
      <c r="AC214" s="126" t="s">
        <v>162</v>
      </c>
      <c r="AD214" s="126"/>
      <c r="AE214" s="126"/>
      <c r="AF214" s="126"/>
      <c r="AG214" s="126"/>
      <c r="AH214" s="126" t="s">
        <v>286</v>
      </c>
      <c r="AI214" s="126" t="s">
        <v>1636</v>
      </c>
    </row>
    <row r="215" spans="1:35" ht="285" x14ac:dyDescent="0.25">
      <c r="A215" s="46" t="str">
        <f t="shared" si="3"/>
        <v>CARTACT000436AUTOSERVICIOBPO</v>
      </c>
      <c r="B215" s="126" t="s">
        <v>7</v>
      </c>
      <c r="C215" s="126">
        <v>20502</v>
      </c>
      <c r="D215" s="126" t="s">
        <v>140</v>
      </c>
      <c r="E215" s="126" t="s">
        <v>177</v>
      </c>
      <c r="F215" s="127">
        <v>44536</v>
      </c>
      <c r="G215" s="126" t="s">
        <v>175</v>
      </c>
      <c r="H215" s="126" t="s">
        <v>176</v>
      </c>
      <c r="I215" s="126">
        <v>1</v>
      </c>
      <c r="J215" s="126" t="s">
        <v>184</v>
      </c>
      <c r="K215" s="126" t="s">
        <v>286</v>
      </c>
      <c r="L215" s="126" t="s">
        <v>1637</v>
      </c>
      <c r="M215" s="126" t="s">
        <v>1638</v>
      </c>
      <c r="N215" s="126" t="s">
        <v>1638</v>
      </c>
      <c r="O215" s="126" t="s">
        <v>1639</v>
      </c>
      <c r="P215" s="126" t="s">
        <v>170</v>
      </c>
      <c r="Q215" s="126" t="s">
        <v>349</v>
      </c>
      <c r="R215" s="126" t="s">
        <v>349</v>
      </c>
      <c r="S215" s="126" t="s">
        <v>350</v>
      </c>
      <c r="T215" s="126" t="s">
        <v>160</v>
      </c>
      <c r="U215" s="126"/>
      <c r="V215" s="128">
        <v>1000000</v>
      </c>
      <c r="W215" s="128">
        <v>1000000</v>
      </c>
      <c r="X215" s="126" t="s">
        <v>1209</v>
      </c>
      <c r="Y215" s="126">
        <v>122366</v>
      </c>
      <c r="Z215" s="126">
        <v>0</v>
      </c>
      <c r="AA215" s="126" t="s">
        <v>0</v>
      </c>
      <c r="AB215" s="126" t="s">
        <v>161</v>
      </c>
      <c r="AC215" s="126" t="s">
        <v>165</v>
      </c>
      <c r="AD215" s="126"/>
      <c r="AE215" s="126"/>
      <c r="AF215" s="126"/>
      <c r="AG215" s="126"/>
      <c r="AH215" s="126" t="s">
        <v>286</v>
      </c>
      <c r="AI215" s="126" t="s">
        <v>1640</v>
      </c>
    </row>
    <row r="216" spans="1:35" ht="165" x14ac:dyDescent="0.25">
      <c r="A216" s="46" t="str">
        <f t="shared" si="3"/>
        <v>CARTCRD024849AUTOSERVICIONUTRESA</v>
      </c>
      <c r="B216" s="126" t="s">
        <v>7</v>
      </c>
      <c r="C216" s="126">
        <v>20504</v>
      </c>
      <c r="D216" s="126" t="s">
        <v>140</v>
      </c>
      <c r="E216" s="126" t="s">
        <v>177</v>
      </c>
      <c r="F216" s="127">
        <v>44536</v>
      </c>
      <c r="G216" s="126" t="s">
        <v>175</v>
      </c>
      <c r="H216" s="126" t="s">
        <v>176</v>
      </c>
      <c r="I216" s="126">
        <v>1</v>
      </c>
      <c r="J216" s="126" t="s">
        <v>184</v>
      </c>
      <c r="K216" s="126" t="s">
        <v>286</v>
      </c>
      <c r="L216" s="126" t="s">
        <v>1641</v>
      </c>
      <c r="M216" s="126" t="s">
        <v>1642</v>
      </c>
      <c r="N216" s="126" t="s">
        <v>1642</v>
      </c>
      <c r="O216" s="126" t="s">
        <v>1643</v>
      </c>
      <c r="P216" s="126" t="s">
        <v>168</v>
      </c>
      <c r="Q216" s="126" t="s">
        <v>467</v>
      </c>
      <c r="R216" s="126" t="s">
        <v>467</v>
      </c>
      <c r="S216" s="126" t="s">
        <v>468</v>
      </c>
      <c r="T216" s="126" t="s">
        <v>160</v>
      </c>
      <c r="U216" s="126"/>
      <c r="V216" s="128">
        <v>3000000000</v>
      </c>
      <c r="W216" s="128">
        <v>3000000000</v>
      </c>
      <c r="X216" s="126" t="s">
        <v>1209</v>
      </c>
      <c r="Y216" s="126">
        <v>0</v>
      </c>
      <c r="Z216" s="126">
        <v>0</v>
      </c>
      <c r="AA216" s="126" t="s">
        <v>0</v>
      </c>
      <c r="AB216" s="126" t="s">
        <v>140</v>
      </c>
      <c r="AC216" s="126" t="s">
        <v>162</v>
      </c>
      <c r="AD216" s="126"/>
      <c r="AE216" s="126"/>
      <c r="AF216" s="126"/>
      <c r="AG216" s="126"/>
      <c r="AH216" s="126" t="s">
        <v>286</v>
      </c>
      <c r="AI216" s="126" t="s">
        <v>1644</v>
      </c>
    </row>
    <row r="217" spans="1:35" ht="150" x14ac:dyDescent="0.25">
      <c r="A217" s="46" t="str">
        <f t="shared" si="3"/>
        <v>CARTCRD025017CADENASNUTRESA</v>
      </c>
      <c r="B217" s="126" t="s">
        <v>7</v>
      </c>
      <c r="C217" s="126">
        <v>20514</v>
      </c>
      <c r="D217" s="126" t="s">
        <v>140</v>
      </c>
      <c r="E217" s="126" t="s">
        <v>177</v>
      </c>
      <c r="F217" s="127">
        <v>44537</v>
      </c>
      <c r="G217" s="126" t="s">
        <v>175</v>
      </c>
      <c r="H217" s="126" t="s">
        <v>176</v>
      </c>
      <c r="I217" s="126">
        <v>1</v>
      </c>
      <c r="J217" s="126" t="s">
        <v>184</v>
      </c>
      <c r="K217" s="126" t="s">
        <v>266</v>
      </c>
      <c r="L217" s="126" t="s">
        <v>1645</v>
      </c>
      <c r="M217" s="126" t="s">
        <v>1646</v>
      </c>
      <c r="N217" s="126">
        <v>14000358831</v>
      </c>
      <c r="O217" s="126" t="s">
        <v>592</v>
      </c>
      <c r="P217" s="126" t="s">
        <v>171</v>
      </c>
      <c r="Q217" s="126" t="s">
        <v>473</v>
      </c>
      <c r="R217" s="126" t="s">
        <v>473</v>
      </c>
      <c r="S217" s="126" t="s">
        <v>474</v>
      </c>
      <c r="T217" s="126" t="s">
        <v>160</v>
      </c>
      <c r="U217" s="126"/>
      <c r="V217" s="128">
        <v>1000000</v>
      </c>
      <c r="W217" s="128">
        <v>1000000</v>
      </c>
      <c r="X217" s="126" t="s">
        <v>1209</v>
      </c>
      <c r="Y217" s="126">
        <v>0</v>
      </c>
      <c r="Z217" s="126">
        <v>0</v>
      </c>
      <c r="AA217" s="126" t="s">
        <v>1</v>
      </c>
      <c r="AB217" s="126" t="s">
        <v>140</v>
      </c>
      <c r="AC217" s="126" t="s">
        <v>162</v>
      </c>
      <c r="AD217" s="126"/>
      <c r="AE217" s="126"/>
      <c r="AF217" s="126"/>
      <c r="AG217" s="126"/>
      <c r="AH217" s="126" t="s">
        <v>266</v>
      </c>
      <c r="AI217" s="126" t="s">
        <v>1647</v>
      </c>
    </row>
    <row r="218" spans="1:35" ht="165" x14ac:dyDescent="0.25">
      <c r="A218" s="46" t="str">
        <f t="shared" si="3"/>
        <v>CARTACT000225TRADICIONALNUTRESA</v>
      </c>
      <c r="B218" s="126" t="s">
        <v>7</v>
      </c>
      <c r="C218" s="126">
        <v>20557</v>
      </c>
      <c r="D218" s="126" t="s">
        <v>140</v>
      </c>
      <c r="E218" s="126" t="s">
        <v>177</v>
      </c>
      <c r="F218" s="127">
        <v>44540</v>
      </c>
      <c r="G218" s="126" t="s">
        <v>175</v>
      </c>
      <c r="H218" s="126" t="s">
        <v>176</v>
      </c>
      <c r="I218" s="126">
        <v>1</v>
      </c>
      <c r="J218" s="126" t="s">
        <v>184</v>
      </c>
      <c r="K218" s="126" t="s">
        <v>286</v>
      </c>
      <c r="L218" s="126" t="s">
        <v>1648</v>
      </c>
      <c r="M218" s="126" t="s">
        <v>1649</v>
      </c>
      <c r="N218" s="126" t="s">
        <v>1649</v>
      </c>
      <c r="O218" s="126" t="s">
        <v>593</v>
      </c>
      <c r="P218" s="126" t="s">
        <v>170</v>
      </c>
      <c r="Q218" s="126" t="s">
        <v>136</v>
      </c>
      <c r="R218" s="126" t="s">
        <v>136</v>
      </c>
      <c r="S218" s="126" t="s">
        <v>173</v>
      </c>
      <c r="T218" s="126" t="s">
        <v>160</v>
      </c>
      <c r="U218" s="126" t="s">
        <v>136</v>
      </c>
      <c r="V218" s="128">
        <v>1000000</v>
      </c>
      <c r="W218" s="128">
        <v>1000000</v>
      </c>
      <c r="X218" s="126" t="s">
        <v>1209</v>
      </c>
      <c r="Y218" s="126">
        <v>130303</v>
      </c>
      <c r="Z218" s="126">
        <v>0</v>
      </c>
      <c r="AA218" s="126" t="s">
        <v>2</v>
      </c>
      <c r="AB218" s="126" t="s">
        <v>140</v>
      </c>
      <c r="AC218" s="126" t="s">
        <v>165</v>
      </c>
      <c r="AD218" s="126"/>
      <c r="AE218" s="126"/>
      <c r="AF218" s="126"/>
      <c r="AG218" s="126"/>
      <c r="AH218" s="126" t="s">
        <v>286</v>
      </c>
      <c r="AI218" s="126" t="s">
        <v>1650</v>
      </c>
    </row>
    <row r="219" spans="1:35" ht="120" x14ac:dyDescent="0.25">
      <c r="A219" s="46" t="str">
        <f t="shared" si="3"/>
        <v>CARTCRD025004TRADICIONALNUTRESA</v>
      </c>
      <c r="B219" s="126" t="s">
        <v>7</v>
      </c>
      <c r="C219" s="126">
        <v>20561</v>
      </c>
      <c r="D219" s="126" t="s">
        <v>140</v>
      </c>
      <c r="E219" s="126" t="s">
        <v>177</v>
      </c>
      <c r="F219" s="127">
        <v>44540</v>
      </c>
      <c r="G219" s="126" t="s">
        <v>175</v>
      </c>
      <c r="H219" s="126" t="s">
        <v>176</v>
      </c>
      <c r="I219" s="126">
        <v>1</v>
      </c>
      <c r="J219" s="126" t="s">
        <v>184</v>
      </c>
      <c r="K219" s="126" t="s">
        <v>594</v>
      </c>
      <c r="L219" s="126" t="s">
        <v>1651</v>
      </c>
      <c r="M219" s="126" t="s">
        <v>595</v>
      </c>
      <c r="N219" s="126">
        <v>4502225582</v>
      </c>
      <c r="O219" s="126" t="s">
        <v>596</v>
      </c>
      <c r="P219" s="126" t="s">
        <v>171</v>
      </c>
      <c r="Q219" s="126" t="s">
        <v>485</v>
      </c>
      <c r="R219" s="126" t="s">
        <v>485</v>
      </c>
      <c r="S219" s="126" t="s">
        <v>1245</v>
      </c>
      <c r="T219" s="126" t="s">
        <v>160</v>
      </c>
      <c r="U219" s="126"/>
      <c r="V219" s="128">
        <v>43000000</v>
      </c>
      <c r="W219" s="128">
        <v>43000000</v>
      </c>
      <c r="X219" s="126" t="s">
        <v>1209</v>
      </c>
      <c r="Y219" s="126">
        <v>0</v>
      </c>
      <c r="Z219" s="126">
        <v>0</v>
      </c>
      <c r="AA219" s="126" t="s">
        <v>2</v>
      </c>
      <c r="AB219" s="126" t="s">
        <v>140</v>
      </c>
      <c r="AC219" s="126" t="s">
        <v>162</v>
      </c>
      <c r="AD219" s="126"/>
      <c r="AE219" s="126"/>
      <c r="AF219" s="126"/>
      <c r="AG219" s="126"/>
      <c r="AH219" s="126" t="s">
        <v>594</v>
      </c>
      <c r="AI219" s="126" t="s">
        <v>1652</v>
      </c>
    </row>
    <row r="220" spans="1:35" ht="330" x14ac:dyDescent="0.25">
      <c r="A220" s="46" t="str">
        <f t="shared" si="3"/>
        <v>CARTCRD024647TRADICIONALNUTRESA</v>
      </c>
      <c r="B220" s="126" t="s">
        <v>7</v>
      </c>
      <c r="C220" s="126">
        <v>20566</v>
      </c>
      <c r="D220" s="126" t="s">
        <v>140</v>
      </c>
      <c r="E220" s="126" t="s">
        <v>177</v>
      </c>
      <c r="F220" s="127">
        <v>44540</v>
      </c>
      <c r="G220" s="126" t="s">
        <v>175</v>
      </c>
      <c r="H220" s="126" t="s">
        <v>176</v>
      </c>
      <c r="I220" s="126">
        <v>1</v>
      </c>
      <c r="J220" s="126" t="s">
        <v>184</v>
      </c>
      <c r="K220" s="126" t="s">
        <v>286</v>
      </c>
      <c r="L220" s="126" t="s">
        <v>1653</v>
      </c>
      <c r="M220" s="126" t="s">
        <v>1654</v>
      </c>
      <c r="N220" s="126" t="s">
        <v>1654</v>
      </c>
      <c r="O220" s="126" t="s">
        <v>1655</v>
      </c>
      <c r="P220" s="126" t="s">
        <v>171</v>
      </c>
      <c r="Q220" s="126" t="s">
        <v>480</v>
      </c>
      <c r="R220" s="126" t="s">
        <v>480</v>
      </c>
      <c r="S220" s="126" t="s">
        <v>481</v>
      </c>
      <c r="T220" s="126" t="s">
        <v>160</v>
      </c>
      <c r="U220" s="126"/>
      <c r="V220" s="128">
        <v>398000000</v>
      </c>
      <c r="W220" s="128">
        <v>398000000</v>
      </c>
      <c r="X220" s="126" t="s">
        <v>1209</v>
      </c>
      <c r="Y220" s="126">
        <v>0</v>
      </c>
      <c r="Z220" s="126">
        <v>0</v>
      </c>
      <c r="AA220" s="126" t="s">
        <v>2</v>
      </c>
      <c r="AB220" s="126" t="s">
        <v>140</v>
      </c>
      <c r="AC220" s="126" t="s">
        <v>162</v>
      </c>
      <c r="AD220" s="126"/>
      <c r="AE220" s="126"/>
      <c r="AF220" s="126"/>
      <c r="AG220" s="126"/>
      <c r="AH220" s="126" t="s">
        <v>286</v>
      </c>
      <c r="AI220" s="126" t="s">
        <v>1656</v>
      </c>
    </row>
    <row r="221" spans="1:35" ht="330" x14ac:dyDescent="0.25">
      <c r="A221" s="46" t="str">
        <f t="shared" si="3"/>
        <v>CARTCRD024646TRADICIONALNUTRESA</v>
      </c>
      <c r="B221" s="126" t="s">
        <v>7</v>
      </c>
      <c r="C221" s="126">
        <v>20566</v>
      </c>
      <c r="D221" s="126" t="s">
        <v>140</v>
      </c>
      <c r="E221" s="126" t="s">
        <v>177</v>
      </c>
      <c r="F221" s="127">
        <v>44540</v>
      </c>
      <c r="G221" s="126" t="s">
        <v>175</v>
      </c>
      <c r="H221" s="126" t="s">
        <v>176</v>
      </c>
      <c r="I221" s="126">
        <v>1</v>
      </c>
      <c r="J221" s="126" t="s">
        <v>184</v>
      </c>
      <c r="K221" s="126" t="s">
        <v>286</v>
      </c>
      <c r="L221" s="126" t="s">
        <v>1653</v>
      </c>
      <c r="M221" s="126" t="s">
        <v>1654</v>
      </c>
      <c r="N221" s="126" t="s">
        <v>1654</v>
      </c>
      <c r="O221" s="126" t="s">
        <v>1655</v>
      </c>
      <c r="P221" s="126" t="s">
        <v>171</v>
      </c>
      <c r="Q221" s="126" t="s">
        <v>482</v>
      </c>
      <c r="R221" s="126" t="s">
        <v>482</v>
      </c>
      <c r="S221" s="126" t="s">
        <v>483</v>
      </c>
      <c r="T221" s="126" t="s">
        <v>160</v>
      </c>
      <c r="U221" s="126"/>
      <c r="V221" s="128">
        <v>400000000</v>
      </c>
      <c r="W221" s="128">
        <v>400000000</v>
      </c>
      <c r="X221" s="126" t="s">
        <v>1209</v>
      </c>
      <c r="Y221" s="126">
        <v>0</v>
      </c>
      <c r="Z221" s="126">
        <v>0</v>
      </c>
      <c r="AA221" s="126" t="s">
        <v>2</v>
      </c>
      <c r="AB221" s="126" t="s">
        <v>140</v>
      </c>
      <c r="AC221" s="126" t="s">
        <v>162</v>
      </c>
      <c r="AD221" s="126"/>
      <c r="AE221" s="126"/>
      <c r="AF221" s="126"/>
      <c r="AG221" s="126"/>
      <c r="AH221" s="126" t="s">
        <v>286</v>
      </c>
      <c r="AI221" s="126" t="s">
        <v>1657</v>
      </c>
    </row>
    <row r="222" spans="1:35" ht="330" x14ac:dyDescent="0.25">
      <c r="A222" s="46" t="str">
        <f t="shared" si="3"/>
        <v>CARTCRD024645TRADICIONALNUTRESA</v>
      </c>
      <c r="B222" s="126" t="s">
        <v>7</v>
      </c>
      <c r="C222" s="126">
        <v>20566</v>
      </c>
      <c r="D222" s="126" t="s">
        <v>140</v>
      </c>
      <c r="E222" s="126" t="s">
        <v>177</v>
      </c>
      <c r="F222" s="127">
        <v>44540</v>
      </c>
      <c r="G222" s="126" t="s">
        <v>175</v>
      </c>
      <c r="H222" s="126" t="s">
        <v>176</v>
      </c>
      <c r="I222" s="126">
        <v>1</v>
      </c>
      <c r="J222" s="126" t="s">
        <v>184</v>
      </c>
      <c r="K222" s="126" t="s">
        <v>286</v>
      </c>
      <c r="L222" s="126" t="s">
        <v>1653</v>
      </c>
      <c r="M222" s="126" t="s">
        <v>1654</v>
      </c>
      <c r="N222" s="126" t="s">
        <v>1654</v>
      </c>
      <c r="O222" s="126" t="s">
        <v>1655</v>
      </c>
      <c r="P222" s="126" t="s">
        <v>171</v>
      </c>
      <c r="Q222" s="126" t="s">
        <v>476</v>
      </c>
      <c r="R222" s="126" t="s">
        <v>476</v>
      </c>
      <c r="S222" s="126" t="s">
        <v>477</v>
      </c>
      <c r="T222" s="126" t="s">
        <v>160</v>
      </c>
      <c r="U222" s="126"/>
      <c r="V222" s="128">
        <v>400000000</v>
      </c>
      <c r="W222" s="128">
        <v>400000000</v>
      </c>
      <c r="X222" s="126" t="s">
        <v>1209</v>
      </c>
      <c r="Y222" s="126">
        <v>0</v>
      </c>
      <c r="Z222" s="126">
        <v>0</v>
      </c>
      <c r="AA222" s="126" t="s">
        <v>2</v>
      </c>
      <c r="AB222" s="126" t="s">
        <v>140</v>
      </c>
      <c r="AC222" s="126" t="s">
        <v>162</v>
      </c>
      <c r="AD222" s="126"/>
      <c r="AE222" s="126"/>
      <c r="AF222" s="126"/>
      <c r="AG222" s="126"/>
      <c r="AH222" s="126" t="s">
        <v>286</v>
      </c>
      <c r="AI222" s="126" t="s">
        <v>1658</v>
      </c>
    </row>
    <row r="223" spans="1:35" ht="330" x14ac:dyDescent="0.25">
      <c r="A223" s="46" t="str">
        <f t="shared" si="3"/>
        <v>CARTCRD024644TRADICIONALNUTRESA</v>
      </c>
      <c r="B223" s="126" t="s">
        <v>7</v>
      </c>
      <c r="C223" s="126">
        <v>20566</v>
      </c>
      <c r="D223" s="126" t="s">
        <v>140</v>
      </c>
      <c r="E223" s="126" t="s">
        <v>177</v>
      </c>
      <c r="F223" s="127">
        <v>44540</v>
      </c>
      <c r="G223" s="126" t="s">
        <v>175</v>
      </c>
      <c r="H223" s="126" t="s">
        <v>176</v>
      </c>
      <c r="I223" s="126">
        <v>1</v>
      </c>
      <c r="J223" s="126" t="s">
        <v>184</v>
      </c>
      <c r="K223" s="126" t="s">
        <v>286</v>
      </c>
      <c r="L223" s="126" t="s">
        <v>1653</v>
      </c>
      <c r="M223" s="126" t="s">
        <v>1654</v>
      </c>
      <c r="N223" s="126" t="s">
        <v>1654</v>
      </c>
      <c r="O223" s="126" t="s">
        <v>1655</v>
      </c>
      <c r="P223" s="126" t="s">
        <v>171</v>
      </c>
      <c r="Q223" s="126" t="s">
        <v>478</v>
      </c>
      <c r="R223" s="126" t="s">
        <v>478</v>
      </c>
      <c r="S223" s="126" t="s">
        <v>479</v>
      </c>
      <c r="T223" s="126" t="s">
        <v>160</v>
      </c>
      <c r="U223" s="126"/>
      <c r="V223" s="128">
        <v>400000000</v>
      </c>
      <c r="W223" s="128">
        <v>400000000</v>
      </c>
      <c r="X223" s="126" t="s">
        <v>1209</v>
      </c>
      <c r="Y223" s="126">
        <v>0</v>
      </c>
      <c r="Z223" s="126">
        <v>0</v>
      </c>
      <c r="AA223" s="126" t="s">
        <v>2</v>
      </c>
      <c r="AB223" s="126" t="s">
        <v>140</v>
      </c>
      <c r="AC223" s="126" t="s">
        <v>162</v>
      </c>
      <c r="AD223" s="126"/>
      <c r="AE223" s="126"/>
      <c r="AF223" s="126"/>
      <c r="AG223" s="126"/>
      <c r="AH223" s="126" t="s">
        <v>286</v>
      </c>
      <c r="AI223" s="126" t="s">
        <v>1659</v>
      </c>
    </row>
    <row r="224" spans="1:35" ht="165" x14ac:dyDescent="0.25">
      <c r="A224" s="46" t="str">
        <f t="shared" si="3"/>
        <v>CARTCRD025002AUTOSERVICIONUTRESA</v>
      </c>
      <c r="B224" s="126" t="s">
        <v>7</v>
      </c>
      <c r="C224" s="126">
        <v>20582</v>
      </c>
      <c r="D224" s="126" t="s">
        <v>140</v>
      </c>
      <c r="E224" s="126" t="s">
        <v>177</v>
      </c>
      <c r="F224" s="127">
        <v>44544</v>
      </c>
      <c r="G224" s="126" t="s">
        <v>175</v>
      </c>
      <c r="H224" s="126" t="s">
        <v>176</v>
      </c>
      <c r="I224" s="126">
        <v>1</v>
      </c>
      <c r="J224" s="126" t="s">
        <v>184</v>
      </c>
      <c r="K224" s="126" t="s">
        <v>266</v>
      </c>
      <c r="L224" s="126" t="s">
        <v>1660</v>
      </c>
      <c r="M224" s="126" t="s">
        <v>1661</v>
      </c>
      <c r="N224" s="126">
        <v>52800017821</v>
      </c>
      <c r="O224" s="126" t="s">
        <v>597</v>
      </c>
      <c r="P224" s="126" t="s">
        <v>171</v>
      </c>
      <c r="Q224" s="126" t="s">
        <v>491</v>
      </c>
      <c r="R224" s="126" t="s">
        <v>491</v>
      </c>
      <c r="S224" s="126" t="s">
        <v>492</v>
      </c>
      <c r="T224" s="126" t="s">
        <v>160</v>
      </c>
      <c r="U224" s="126"/>
      <c r="V224" s="128">
        <v>30000000</v>
      </c>
      <c r="W224" s="128">
        <v>30000000</v>
      </c>
      <c r="X224" s="126" t="s">
        <v>1209</v>
      </c>
      <c r="Y224" s="126">
        <v>0</v>
      </c>
      <c r="Z224" s="126">
        <v>0</v>
      </c>
      <c r="AA224" s="126" t="s">
        <v>0</v>
      </c>
      <c r="AB224" s="126" t="s">
        <v>140</v>
      </c>
      <c r="AC224" s="126" t="s">
        <v>162</v>
      </c>
      <c r="AD224" s="126"/>
      <c r="AE224" s="126"/>
      <c r="AF224" s="126"/>
      <c r="AG224" s="126"/>
      <c r="AH224" s="126" t="s">
        <v>266</v>
      </c>
      <c r="AI224" s="126" t="s">
        <v>1662</v>
      </c>
    </row>
    <row r="225" spans="1:35" ht="165" x14ac:dyDescent="0.25">
      <c r="A225" s="46" t="str">
        <f t="shared" si="3"/>
        <v>CARTCRD025001AUTOSERVICIONUTRESA</v>
      </c>
      <c r="B225" s="126" t="s">
        <v>7</v>
      </c>
      <c r="C225" s="126">
        <v>20582</v>
      </c>
      <c r="D225" s="126" t="s">
        <v>140</v>
      </c>
      <c r="E225" s="126" t="s">
        <v>177</v>
      </c>
      <c r="F225" s="127">
        <v>44544</v>
      </c>
      <c r="G225" s="126" t="s">
        <v>175</v>
      </c>
      <c r="H225" s="126" t="s">
        <v>176</v>
      </c>
      <c r="I225" s="126">
        <v>1</v>
      </c>
      <c r="J225" s="126" t="s">
        <v>184</v>
      </c>
      <c r="K225" s="126" t="s">
        <v>266</v>
      </c>
      <c r="L225" s="126" t="s">
        <v>1660</v>
      </c>
      <c r="M225" s="126" t="s">
        <v>1661</v>
      </c>
      <c r="N225" s="126">
        <v>52800017821</v>
      </c>
      <c r="O225" s="126" t="s">
        <v>597</v>
      </c>
      <c r="P225" s="126" t="s">
        <v>171</v>
      </c>
      <c r="Q225" s="126" t="s">
        <v>489</v>
      </c>
      <c r="R225" s="126" t="s">
        <v>489</v>
      </c>
      <c r="S225" s="126" t="s">
        <v>490</v>
      </c>
      <c r="T225" s="126" t="s">
        <v>160</v>
      </c>
      <c r="U225" s="126"/>
      <c r="V225" s="128">
        <v>30000000</v>
      </c>
      <c r="W225" s="128">
        <v>30000000</v>
      </c>
      <c r="X225" s="126" t="s">
        <v>1209</v>
      </c>
      <c r="Y225" s="126">
        <v>0</v>
      </c>
      <c r="Z225" s="126">
        <v>0</v>
      </c>
      <c r="AA225" s="126" t="s">
        <v>0</v>
      </c>
      <c r="AB225" s="126" t="s">
        <v>140</v>
      </c>
      <c r="AC225" s="126" t="s">
        <v>162</v>
      </c>
      <c r="AD225" s="126"/>
      <c r="AE225" s="126"/>
      <c r="AF225" s="126"/>
      <c r="AG225" s="126"/>
      <c r="AH225" s="126" t="s">
        <v>266</v>
      </c>
      <c r="AI225" s="126" t="s">
        <v>1663</v>
      </c>
    </row>
    <row r="226" spans="1:35" ht="165" x14ac:dyDescent="0.25">
      <c r="A226" s="46" t="str">
        <f t="shared" si="3"/>
        <v>CARTCRD025010TRADICIONALNUTRESA</v>
      </c>
      <c r="B226" s="126" t="s">
        <v>7</v>
      </c>
      <c r="C226" s="126">
        <v>20585</v>
      </c>
      <c r="D226" s="126" t="s">
        <v>140</v>
      </c>
      <c r="E226" s="126" t="s">
        <v>177</v>
      </c>
      <c r="F226" s="127">
        <v>44544</v>
      </c>
      <c r="G226" s="126" t="s">
        <v>175</v>
      </c>
      <c r="H226" s="126" t="s">
        <v>176</v>
      </c>
      <c r="I226" s="126">
        <v>1</v>
      </c>
      <c r="J226" s="126" t="s">
        <v>184</v>
      </c>
      <c r="K226" s="126" t="s">
        <v>266</v>
      </c>
      <c r="L226" s="126" t="s">
        <v>1664</v>
      </c>
      <c r="M226" s="126" t="s">
        <v>598</v>
      </c>
      <c r="N226" s="126">
        <v>52800017821</v>
      </c>
      <c r="O226" s="126" t="s">
        <v>599</v>
      </c>
      <c r="P226" s="126" t="s">
        <v>171</v>
      </c>
      <c r="Q226" s="126" t="s">
        <v>488</v>
      </c>
      <c r="R226" s="126" t="s">
        <v>488</v>
      </c>
      <c r="S226" s="126" t="s">
        <v>1255</v>
      </c>
      <c r="T226" s="126" t="s">
        <v>160</v>
      </c>
      <c r="U226" s="126"/>
      <c r="V226" s="128">
        <v>1300000000</v>
      </c>
      <c r="W226" s="128">
        <v>1300000000</v>
      </c>
      <c r="X226" s="126" t="s">
        <v>1209</v>
      </c>
      <c r="Y226" s="126">
        <v>0</v>
      </c>
      <c r="Z226" s="126">
        <v>0</v>
      </c>
      <c r="AA226" s="126" t="s">
        <v>2</v>
      </c>
      <c r="AB226" s="126" t="s">
        <v>140</v>
      </c>
      <c r="AC226" s="126" t="s">
        <v>162</v>
      </c>
      <c r="AD226" s="126"/>
      <c r="AE226" s="126"/>
      <c r="AF226" s="126"/>
      <c r="AG226" s="126"/>
      <c r="AH226" s="126" t="s">
        <v>266</v>
      </c>
      <c r="AI226" s="126" t="s">
        <v>1665</v>
      </c>
    </row>
    <row r="227" spans="1:35" ht="165" x14ac:dyDescent="0.25">
      <c r="A227" s="46" t="str">
        <f t="shared" si="3"/>
        <v>CARTCRD025009TRADICIONALNUTRESA</v>
      </c>
      <c r="B227" s="126" t="s">
        <v>7</v>
      </c>
      <c r="C227" s="126">
        <v>20585</v>
      </c>
      <c r="D227" s="126" t="s">
        <v>140</v>
      </c>
      <c r="E227" s="126" t="s">
        <v>177</v>
      </c>
      <c r="F227" s="127">
        <v>44544</v>
      </c>
      <c r="G227" s="126" t="s">
        <v>175</v>
      </c>
      <c r="H227" s="126" t="s">
        <v>176</v>
      </c>
      <c r="I227" s="126">
        <v>1</v>
      </c>
      <c r="J227" s="126" t="s">
        <v>184</v>
      </c>
      <c r="K227" s="126" t="s">
        <v>266</v>
      </c>
      <c r="L227" s="126" t="s">
        <v>1664</v>
      </c>
      <c r="M227" s="126" t="s">
        <v>598</v>
      </c>
      <c r="N227" s="126">
        <v>52800017821</v>
      </c>
      <c r="O227" s="126" t="s">
        <v>599</v>
      </c>
      <c r="P227" s="126" t="s">
        <v>171</v>
      </c>
      <c r="Q227" s="126" t="s">
        <v>487</v>
      </c>
      <c r="R227" s="126" t="s">
        <v>487</v>
      </c>
      <c r="S227" s="126" t="s">
        <v>1253</v>
      </c>
      <c r="T227" s="126" t="s">
        <v>160</v>
      </c>
      <c r="U227" s="126"/>
      <c r="V227" s="128">
        <v>1400000000</v>
      </c>
      <c r="W227" s="128">
        <v>1400000000</v>
      </c>
      <c r="X227" s="126" t="s">
        <v>1209</v>
      </c>
      <c r="Y227" s="126">
        <v>0</v>
      </c>
      <c r="Z227" s="126">
        <v>0</v>
      </c>
      <c r="AA227" s="126" t="s">
        <v>2</v>
      </c>
      <c r="AB227" s="126" t="s">
        <v>140</v>
      </c>
      <c r="AC227" s="126" t="s">
        <v>162</v>
      </c>
      <c r="AD227" s="126"/>
      <c r="AE227" s="126"/>
      <c r="AF227" s="126"/>
      <c r="AG227" s="126"/>
      <c r="AH227" s="126" t="s">
        <v>266</v>
      </c>
      <c r="AI227" s="126" t="s">
        <v>1666</v>
      </c>
    </row>
    <row r="228" spans="1:35" ht="165" x14ac:dyDescent="0.25">
      <c r="A228" s="46" t="str">
        <f t="shared" si="3"/>
        <v>CARTCRD025008TRADICIONALNUTRESA</v>
      </c>
      <c r="B228" s="126" t="s">
        <v>7</v>
      </c>
      <c r="C228" s="126">
        <v>20585</v>
      </c>
      <c r="D228" s="126" t="s">
        <v>140</v>
      </c>
      <c r="E228" s="126" t="s">
        <v>177</v>
      </c>
      <c r="F228" s="127">
        <v>44544</v>
      </c>
      <c r="G228" s="126" t="s">
        <v>175</v>
      </c>
      <c r="H228" s="126" t="s">
        <v>176</v>
      </c>
      <c r="I228" s="126">
        <v>1</v>
      </c>
      <c r="J228" s="126" t="s">
        <v>184</v>
      </c>
      <c r="K228" s="126" t="s">
        <v>266</v>
      </c>
      <c r="L228" s="126" t="s">
        <v>1664</v>
      </c>
      <c r="M228" s="126" t="s">
        <v>598</v>
      </c>
      <c r="N228" s="126">
        <v>52800017821</v>
      </c>
      <c r="O228" s="126" t="s">
        <v>599</v>
      </c>
      <c r="P228" s="126" t="s">
        <v>171</v>
      </c>
      <c r="Q228" s="126" t="s">
        <v>486</v>
      </c>
      <c r="R228" s="126" t="s">
        <v>486</v>
      </c>
      <c r="S228" s="126" t="s">
        <v>1251</v>
      </c>
      <c r="T228" s="126" t="s">
        <v>160</v>
      </c>
      <c r="U228" s="126"/>
      <c r="V228" s="128">
        <v>2000000000</v>
      </c>
      <c r="W228" s="128">
        <v>2000000000</v>
      </c>
      <c r="X228" s="126" t="s">
        <v>1209</v>
      </c>
      <c r="Y228" s="126">
        <v>0</v>
      </c>
      <c r="Z228" s="126">
        <v>0</v>
      </c>
      <c r="AA228" s="126" t="s">
        <v>2</v>
      </c>
      <c r="AB228" s="126" t="s">
        <v>140</v>
      </c>
      <c r="AC228" s="126" t="s">
        <v>162</v>
      </c>
      <c r="AD228" s="126"/>
      <c r="AE228" s="126"/>
      <c r="AF228" s="126"/>
      <c r="AG228" s="126"/>
      <c r="AH228" s="126" t="s">
        <v>266</v>
      </c>
      <c r="AI228" s="126" t="s">
        <v>1667</v>
      </c>
    </row>
    <row r="229" spans="1:35" ht="240" x14ac:dyDescent="0.25">
      <c r="A229" s="46" t="str">
        <f t="shared" si="3"/>
        <v>CARTCRD024971TRADICIONALNUTRESA</v>
      </c>
      <c r="B229" s="126" t="s">
        <v>7</v>
      </c>
      <c r="C229" s="126">
        <v>20588</v>
      </c>
      <c r="D229" s="126" t="s">
        <v>140</v>
      </c>
      <c r="E229" s="126" t="s">
        <v>177</v>
      </c>
      <c r="F229" s="127">
        <v>44545</v>
      </c>
      <c r="G229" s="126" t="s">
        <v>175</v>
      </c>
      <c r="H229" s="126" t="s">
        <v>176</v>
      </c>
      <c r="I229" s="126">
        <v>1</v>
      </c>
      <c r="J229" s="126" t="s">
        <v>184</v>
      </c>
      <c r="K229" s="126" t="s">
        <v>266</v>
      </c>
      <c r="L229" s="126" t="s">
        <v>1668</v>
      </c>
      <c r="M229" s="126" t="s">
        <v>600</v>
      </c>
      <c r="N229" s="126">
        <v>300002736909</v>
      </c>
      <c r="O229" s="126" t="s">
        <v>601</v>
      </c>
      <c r="P229" s="126" t="s">
        <v>170</v>
      </c>
      <c r="Q229" s="126" t="s">
        <v>555</v>
      </c>
      <c r="R229" s="126" t="s">
        <v>555</v>
      </c>
      <c r="S229" s="126" t="s">
        <v>556</v>
      </c>
      <c r="T229" s="126" t="s">
        <v>160</v>
      </c>
      <c r="U229" s="126"/>
      <c r="V229" s="128">
        <v>348000000</v>
      </c>
      <c r="W229" s="128">
        <v>348000000</v>
      </c>
      <c r="X229" s="126" t="s">
        <v>1209</v>
      </c>
      <c r="Y229" s="126">
        <v>0</v>
      </c>
      <c r="Z229" s="126">
        <v>0</v>
      </c>
      <c r="AA229" s="126" t="s">
        <v>2</v>
      </c>
      <c r="AB229" s="126" t="s">
        <v>140</v>
      </c>
      <c r="AC229" s="126" t="s">
        <v>162</v>
      </c>
      <c r="AD229" s="126"/>
      <c r="AE229" s="126"/>
      <c r="AF229" s="126"/>
      <c r="AG229" s="126"/>
      <c r="AH229" s="126" t="s">
        <v>266</v>
      </c>
      <c r="AI229" s="126" t="s">
        <v>1669</v>
      </c>
    </row>
    <row r="230" spans="1:35" ht="165" x14ac:dyDescent="0.25">
      <c r="A230" s="46" t="str">
        <f t="shared" si="3"/>
        <v>CARTCRD025006TRADICIONALNUTRESA</v>
      </c>
      <c r="B230" s="126" t="s">
        <v>7</v>
      </c>
      <c r="C230" s="126">
        <v>20603</v>
      </c>
      <c r="D230" s="126" t="s">
        <v>140</v>
      </c>
      <c r="E230" s="126" t="s">
        <v>177</v>
      </c>
      <c r="F230" s="127">
        <v>44547</v>
      </c>
      <c r="G230" s="126" t="s">
        <v>175</v>
      </c>
      <c r="H230" s="126" t="s">
        <v>176</v>
      </c>
      <c r="I230" s="126">
        <v>1</v>
      </c>
      <c r="J230" s="126" t="s">
        <v>184</v>
      </c>
      <c r="K230" s="126" t="s">
        <v>266</v>
      </c>
      <c r="L230" s="126" t="s">
        <v>1670</v>
      </c>
      <c r="M230" s="126" t="s">
        <v>1671</v>
      </c>
      <c r="N230" s="126" t="s">
        <v>1671</v>
      </c>
      <c r="O230" s="126" t="s">
        <v>775</v>
      </c>
      <c r="P230" s="126" t="s">
        <v>171</v>
      </c>
      <c r="Q230" s="126" t="s">
        <v>579</v>
      </c>
      <c r="R230" s="126" t="s">
        <v>579</v>
      </c>
      <c r="S230" s="126" t="s">
        <v>1266</v>
      </c>
      <c r="T230" s="126" t="s">
        <v>160</v>
      </c>
      <c r="U230" s="126"/>
      <c r="V230" s="128">
        <v>43000000</v>
      </c>
      <c r="W230" s="128">
        <v>43000000</v>
      </c>
      <c r="X230" s="126" t="s">
        <v>1209</v>
      </c>
      <c r="Y230" s="126">
        <v>0</v>
      </c>
      <c r="Z230" s="126">
        <v>0</v>
      </c>
      <c r="AA230" s="126" t="s">
        <v>2</v>
      </c>
      <c r="AB230" s="126" t="s">
        <v>140</v>
      </c>
      <c r="AC230" s="126" t="s">
        <v>162</v>
      </c>
      <c r="AD230" s="126"/>
      <c r="AE230" s="126"/>
      <c r="AF230" s="126"/>
      <c r="AG230" s="126"/>
      <c r="AH230" s="126" t="s">
        <v>266</v>
      </c>
      <c r="AI230" s="126" t="s">
        <v>1672</v>
      </c>
    </row>
    <row r="231" spans="1:35" ht="135" x14ac:dyDescent="0.25">
      <c r="A231" s="46" t="str">
        <f t="shared" si="3"/>
        <v>CARTCRD025023AUTOSERVICIONUTRESA</v>
      </c>
      <c r="B231" s="126" t="s">
        <v>7</v>
      </c>
      <c r="C231" s="126">
        <v>20611</v>
      </c>
      <c r="D231" s="126" t="s">
        <v>140</v>
      </c>
      <c r="E231" s="126" t="s">
        <v>177</v>
      </c>
      <c r="F231" s="127">
        <v>44550</v>
      </c>
      <c r="G231" s="126" t="s">
        <v>175</v>
      </c>
      <c r="H231" s="126" t="s">
        <v>176</v>
      </c>
      <c r="I231" s="126">
        <v>1</v>
      </c>
      <c r="J231" s="126" t="s">
        <v>184</v>
      </c>
      <c r="K231" s="126" t="s">
        <v>286</v>
      </c>
      <c r="L231" s="126" t="s">
        <v>1673</v>
      </c>
      <c r="M231" s="126" t="s">
        <v>1674</v>
      </c>
      <c r="N231" s="126" t="s">
        <v>1674</v>
      </c>
      <c r="O231" s="126" t="s">
        <v>1675</v>
      </c>
      <c r="P231" s="126" t="s">
        <v>170</v>
      </c>
      <c r="Q231" s="126" t="s">
        <v>765</v>
      </c>
      <c r="R231" s="126" t="s">
        <v>765</v>
      </c>
      <c r="S231" s="126" t="s">
        <v>766</v>
      </c>
      <c r="T231" s="126" t="s">
        <v>160</v>
      </c>
      <c r="U231" s="126"/>
      <c r="V231" s="128">
        <v>7000000</v>
      </c>
      <c r="W231" s="128">
        <v>7000000</v>
      </c>
      <c r="X231" s="126" t="s">
        <v>1209</v>
      </c>
      <c r="Y231" s="126">
        <v>0</v>
      </c>
      <c r="Z231" s="126">
        <v>0</v>
      </c>
      <c r="AA231" s="126" t="s">
        <v>0</v>
      </c>
      <c r="AB231" s="126" t="s">
        <v>140</v>
      </c>
      <c r="AC231" s="126" t="s">
        <v>162</v>
      </c>
      <c r="AD231" s="126"/>
      <c r="AE231" s="126"/>
      <c r="AF231" s="126"/>
      <c r="AG231" s="126"/>
      <c r="AH231" s="126" t="s">
        <v>286</v>
      </c>
      <c r="AI231" s="126" t="s">
        <v>1676</v>
      </c>
    </row>
    <row r="232" spans="1:35" ht="165" x14ac:dyDescent="0.25">
      <c r="A232" s="46" t="str">
        <f t="shared" si="3"/>
        <v>CARTCRD025021AUTOSERVICIONUTRESA</v>
      </c>
      <c r="B232" s="126" t="s">
        <v>7</v>
      </c>
      <c r="C232" s="126">
        <v>20612</v>
      </c>
      <c r="D232" s="126" t="s">
        <v>140</v>
      </c>
      <c r="E232" s="126" t="s">
        <v>177</v>
      </c>
      <c r="F232" s="127">
        <v>44550</v>
      </c>
      <c r="G232" s="126" t="s">
        <v>175</v>
      </c>
      <c r="H232" s="126" t="s">
        <v>176</v>
      </c>
      <c r="I232" s="126">
        <v>1</v>
      </c>
      <c r="J232" s="126" t="s">
        <v>184</v>
      </c>
      <c r="K232" s="126" t="s">
        <v>286</v>
      </c>
      <c r="L232" s="126" t="s">
        <v>1677</v>
      </c>
      <c r="M232" s="126" t="s">
        <v>1678</v>
      </c>
      <c r="N232" s="126" t="s">
        <v>1678</v>
      </c>
      <c r="O232" s="126" t="s">
        <v>1679</v>
      </c>
      <c r="P232" s="126" t="s">
        <v>171</v>
      </c>
      <c r="Q232" s="126" t="s">
        <v>815</v>
      </c>
      <c r="R232" s="126" t="s">
        <v>815</v>
      </c>
      <c r="S232" s="126" t="s">
        <v>816</v>
      </c>
      <c r="T232" s="126" t="s">
        <v>160</v>
      </c>
      <c r="U232" s="126"/>
      <c r="V232" s="128">
        <v>30000000</v>
      </c>
      <c r="W232" s="128">
        <v>30000000</v>
      </c>
      <c r="X232" s="126" t="s">
        <v>1209</v>
      </c>
      <c r="Y232" s="126">
        <v>0</v>
      </c>
      <c r="Z232" s="126">
        <v>0</v>
      </c>
      <c r="AA232" s="126" t="s">
        <v>0</v>
      </c>
      <c r="AB232" s="126" t="s">
        <v>140</v>
      </c>
      <c r="AC232" s="126" t="s">
        <v>162</v>
      </c>
      <c r="AD232" s="126"/>
      <c r="AE232" s="126"/>
      <c r="AF232" s="126"/>
      <c r="AG232" s="126"/>
      <c r="AH232" s="126" t="s">
        <v>286</v>
      </c>
      <c r="AI232" s="126" t="s">
        <v>1680</v>
      </c>
    </row>
    <row r="233" spans="1:35" ht="240" x14ac:dyDescent="0.25">
      <c r="A233" s="46" t="str">
        <f t="shared" si="3"/>
        <v>CARTCRD008430CADENASBPO</v>
      </c>
      <c r="B233" s="126" t="s">
        <v>7</v>
      </c>
      <c r="C233" s="126">
        <v>20617</v>
      </c>
      <c r="D233" s="126" t="s">
        <v>140</v>
      </c>
      <c r="E233" s="126" t="s">
        <v>177</v>
      </c>
      <c r="F233" s="127">
        <v>44550</v>
      </c>
      <c r="G233" s="126" t="s">
        <v>175</v>
      </c>
      <c r="H233" s="126" t="s">
        <v>176</v>
      </c>
      <c r="I233" s="126">
        <v>1</v>
      </c>
      <c r="J233" s="126" t="s">
        <v>184</v>
      </c>
      <c r="K233" s="126" t="s">
        <v>266</v>
      </c>
      <c r="L233" s="126" t="s">
        <v>1681</v>
      </c>
      <c r="M233" s="126" t="s">
        <v>1682</v>
      </c>
      <c r="N233" s="126" t="s">
        <v>1682</v>
      </c>
      <c r="O233" s="126" t="s">
        <v>1683</v>
      </c>
      <c r="P233" s="126" t="s">
        <v>169</v>
      </c>
      <c r="Q233" s="126" t="s">
        <v>147</v>
      </c>
      <c r="R233" s="126" t="s">
        <v>147</v>
      </c>
      <c r="S233" s="126" t="s">
        <v>204</v>
      </c>
      <c r="T233" s="126" t="s">
        <v>160</v>
      </c>
      <c r="U233" s="126"/>
      <c r="V233" s="128">
        <v>1000000</v>
      </c>
      <c r="W233" s="128">
        <v>1000000</v>
      </c>
      <c r="X233" s="126" t="s">
        <v>1209</v>
      </c>
      <c r="Y233" s="126">
        <v>0</v>
      </c>
      <c r="Z233" s="126">
        <v>0</v>
      </c>
      <c r="AA233" s="126" t="s">
        <v>1</v>
      </c>
      <c r="AB233" s="126" t="s">
        <v>161</v>
      </c>
      <c r="AC233" s="126" t="s">
        <v>162</v>
      </c>
      <c r="AD233" s="126"/>
      <c r="AE233" s="126"/>
      <c r="AF233" s="126"/>
      <c r="AG233" s="126"/>
      <c r="AH233" s="126" t="s">
        <v>266</v>
      </c>
      <c r="AI233" s="126" t="s">
        <v>1684</v>
      </c>
    </row>
    <row r="234" spans="1:35" ht="240" x14ac:dyDescent="0.25">
      <c r="A234" s="46" t="str">
        <f t="shared" si="3"/>
        <v>CARTCRD020181CADENASBPO</v>
      </c>
      <c r="B234" s="126" t="s">
        <v>7</v>
      </c>
      <c r="C234" s="126">
        <v>20617</v>
      </c>
      <c r="D234" s="126" t="s">
        <v>140</v>
      </c>
      <c r="E234" s="126" t="s">
        <v>177</v>
      </c>
      <c r="F234" s="127">
        <v>44550</v>
      </c>
      <c r="G234" s="126" t="s">
        <v>175</v>
      </c>
      <c r="H234" s="126" t="s">
        <v>176</v>
      </c>
      <c r="I234" s="126">
        <v>1</v>
      </c>
      <c r="J234" s="126" t="s">
        <v>184</v>
      </c>
      <c r="K234" s="126" t="s">
        <v>266</v>
      </c>
      <c r="L234" s="126" t="s">
        <v>1681</v>
      </c>
      <c r="M234" s="126" t="s">
        <v>1682</v>
      </c>
      <c r="N234" s="126" t="s">
        <v>1682</v>
      </c>
      <c r="O234" s="126" t="s">
        <v>1683</v>
      </c>
      <c r="P234" s="126" t="s">
        <v>171</v>
      </c>
      <c r="Q234" s="126" t="s">
        <v>323</v>
      </c>
      <c r="R234" s="126" t="s">
        <v>323</v>
      </c>
      <c r="S234" s="126" t="s">
        <v>1270</v>
      </c>
      <c r="T234" s="126" t="s">
        <v>160</v>
      </c>
      <c r="U234" s="126"/>
      <c r="V234" s="128">
        <v>1000000</v>
      </c>
      <c r="W234" s="128">
        <v>1000000</v>
      </c>
      <c r="X234" s="126" t="s">
        <v>1209</v>
      </c>
      <c r="Y234" s="126">
        <v>0</v>
      </c>
      <c r="Z234" s="126">
        <v>0</v>
      </c>
      <c r="AA234" s="126" t="s">
        <v>1</v>
      </c>
      <c r="AB234" s="126" t="s">
        <v>161</v>
      </c>
      <c r="AC234" s="126" t="s">
        <v>162</v>
      </c>
      <c r="AD234" s="126"/>
      <c r="AE234" s="126"/>
      <c r="AF234" s="126"/>
      <c r="AG234" s="126"/>
      <c r="AH234" s="126" t="s">
        <v>266</v>
      </c>
      <c r="AI234" s="126" t="s">
        <v>1685</v>
      </c>
    </row>
    <row r="235" spans="1:35" ht="285" x14ac:dyDescent="0.25">
      <c r="A235" s="46" t="str">
        <f t="shared" si="3"/>
        <v>CARTCRD019238AUTOSERVICIOBPO</v>
      </c>
      <c r="B235" s="126" t="s">
        <v>7</v>
      </c>
      <c r="C235" s="126">
        <v>20618</v>
      </c>
      <c r="D235" s="126" t="s">
        <v>140</v>
      </c>
      <c r="E235" s="126" t="s">
        <v>177</v>
      </c>
      <c r="F235" s="127">
        <v>44550</v>
      </c>
      <c r="G235" s="126" t="s">
        <v>175</v>
      </c>
      <c r="H235" s="126" t="s">
        <v>176</v>
      </c>
      <c r="I235" s="126">
        <v>1</v>
      </c>
      <c r="J235" s="126" t="s">
        <v>184</v>
      </c>
      <c r="K235" s="126" t="s">
        <v>266</v>
      </c>
      <c r="L235" s="126" t="s">
        <v>1686</v>
      </c>
      <c r="M235" s="126" t="s">
        <v>1687</v>
      </c>
      <c r="N235" s="126" t="s">
        <v>1687</v>
      </c>
      <c r="O235" s="126" t="s">
        <v>1688</v>
      </c>
      <c r="P235" s="126" t="s">
        <v>169</v>
      </c>
      <c r="Q235" s="126" t="s">
        <v>182</v>
      </c>
      <c r="R235" s="126" t="s">
        <v>182</v>
      </c>
      <c r="S235" s="126" t="s">
        <v>206</v>
      </c>
      <c r="T235" s="126" t="s">
        <v>160</v>
      </c>
      <c r="U235" s="126"/>
      <c r="V235" s="128">
        <v>1000000</v>
      </c>
      <c r="W235" s="128">
        <v>1000000</v>
      </c>
      <c r="X235" s="126" t="s">
        <v>1209</v>
      </c>
      <c r="Y235" s="126">
        <v>0</v>
      </c>
      <c r="Z235" s="126">
        <v>0</v>
      </c>
      <c r="AA235" s="126" t="s">
        <v>0</v>
      </c>
      <c r="AB235" s="126" t="s">
        <v>161</v>
      </c>
      <c r="AC235" s="126" t="s">
        <v>165</v>
      </c>
      <c r="AD235" s="126"/>
      <c r="AE235" s="126"/>
      <c r="AF235" s="126"/>
      <c r="AG235" s="126"/>
      <c r="AH235" s="126" t="s">
        <v>266</v>
      </c>
      <c r="AI235" s="126" t="s">
        <v>1689</v>
      </c>
    </row>
    <row r="236" spans="1:35" ht="210" x14ac:dyDescent="0.25">
      <c r="A236" s="46" t="str">
        <f t="shared" si="3"/>
        <v>CARTCRD024397CADENASBPO</v>
      </c>
      <c r="B236" s="126" t="s">
        <v>7</v>
      </c>
      <c r="C236" s="126">
        <v>20619</v>
      </c>
      <c r="D236" s="126" t="s">
        <v>140</v>
      </c>
      <c r="E236" s="126" t="s">
        <v>177</v>
      </c>
      <c r="F236" s="127">
        <v>44550</v>
      </c>
      <c r="G236" s="126" t="s">
        <v>175</v>
      </c>
      <c r="H236" s="126" t="s">
        <v>176</v>
      </c>
      <c r="I236" s="126">
        <v>1</v>
      </c>
      <c r="J236" s="126" t="s">
        <v>184</v>
      </c>
      <c r="K236" s="126" t="s">
        <v>266</v>
      </c>
      <c r="L236" s="126" t="s">
        <v>1690</v>
      </c>
      <c r="M236" s="126" t="s">
        <v>1691</v>
      </c>
      <c r="N236" s="126" t="s">
        <v>1691</v>
      </c>
      <c r="O236" s="126" t="s">
        <v>1692</v>
      </c>
      <c r="P236" s="126" t="s">
        <v>164</v>
      </c>
      <c r="Q236" s="126" t="s">
        <v>328</v>
      </c>
      <c r="R236" s="126" t="s">
        <v>328</v>
      </c>
      <c r="S236" s="126" t="s">
        <v>1693</v>
      </c>
      <c r="T236" s="126" t="s">
        <v>160</v>
      </c>
      <c r="U236" s="126"/>
      <c r="V236" s="128">
        <v>40000000</v>
      </c>
      <c r="W236" s="128">
        <v>40000000</v>
      </c>
      <c r="X236" s="126" t="s">
        <v>1209</v>
      </c>
      <c r="Y236" s="126">
        <v>0</v>
      </c>
      <c r="Z236" s="126">
        <v>0</v>
      </c>
      <c r="AA236" s="126" t="s">
        <v>1</v>
      </c>
      <c r="AB236" s="126" t="s">
        <v>161</v>
      </c>
      <c r="AC236" s="126" t="s">
        <v>162</v>
      </c>
      <c r="AD236" s="126"/>
      <c r="AE236" s="126"/>
      <c r="AF236" s="126"/>
      <c r="AG236" s="126"/>
      <c r="AH236" s="126" t="s">
        <v>266</v>
      </c>
      <c r="AI236" s="126" t="s">
        <v>1694</v>
      </c>
    </row>
    <row r="237" spans="1:35" ht="300" x14ac:dyDescent="0.25">
      <c r="A237" s="46" t="str">
        <f t="shared" si="3"/>
        <v>CARTACT000435TRADICIONALNUTRESA</v>
      </c>
      <c r="B237" s="126" t="s">
        <v>7</v>
      </c>
      <c r="C237" s="126">
        <v>20624</v>
      </c>
      <c r="D237" s="126" t="s">
        <v>140</v>
      </c>
      <c r="E237" s="126" t="s">
        <v>177</v>
      </c>
      <c r="F237" s="127">
        <v>44550</v>
      </c>
      <c r="G237" s="126" t="s">
        <v>175</v>
      </c>
      <c r="H237" s="126" t="s">
        <v>176</v>
      </c>
      <c r="I237" s="126">
        <v>1</v>
      </c>
      <c r="J237" s="126" t="s">
        <v>184</v>
      </c>
      <c r="K237" s="126" t="s">
        <v>286</v>
      </c>
      <c r="L237" s="126" t="s">
        <v>1695</v>
      </c>
      <c r="M237" s="126" t="s">
        <v>1696</v>
      </c>
      <c r="N237" s="126" t="s">
        <v>1696</v>
      </c>
      <c r="O237" s="126" t="s">
        <v>1697</v>
      </c>
      <c r="P237" s="126" t="s">
        <v>170</v>
      </c>
      <c r="Q237" s="126" t="s">
        <v>232</v>
      </c>
      <c r="R237" s="126" t="s">
        <v>232</v>
      </c>
      <c r="S237" s="126" t="s">
        <v>1698</v>
      </c>
      <c r="T237" s="126" t="s">
        <v>160</v>
      </c>
      <c r="U237" s="126"/>
      <c r="V237" s="128">
        <v>1000000</v>
      </c>
      <c r="W237" s="128">
        <v>1000000</v>
      </c>
      <c r="X237" s="126" t="s">
        <v>1209</v>
      </c>
      <c r="Y237" s="126">
        <v>158220</v>
      </c>
      <c r="Z237" s="126">
        <v>0</v>
      </c>
      <c r="AA237" s="126" t="s">
        <v>2</v>
      </c>
      <c r="AB237" s="126" t="s">
        <v>140</v>
      </c>
      <c r="AC237" s="126" t="s">
        <v>213</v>
      </c>
      <c r="AD237" s="126"/>
      <c r="AE237" s="126"/>
      <c r="AF237" s="126"/>
      <c r="AG237" s="126"/>
      <c r="AH237" s="126" t="s">
        <v>286</v>
      </c>
      <c r="AI237" s="126" t="s">
        <v>1699</v>
      </c>
    </row>
    <row r="238" spans="1:35" ht="165" x14ac:dyDescent="0.25">
      <c r="A238" s="46" t="str">
        <f t="shared" si="3"/>
        <v>CARTCRD019355CADENASNUTRESA</v>
      </c>
      <c r="B238" s="126" t="s">
        <v>7</v>
      </c>
      <c r="C238" s="126">
        <v>20626</v>
      </c>
      <c r="D238" s="126" t="s">
        <v>140</v>
      </c>
      <c r="E238" s="126" t="s">
        <v>177</v>
      </c>
      <c r="F238" s="127">
        <v>44551</v>
      </c>
      <c r="G238" s="126" t="s">
        <v>175</v>
      </c>
      <c r="H238" s="126" t="s">
        <v>176</v>
      </c>
      <c r="I238" s="126">
        <v>1</v>
      </c>
      <c r="J238" s="126" t="s">
        <v>184</v>
      </c>
      <c r="K238" s="126" t="s">
        <v>286</v>
      </c>
      <c r="L238" s="126" t="s">
        <v>1700</v>
      </c>
      <c r="M238" s="126" t="s">
        <v>1701</v>
      </c>
      <c r="N238" s="126" t="s">
        <v>1701</v>
      </c>
      <c r="O238" s="126" t="s">
        <v>1702</v>
      </c>
      <c r="P238" s="126" t="s">
        <v>170</v>
      </c>
      <c r="Q238" s="126" t="s">
        <v>1316</v>
      </c>
      <c r="R238" s="126" t="s">
        <v>1316</v>
      </c>
      <c r="S238" s="126" t="s">
        <v>1317</v>
      </c>
      <c r="T238" s="126" t="s">
        <v>160</v>
      </c>
      <c r="U238" s="126"/>
      <c r="V238" s="128">
        <v>5000000</v>
      </c>
      <c r="W238" s="128">
        <v>5000000</v>
      </c>
      <c r="X238" s="126" t="s">
        <v>1209</v>
      </c>
      <c r="Y238" s="126">
        <v>0</v>
      </c>
      <c r="Z238" s="126">
        <v>0</v>
      </c>
      <c r="AA238" s="126" t="s">
        <v>1</v>
      </c>
      <c r="AB238" s="126" t="s">
        <v>140</v>
      </c>
      <c r="AC238" s="126" t="s">
        <v>162</v>
      </c>
      <c r="AD238" s="126"/>
      <c r="AE238" s="126"/>
      <c r="AF238" s="126"/>
      <c r="AG238" s="126"/>
      <c r="AH238" s="126" t="s">
        <v>286</v>
      </c>
      <c r="AI238" s="126" t="s">
        <v>1703</v>
      </c>
    </row>
    <row r="239" spans="1:35" ht="165" x14ac:dyDescent="0.25">
      <c r="A239" s="46" t="str">
        <f t="shared" si="3"/>
        <v>CARTCRD019354CADENASNUTRESA</v>
      </c>
      <c r="B239" s="126" t="s">
        <v>7</v>
      </c>
      <c r="C239" s="126">
        <v>20626</v>
      </c>
      <c r="D239" s="126" t="s">
        <v>140</v>
      </c>
      <c r="E239" s="126" t="s">
        <v>177</v>
      </c>
      <c r="F239" s="127">
        <v>44551</v>
      </c>
      <c r="G239" s="126" t="s">
        <v>175</v>
      </c>
      <c r="H239" s="126" t="s">
        <v>176</v>
      </c>
      <c r="I239" s="126">
        <v>1</v>
      </c>
      <c r="J239" s="126" t="s">
        <v>184</v>
      </c>
      <c r="K239" s="126" t="s">
        <v>286</v>
      </c>
      <c r="L239" s="126" t="s">
        <v>1700</v>
      </c>
      <c r="M239" s="126" t="s">
        <v>1701</v>
      </c>
      <c r="N239" s="126" t="s">
        <v>1701</v>
      </c>
      <c r="O239" s="126" t="s">
        <v>1702</v>
      </c>
      <c r="P239" s="126" t="s">
        <v>170</v>
      </c>
      <c r="Q239" s="126" t="s">
        <v>1319</v>
      </c>
      <c r="R239" s="126" t="s">
        <v>1319</v>
      </c>
      <c r="S239" s="126" t="s">
        <v>1320</v>
      </c>
      <c r="T239" s="126" t="s">
        <v>160</v>
      </c>
      <c r="U239" s="126"/>
      <c r="V239" s="128">
        <v>5000000</v>
      </c>
      <c r="W239" s="128">
        <v>5000000</v>
      </c>
      <c r="X239" s="126" t="s">
        <v>1209</v>
      </c>
      <c r="Y239" s="126">
        <v>0</v>
      </c>
      <c r="Z239" s="126">
        <v>0</v>
      </c>
      <c r="AA239" s="126" t="s">
        <v>1</v>
      </c>
      <c r="AB239" s="126" t="s">
        <v>140</v>
      </c>
      <c r="AC239" s="126" t="s">
        <v>162</v>
      </c>
      <c r="AD239" s="126"/>
      <c r="AE239" s="126"/>
      <c r="AF239" s="126"/>
      <c r="AG239" s="126"/>
      <c r="AH239" s="126" t="s">
        <v>286</v>
      </c>
      <c r="AI239" s="126" t="s">
        <v>1704</v>
      </c>
    </row>
    <row r="240" spans="1:35" ht="165" x14ac:dyDescent="0.25">
      <c r="A240" s="46" t="str">
        <f t="shared" si="3"/>
        <v>CARTCRD019356CADENASNUTRESA</v>
      </c>
      <c r="B240" s="126" t="s">
        <v>7</v>
      </c>
      <c r="C240" s="126">
        <v>20626</v>
      </c>
      <c r="D240" s="126" t="s">
        <v>140</v>
      </c>
      <c r="E240" s="126" t="s">
        <v>177</v>
      </c>
      <c r="F240" s="127">
        <v>44551</v>
      </c>
      <c r="G240" s="126" t="s">
        <v>175</v>
      </c>
      <c r="H240" s="126" t="s">
        <v>176</v>
      </c>
      <c r="I240" s="126">
        <v>1</v>
      </c>
      <c r="J240" s="126" t="s">
        <v>184</v>
      </c>
      <c r="K240" s="126" t="s">
        <v>286</v>
      </c>
      <c r="L240" s="126" t="s">
        <v>1700</v>
      </c>
      <c r="M240" s="126" t="s">
        <v>1701</v>
      </c>
      <c r="N240" s="126" t="s">
        <v>1701</v>
      </c>
      <c r="O240" s="126" t="s">
        <v>1702</v>
      </c>
      <c r="P240" s="126" t="s">
        <v>170</v>
      </c>
      <c r="Q240" s="126" t="s">
        <v>1313</v>
      </c>
      <c r="R240" s="126" t="s">
        <v>1313</v>
      </c>
      <c r="S240" s="126" t="s">
        <v>1314</v>
      </c>
      <c r="T240" s="126" t="s">
        <v>160</v>
      </c>
      <c r="U240" s="126"/>
      <c r="V240" s="128">
        <v>5000000</v>
      </c>
      <c r="W240" s="128">
        <v>5000000</v>
      </c>
      <c r="X240" s="126" t="s">
        <v>1209</v>
      </c>
      <c r="Y240" s="126">
        <v>0</v>
      </c>
      <c r="Z240" s="126">
        <v>0</v>
      </c>
      <c r="AA240" s="126" t="s">
        <v>1</v>
      </c>
      <c r="AB240" s="126" t="s">
        <v>140</v>
      </c>
      <c r="AC240" s="126" t="s">
        <v>162</v>
      </c>
      <c r="AD240" s="126"/>
      <c r="AE240" s="126"/>
      <c r="AF240" s="126"/>
      <c r="AG240" s="126"/>
      <c r="AH240" s="126" t="s">
        <v>286</v>
      </c>
      <c r="AI240" s="126" t="s">
        <v>1705</v>
      </c>
    </row>
    <row r="241" spans="1:35" ht="150" x14ac:dyDescent="0.25">
      <c r="A241" s="46" t="str">
        <f t="shared" si="3"/>
        <v>CARTCRD025041TRADICIONALNUTRESA</v>
      </c>
      <c r="B241" s="126" t="s">
        <v>7</v>
      </c>
      <c r="C241" s="126">
        <v>20630</v>
      </c>
      <c r="D241" s="126" t="s">
        <v>140</v>
      </c>
      <c r="E241" s="126" t="s">
        <v>177</v>
      </c>
      <c r="F241" s="127">
        <v>44552</v>
      </c>
      <c r="G241" s="126" t="s">
        <v>175</v>
      </c>
      <c r="H241" s="126" t="s">
        <v>176</v>
      </c>
      <c r="I241" s="126">
        <v>1</v>
      </c>
      <c r="J241" s="126" t="s">
        <v>184</v>
      </c>
      <c r="K241" s="126" t="s">
        <v>266</v>
      </c>
      <c r="L241" s="126" t="s">
        <v>1706</v>
      </c>
      <c r="M241" s="126" t="s">
        <v>1707</v>
      </c>
      <c r="N241" s="126" t="s">
        <v>1707</v>
      </c>
      <c r="O241" s="126" t="s">
        <v>1708</v>
      </c>
      <c r="P241" s="126" t="s">
        <v>170</v>
      </c>
      <c r="Q241" s="126" t="s">
        <v>1327</v>
      </c>
      <c r="R241" s="126" t="s">
        <v>1327</v>
      </c>
      <c r="S241" s="126" t="s">
        <v>1328</v>
      </c>
      <c r="T241" s="126" t="s">
        <v>160</v>
      </c>
      <c r="U241" s="126"/>
      <c r="V241" s="128">
        <v>23000000</v>
      </c>
      <c r="W241" s="128">
        <v>23000000</v>
      </c>
      <c r="X241" s="126" t="s">
        <v>1209</v>
      </c>
      <c r="Y241" s="126">
        <v>0</v>
      </c>
      <c r="Z241" s="126">
        <v>0</v>
      </c>
      <c r="AA241" s="126" t="s">
        <v>2</v>
      </c>
      <c r="AB241" s="126" t="s">
        <v>140</v>
      </c>
      <c r="AC241" s="126" t="s">
        <v>162</v>
      </c>
      <c r="AD241" s="126"/>
      <c r="AE241" s="126"/>
      <c r="AF241" s="126"/>
      <c r="AG241" s="126"/>
      <c r="AH241" s="126" t="s">
        <v>266</v>
      </c>
      <c r="AI241" s="126" t="s">
        <v>1709</v>
      </c>
    </row>
    <row r="242" spans="1:35" ht="105" x14ac:dyDescent="0.25">
      <c r="A242" s="46" t="str">
        <f t="shared" si="3"/>
        <v>IBA1ACT000436AUTOSERVICIOBPO</v>
      </c>
      <c r="B242" s="126" t="s">
        <v>8</v>
      </c>
      <c r="C242" s="126">
        <v>9183</v>
      </c>
      <c r="D242" s="126" t="s">
        <v>140</v>
      </c>
      <c r="E242" s="126" t="s">
        <v>177</v>
      </c>
      <c r="F242" s="127">
        <v>44527</v>
      </c>
      <c r="G242" s="126" t="s">
        <v>175</v>
      </c>
      <c r="H242" s="126" t="s">
        <v>176</v>
      </c>
      <c r="I242" s="126">
        <v>1</v>
      </c>
      <c r="J242" s="126" t="s">
        <v>184</v>
      </c>
      <c r="K242" s="126" t="s">
        <v>280</v>
      </c>
      <c r="L242" s="126" t="s">
        <v>1710</v>
      </c>
      <c r="M242" s="126">
        <v>0</v>
      </c>
      <c r="N242" s="126">
        <v>0</v>
      </c>
      <c r="O242" s="126" t="s">
        <v>605</v>
      </c>
      <c r="P242" s="126" t="s">
        <v>170</v>
      </c>
      <c r="Q242" s="126" t="s">
        <v>349</v>
      </c>
      <c r="R242" s="126" t="s">
        <v>349</v>
      </c>
      <c r="S242" s="126" t="s">
        <v>350</v>
      </c>
      <c r="T242" s="126" t="s">
        <v>160</v>
      </c>
      <c r="U242" s="126"/>
      <c r="V242" s="128">
        <v>1000000</v>
      </c>
      <c r="W242" s="128">
        <v>1000000</v>
      </c>
      <c r="X242" s="126" t="s">
        <v>1209</v>
      </c>
      <c r="Y242" s="126">
        <v>122370</v>
      </c>
      <c r="Z242" s="126">
        <v>0</v>
      </c>
      <c r="AA242" s="126" t="s">
        <v>0</v>
      </c>
      <c r="AB242" s="126" t="s">
        <v>161</v>
      </c>
      <c r="AC242" s="126" t="s">
        <v>165</v>
      </c>
      <c r="AD242" s="126"/>
      <c r="AE242" s="126"/>
      <c r="AF242" s="126"/>
      <c r="AG242" s="126"/>
      <c r="AH242" s="126" t="s">
        <v>280</v>
      </c>
      <c r="AI242" s="126" t="s">
        <v>1711</v>
      </c>
    </row>
    <row r="243" spans="1:35" ht="90" x14ac:dyDescent="0.25">
      <c r="A243" s="46" t="str">
        <f t="shared" si="3"/>
        <v>IBA1ACT000063TRADICIONALNUTRESA</v>
      </c>
      <c r="B243" s="126" t="s">
        <v>8</v>
      </c>
      <c r="C243" s="126">
        <v>9185</v>
      </c>
      <c r="D243" s="126" t="s">
        <v>140</v>
      </c>
      <c r="E243" s="126" t="s">
        <v>177</v>
      </c>
      <c r="F243" s="127">
        <v>44527</v>
      </c>
      <c r="G243" s="126" t="s">
        <v>175</v>
      </c>
      <c r="H243" s="126" t="s">
        <v>176</v>
      </c>
      <c r="I243" s="126">
        <v>1</v>
      </c>
      <c r="J243" s="126" t="s">
        <v>360</v>
      </c>
      <c r="K243" s="126" t="s">
        <v>280</v>
      </c>
      <c r="L243" s="126" t="s">
        <v>1712</v>
      </c>
      <c r="M243" s="126">
        <v>0</v>
      </c>
      <c r="N243" s="126">
        <v>124010483555</v>
      </c>
      <c r="O243" s="126" t="s">
        <v>606</v>
      </c>
      <c r="P243" s="126" t="s">
        <v>170</v>
      </c>
      <c r="Q243" s="126" t="s">
        <v>135</v>
      </c>
      <c r="R243" s="126" t="s">
        <v>135</v>
      </c>
      <c r="S243" s="126" t="s">
        <v>207</v>
      </c>
      <c r="T243" s="126" t="s">
        <v>160</v>
      </c>
      <c r="U243" s="126" t="s">
        <v>135</v>
      </c>
      <c r="V243" s="128">
        <v>1000000</v>
      </c>
      <c r="W243" s="128">
        <v>1000000</v>
      </c>
      <c r="X243" s="126" t="s">
        <v>1209</v>
      </c>
      <c r="Y243" s="126">
        <v>88394</v>
      </c>
      <c r="Z243" s="126">
        <v>0</v>
      </c>
      <c r="AA243" s="126" t="s">
        <v>2</v>
      </c>
      <c r="AB243" s="126" t="s">
        <v>140</v>
      </c>
      <c r="AC243" s="126" t="s">
        <v>218</v>
      </c>
      <c r="AD243" s="126"/>
      <c r="AE243" s="126"/>
      <c r="AF243" s="126"/>
      <c r="AG243" s="126"/>
      <c r="AH243" s="126" t="s">
        <v>280</v>
      </c>
      <c r="AI243" s="126" t="s">
        <v>1713</v>
      </c>
    </row>
    <row r="244" spans="1:35" ht="120" x14ac:dyDescent="0.25">
      <c r="A244" s="46" t="str">
        <f t="shared" si="3"/>
        <v>IBA1ACT000436AUTOSERVICIOBPO</v>
      </c>
      <c r="B244" s="126" t="s">
        <v>8</v>
      </c>
      <c r="C244" s="126">
        <v>9203</v>
      </c>
      <c r="D244" s="126" t="s">
        <v>140</v>
      </c>
      <c r="E244" s="126" t="s">
        <v>177</v>
      </c>
      <c r="F244" s="127">
        <v>44529</v>
      </c>
      <c r="G244" s="126" t="s">
        <v>175</v>
      </c>
      <c r="H244" s="126" t="s">
        <v>176</v>
      </c>
      <c r="I244" s="126">
        <v>1</v>
      </c>
      <c r="J244" s="126" t="s">
        <v>360</v>
      </c>
      <c r="K244" s="126" t="s">
        <v>280</v>
      </c>
      <c r="L244" s="126" t="s">
        <v>1714</v>
      </c>
      <c r="M244" s="126">
        <v>0</v>
      </c>
      <c r="N244" s="126">
        <v>124010484002</v>
      </c>
      <c r="O244" s="126" t="s">
        <v>607</v>
      </c>
      <c r="P244" s="126" t="s">
        <v>170</v>
      </c>
      <c r="Q244" s="126" t="s">
        <v>349</v>
      </c>
      <c r="R244" s="126" t="s">
        <v>349</v>
      </c>
      <c r="S244" s="126" t="s">
        <v>350</v>
      </c>
      <c r="T244" s="126" t="s">
        <v>160</v>
      </c>
      <c r="U244" s="126"/>
      <c r="V244" s="128">
        <v>1000000</v>
      </c>
      <c r="W244" s="128">
        <v>1000000</v>
      </c>
      <c r="X244" s="126" t="s">
        <v>1209</v>
      </c>
      <c r="Y244" s="126">
        <v>122367</v>
      </c>
      <c r="Z244" s="126">
        <v>0</v>
      </c>
      <c r="AA244" s="126" t="s">
        <v>0</v>
      </c>
      <c r="AB244" s="126" t="s">
        <v>161</v>
      </c>
      <c r="AC244" s="126" t="s">
        <v>165</v>
      </c>
      <c r="AD244" s="126"/>
      <c r="AE244" s="126"/>
      <c r="AF244" s="126"/>
      <c r="AG244" s="126"/>
      <c r="AH244" s="126" t="s">
        <v>280</v>
      </c>
      <c r="AI244" s="126" t="s">
        <v>1715</v>
      </c>
    </row>
    <row r="245" spans="1:35" ht="120" x14ac:dyDescent="0.25">
      <c r="A245" s="46" t="str">
        <f t="shared" si="3"/>
        <v>IBA1ACT000436AUTOSERVICIOBPO</v>
      </c>
      <c r="B245" s="126" t="s">
        <v>8</v>
      </c>
      <c r="C245" s="126">
        <v>9204</v>
      </c>
      <c r="D245" s="126" t="s">
        <v>140</v>
      </c>
      <c r="E245" s="126" t="s">
        <v>177</v>
      </c>
      <c r="F245" s="127">
        <v>44529</v>
      </c>
      <c r="G245" s="126" t="s">
        <v>175</v>
      </c>
      <c r="H245" s="126" t="s">
        <v>176</v>
      </c>
      <c r="I245" s="126">
        <v>1</v>
      </c>
      <c r="J245" s="126" t="s">
        <v>360</v>
      </c>
      <c r="K245" s="126" t="s">
        <v>280</v>
      </c>
      <c r="L245" s="126" t="s">
        <v>1716</v>
      </c>
      <c r="M245" s="126">
        <v>0</v>
      </c>
      <c r="N245" s="126">
        <v>124010484039</v>
      </c>
      <c r="O245" s="126" t="s">
        <v>608</v>
      </c>
      <c r="P245" s="126" t="s">
        <v>170</v>
      </c>
      <c r="Q245" s="126" t="s">
        <v>349</v>
      </c>
      <c r="R245" s="126" t="s">
        <v>349</v>
      </c>
      <c r="S245" s="126" t="s">
        <v>350</v>
      </c>
      <c r="T245" s="126" t="s">
        <v>160</v>
      </c>
      <c r="U245" s="126"/>
      <c r="V245" s="128">
        <v>1000000</v>
      </c>
      <c r="W245" s="128">
        <v>1000000</v>
      </c>
      <c r="X245" s="126" t="s">
        <v>1209</v>
      </c>
      <c r="Y245" s="126">
        <v>122369</v>
      </c>
      <c r="Z245" s="126">
        <v>0</v>
      </c>
      <c r="AA245" s="126" t="s">
        <v>0</v>
      </c>
      <c r="AB245" s="126" t="s">
        <v>161</v>
      </c>
      <c r="AC245" s="126" t="s">
        <v>165</v>
      </c>
      <c r="AD245" s="126"/>
      <c r="AE245" s="126"/>
      <c r="AF245" s="126"/>
      <c r="AG245" s="126"/>
      <c r="AH245" s="126" t="s">
        <v>280</v>
      </c>
      <c r="AI245" s="126" t="s">
        <v>1717</v>
      </c>
    </row>
    <row r="246" spans="1:35" ht="75" x14ac:dyDescent="0.25">
      <c r="A246" s="46" t="str">
        <f t="shared" si="3"/>
        <v>IBA1CRD024844AUTOSERVICIOBPO</v>
      </c>
      <c r="B246" s="126" t="s">
        <v>8</v>
      </c>
      <c r="C246" s="126">
        <v>9207</v>
      </c>
      <c r="D246" s="126" t="s">
        <v>140</v>
      </c>
      <c r="E246" s="126" t="s">
        <v>177</v>
      </c>
      <c r="F246" s="127">
        <v>44530</v>
      </c>
      <c r="G246" s="126" t="s">
        <v>175</v>
      </c>
      <c r="H246" s="126" t="s">
        <v>176</v>
      </c>
      <c r="I246" s="126">
        <v>1</v>
      </c>
      <c r="J246" s="126" t="s">
        <v>602</v>
      </c>
      <c r="K246" s="126" t="s">
        <v>280</v>
      </c>
      <c r="L246" s="126" t="s">
        <v>1718</v>
      </c>
      <c r="M246" s="126">
        <v>0</v>
      </c>
      <c r="N246" s="126">
        <v>52800017797</v>
      </c>
      <c r="O246" s="126" t="s">
        <v>609</v>
      </c>
      <c r="P246" s="126" t="s">
        <v>171</v>
      </c>
      <c r="Q246" s="126" t="s">
        <v>461</v>
      </c>
      <c r="R246" s="126" t="s">
        <v>461</v>
      </c>
      <c r="S246" s="126" t="s">
        <v>462</v>
      </c>
      <c r="T246" s="126" t="s">
        <v>160</v>
      </c>
      <c r="U246" s="126"/>
      <c r="V246" s="128">
        <v>500000000</v>
      </c>
      <c r="W246" s="128">
        <v>500000000</v>
      </c>
      <c r="X246" s="126" t="s">
        <v>1209</v>
      </c>
      <c r="Y246" s="126">
        <v>0</v>
      </c>
      <c r="Z246" s="126">
        <v>0</v>
      </c>
      <c r="AA246" s="126" t="s">
        <v>0</v>
      </c>
      <c r="AB246" s="126" t="s">
        <v>161</v>
      </c>
      <c r="AC246" s="126" t="s">
        <v>162</v>
      </c>
      <c r="AD246" s="126"/>
      <c r="AE246" s="126"/>
      <c r="AF246" s="126"/>
      <c r="AG246" s="126"/>
      <c r="AH246" s="126" t="s">
        <v>280</v>
      </c>
      <c r="AI246" s="126" t="s">
        <v>1719</v>
      </c>
    </row>
    <row r="247" spans="1:35" ht="75" x14ac:dyDescent="0.25">
      <c r="A247" s="46" t="str">
        <f t="shared" si="3"/>
        <v>IBA1CRD024843CADENASBPO</v>
      </c>
      <c r="B247" s="126" t="s">
        <v>8</v>
      </c>
      <c r="C247" s="126">
        <v>9207</v>
      </c>
      <c r="D247" s="126" t="s">
        <v>140</v>
      </c>
      <c r="E247" s="126" t="s">
        <v>177</v>
      </c>
      <c r="F247" s="127">
        <v>44530</v>
      </c>
      <c r="G247" s="126" t="s">
        <v>175</v>
      </c>
      <c r="H247" s="126" t="s">
        <v>176</v>
      </c>
      <c r="I247" s="126">
        <v>1</v>
      </c>
      <c r="J247" s="126" t="s">
        <v>602</v>
      </c>
      <c r="K247" s="126" t="s">
        <v>280</v>
      </c>
      <c r="L247" s="126" t="s">
        <v>1718</v>
      </c>
      <c r="M247" s="126">
        <v>0</v>
      </c>
      <c r="N247" s="126">
        <v>52800017797</v>
      </c>
      <c r="O247" s="126" t="s">
        <v>609</v>
      </c>
      <c r="P247" s="126" t="s">
        <v>171</v>
      </c>
      <c r="Q247" s="126" t="s">
        <v>463</v>
      </c>
      <c r="R247" s="126" t="s">
        <v>463</v>
      </c>
      <c r="S247" s="126" t="s">
        <v>1214</v>
      </c>
      <c r="T247" s="126" t="s">
        <v>160</v>
      </c>
      <c r="U247" s="126"/>
      <c r="V247" s="128">
        <v>500000000</v>
      </c>
      <c r="W247" s="128">
        <v>500000000</v>
      </c>
      <c r="X247" s="126" t="s">
        <v>1209</v>
      </c>
      <c r="Y247" s="126">
        <v>0</v>
      </c>
      <c r="Z247" s="126">
        <v>0</v>
      </c>
      <c r="AA247" s="126" t="s">
        <v>1</v>
      </c>
      <c r="AB247" s="126" t="s">
        <v>161</v>
      </c>
      <c r="AC247" s="126" t="s">
        <v>162</v>
      </c>
      <c r="AD247" s="126"/>
      <c r="AE247" s="126"/>
      <c r="AF247" s="126"/>
      <c r="AG247" s="126"/>
      <c r="AH247" s="126" t="s">
        <v>280</v>
      </c>
      <c r="AI247" s="126" t="s">
        <v>1720</v>
      </c>
    </row>
    <row r="248" spans="1:35" ht="75" x14ac:dyDescent="0.25">
      <c r="A248" s="46" t="str">
        <f t="shared" si="3"/>
        <v>IBA1CRD024843AUTOSERVICIOBPO</v>
      </c>
      <c r="B248" s="126" t="s">
        <v>8</v>
      </c>
      <c r="C248" s="126">
        <v>9207</v>
      </c>
      <c r="D248" s="126" t="s">
        <v>140</v>
      </c>
      <c r="E248" s="126" t="s">
        <v>177</v>
      </c>
      <c r="F248" s="127">
        <v>44530</v>
      </c>
      <c r="G248" s="126" t="s">
        <v>175</v>
      </c>
      <c r="H248" s="126" t="s">
        <v>176</v>
      </c>
      <c r="I248" s="126">
        <v>1</v>
      </c>
      <c r="J248" s="126" t="s">
        <v>602</v>
      </c>
      <c r="K248" s="126" t="s">
        <v>280</v>
      </c>
      <c r="L248" s="126" t="s">
        <v>1718</v>
      </c>
      <c r="M248" s="126">
        <v>0</v>
      </c>
      <c r="N248" s="126">
        <v>52800017797</v>
      </c>
      <c r="O248" s="126" t="s">
        <v>609</v>
      </c>
      <c r="P248" s="126" t="s">
        <v>171</v>
      </c>
      <c r="Q248" s="126" t="s">
        <v>463</v>
      </c>
      <c r="R248" s="126" t="s">
        <v>463</v>
      </c>
      <c r="S248" s="126" t="s">
        <v>1214</v>
      </c>
      <c r="T248" s="126" t="s">
        <v>160</v>
      </c>
      <c r="U248" s="126"/>
      <c r="V248" s="128">
        <v>500000000</v>
      </c>
      <c r="W248" s="128">
        <v>500000000</v>
      </c>
      <c r="X248" s="126" t="s">
        <v>1209</v>
      </c>
      <c r="Y248" s="126">
        <v>0</v>
      </c>
      <c r="Z248" s="126">
        <v>0</v>
      </c>
      <c r="AA248" s="126" t="s">
        <v>0</v>
      </c>
      <c r="AB248" s="126" t="s">
        <v>161</v>
      </c>
      <c r="AC248" s="126" t="s">
        <v>162</v>
      </c>
      <c r="AD248" s="126"/>
      <c r="AE248" s="126"/>
      <c r="AF248" s="126"/>
      <c r="AG248" s="126"/>
      <c r="AH248" s="126" t="s">
        <v>280</v>
      </c>
      <c r="AI248" s="126" t="s">
        <v>1721</v>
      </c>
    </row>
    <row r="249" spans="1:35" ht="75" x14ac:dyDescent="0.25">
      <c r="A249" s="46" t="str">
        <f t="shared" si="3"/>
        <v>IBA1CRD024845CADENASBPO</v>
      </c>
      <c r="B249" s="126" t="s">
        <v>8</v>
      </c>
      <c r="C249" s="126">
        <v>9207</v>
      </c>
      <c r="D249" s="126" t="s">
        <v>140</v>
      </c>
      <c r="E249" s="126" t="s">
        <v>177</v>
      </c>
      <c r="F249" s="127">
        <v>44530</v>
      </c>
      <c r="G249" s="126" t="s">
        <v>175</v>
      </c>
      <c r="H249" s="126" t="s">
        <v>176</v>
      </c>
      <c r="I249" s="126">
        <v>1</v>
      </c>
      <c r="J249" s="126" t="s">
        <v>602</v>
      </c>
      <c r="K249" s="126" t="s">
        <v>280</v>
      </c>
      <c r="L249" s="126" t="s">
        <v>1718</v>
      </c>
      <c r="M249" s="126">
        <v>0</v>
      </c>
      <c r="N249" s="126">
        <v>52800017797</v>
      </c>
      <c r="O249" s="126" t="s">
        <v>609</v>
      </c>
      <c r="P249" s="126" t="s">
        <v>171</v>
      </c>
      <c r="Q249" s="126" t="s">
        <v>464</v>
      </c>
      <c r="R249" s="126" t="s">
        <v>464</v>
      </c>
      <c r="S249" s="126" t="s">
        <v>465</v>
      </c>
      <c r="T249" s="126" t="s">
        <v>160</v>
      </c>
      <c r="U249" s="126"/>
      <c r="V249" s="128">
        <v>500000000</v>
      </c>
      <c r="W249" s="128">
        <v>500000000</v>
      </c>
      <c r="X249" s="126" t="s">
        <v>1209</v>
      </c>
      <c r="Y249" s="126">
        <v>0</v>
      </c>
      <c r="Z249" s="126">
        <v>0</v>
      </c>
      <c r="AA249" s="126" t="s">
        <v>1</v>
      </c>
      <c r="AB249" s="126" t="s">
        <v>161</v>
      </c>
      <c r="AC249" s="126" t="s">
        <v>162</v>
      </c>
      <c r="AD249" s="126"/>
      <c r="AE249" s="126"/>
      <c r="AF249" s="126"/>
      <c r="AG249" s="126"/>
      <c r="AH249" s="126" t="s">
        <v>280</v>
      </c>
      <c r="AI249" s="126" t="s">
        <v>1722</v>
      </c>
    </row>
    <row r="250" spans="1:35" ht="75" x14ac:dyDescent="0.25">
      <c r="A250" s="46" t="str">
        <f t="shared" si="3"/>
        <v>IBA1CRD024844CADENASBPO</v>
      </c>
      <c r="B250" s="126" t="s">
        <v>8</v>
      </c>
      <c r="C250" s="126">
        <v>9207</v>
      </c>
      <c r="D250" s="126" t="s">
        <v>140</v>
      </c>
      <c r="E250" s="126" t="s">
        <v>177</v>
      </c>
      <c r="F250" s="127">
        <v>44530</v>
      </c>
      <c r="G250" s="126" t="s">
        <v>175</v>
      </c>
      <c r="H250" s="126" t="s">
        <v>176</v>
      </c>
      <c r="I250" s="126">
        <v>1</v>
      </c>
      <c r="J250" s="126" t="s">
        <v>602</v>
      </c>
      <c r="K250" s="126" t="s">
        <v>280</v>
      </c>
      <c r="L250" s="126" t="s">
        <v>1718</v>
      </c>
      <c r="M250" s="126">
        <v>0</v>
      </c>
      <c r="N250" s="126">
        <v>52800017797</v>
      </c>
      <c r="O250" s="126" t="s">
        <v>609</v>
      </c>
      <c r="P250" s="126" t="s">
        <v>171</v>
      </c>
      <c r="Q250" s="126" t="s">
        <v>461</v>
      </c>
      <c r="R250" s="126" t="s">
        <v>461</v>
      </c>
      <c r="S250" s="126" t="s">
        <v>462</v>
      </c>
      <c r="T250" s="126" t="s">
        <v>160</v>
      </c>
      <c r="U250" s="126"/>
      <c r="V250" s="128">
        <v>500000000</v>
      </c>
      <c r="W250" s="128">
        <v>500000000</v>
      </c>
      <c r="X250" s="126" t="s">
        <v>1209</v>
      </c>
      <c r="Y250" s="126">
        <v>0</v>
      </c>
      <c r="Z250" s="126">
        <v>0</v>
      </c>
      <c r="AA250" s="126" t="s">
        <v>1</v>
      </c>
      <c r="AB250" s="126" t="s">
        <v>161</v>
      </c>
      <c r="AC250" s="126" t="s">
        <v>162</v>
      </c>
      <c r="AD250" s="126"/>
      <c r="AE250" s="126"/>
      <c r="AF250" s="126"/>
      <c r="AG250" s="126"/>
      <c r="AH250" s="126" t="s">
        <v>280</v>
      </c>
      <c r="AI250" s="126" t="s">
        <v>1723</v>
      </c>
    </row>
    <row r="251" spans="1:35" ht="75" x14ac:dyDescent="0.25">
      <c r="A251" s="46" t="str">
        <f t="shared" si="3"/>
        <v>IBA1CRD024842AUTOSERVICIOBPO</v>
      </c>
      <c r="B251" s="126" t="s">
        <v>8</v>
      </c>
      <c r="C251" s="126">
        <v>9207</v>
      </c>
      <c r="D251" s="126" t="s">
        <v>140</v>
      </c>
      <c r="E251" s="126" t="s">
        <v>177</v>
      </c>
      <c r="F251" s="127">
        <v>44530</v>
      </c>
      <c r="G251" s="126" t="s">
        <v>175</v>
      </c>
      <c r="H251" s="126" t="s">
        <v>176</v>
      </c>
      <c r="I251" s="126">
        <v>1</v>
      </c>
      <c r="J251" s="126" t="s">
        <v>602</v>
      </c>
      <c r="K251" s="126" t="s">
        <v>280</v>
      </c>
      <c r="L251" s="126" t="s">
        <v>1718</v>
      </c>
      <c r="M251" s="126">
        <v>0</v>
      </c>
      <c r="N251" s="126">
        <v>52800017797</v>
      </c>
      <c r="O251" s="126" t="s">
        <v>609</v>
      </c>
      <c r="P251" s="126" t="s">
        <v>171</v>
      </c>
      <c r="Q251" s="126" t="s">
        <v>459</v>
      </c>
      <c r="R251" s="126" t="s">
        <v>459</v>
      </c>
      <c r="S251" s="126" t="s">
        <v>460</v>
      </c>
      <c r="T251" s="126" t="s">
        <v>160</v>
      </c>
      <c r="U251" s="126"/>
      <c r="V251" s="128">
        <v>500000000</v>
      </c>
      <c r="W251" s="128">
        <v>500000000</v>
      </c>
      <c r="X251" s="126" t="s">
        <v>1209</v>
      </c>
      <c r="Y251" s="126">
        <v>0</v>
      </c>
      <c r="Z251" s="126">
        <v>0</v>
      </c>
      <c r="AA251" s="126" t="s">
        <v>0</v>
      </c>
      <c r="AB251" s="126" t="s">
        <v>161</v>
      </c>
      <c r="AC251" s="126" t="s">
        <v>162</v>
      </c>
      <c r="AD251" s="126"/>
      <c r="AE251" s="126"/>
      <c r="AF251" s="126"/>
      <c r="AG251" s="126"/>
      <c r="AH251" s="126" t="s">
        <v>280</v>
      </c>
      <c r="AI251" s="126" t="s">
        <v>1724</v>
      </c>
    </row>
    <row r="252" spans="1:35" ht="75" x14ac:dyDescent="0.25">
      <c r="A252" s="46" t="str">
        <f t="shared" si="3"/>
        <v>IBA1CRD024845AUTOSERVICIOBPO</v>
      </c>
      <c r="B252" s="126" t="s">
        <v>8</v>
      </c>
      <c r="C252" s="126">
        <v>9207</v>
      </c>
      <c r="D252" s="126" t="s">
        <v>140</v>
      </c>
      <c r="E252" s="126" t="s">
        <v>177</v>
      </c>
      <c r="F252" s="127">
        <v>44530</v>
      </c>
      <c r="G252" s="126" t="s">
        <v>175</v>
      </c>
      <c r="H252" s="126" t="s">
        <v>176</v>
      </c>
      <c r="I252" s="126">
        <v>1</v>
      </c>
      <c r="J252" s="126" t="s">
        <v>602</v>
      </c>
      <c r="K252" s="126" t="s">
        <v>280</v>
      </c>
      <c r="L252" s="126" t="s">
        <v>1718</v>
      </c>
      <c r="M252" s="126">
        <v>0</v>
      </c>
      <c r="N252" s="126">
        <v>52800017797</v>
      </c>
      <c r="O252" s="126" t="s">
        <v>609</v>
      </c>
      <c r="P252" s="126" t="s">
        <v>171</v>
      </c>
      <c r="Q252" s="126" t="s">
        <v>464</v>
      </c>
      <c r="R252" s="126" t="s">
        <v>464</v>
      </c>
      <c r="S252" s="126" t="s">
        <v>465</v>
      </c>
      <c r="T252" s="126" t="s">
        <v>160</v>
      </c>
      <c r="U252" s="126"/>
      <c r="V252" s="128">
        <v>500000000</v>
      </c>
      <c r="W252" s="128">
        <v>500000000</v>
      </c>
      <c r="X252" s="126" t="s">
        <v>1209</v>
      </c>
      <c r="Y252" s="126">
        <v>0</v>
      </c>
      <c r="Z252" s="126">
        <v>0</v>
      </c>
      <c r="AA252" s="126" t="s">
        <v>0</v>
      </c>
      <c r="AB252" s="126" t="s">
        <v>161</v>
      </c>
      <c r="AC252" s="126" t="s">
        <v>162</v>
      </c>
      <c r="AD252" s="126"/>
      <c r="AE252" s="126"/>
      <c r="AF252" s="126"/>
      <c r="AG252" s="126"/>
      <c r="AH252" s="126" t="s">
        <v>280</v>
      </c>
      <c r="AI252" s="126" t="s">
        <v>1725</v>
      </c>
    </row>
    <row r="253" spans="1:35" ht="75" x14ac:dyDescent="0.25">
      <c r="A253" s="46" t="str">
        <f t="shared" si="3"/>
        <v>IBA1CRD024842CADENASBPO</v>
      </c>
      <c r="B253" s="126" t="s">
        <v>8</v>
      </c>
      <c r="C253" s="126">
        <v>9207</v>
      </c>
      <c r="D253" s="126" t="s">
        <v>140</v>
      </c>
      <c r="E253" s="126" t="s">
        <v>177</v>
      </c>
      <c r="F253" s="127">
        <v>44530</v>
      </c>
      <c r="G253" s="126" t="s">
        <v>175</v>
      </c>
      <c r="H253" s="126" t="s">
        <v>176</v>
      </c>
      <c r="I253" s="126">
        <v>1</v>
      </c>
      <c r="J253" s="126" t="s">
        <v>602</v>
      </c>
      <c r="K253" s="126" t="s">
        <v>280</v>
      </c>
      <c r="L253" s="126" t="s">
        <v>1718</v>
      </c>
      <c r="M253" s="126">
        <v>0</v>
      </c>
      <c r="N253" s="126">
        <v>52800017797</v>
      </c>
      <c r="O253" s="126" t="s">
        <v>609</v>
      </c>
      <c r="P253" s="126" t="s">
        <v>171</v>
      </c>
      <c r="Q253" s="126" t="s">
        <v>459</v>
      </c>
      <c r="R253" s="126" t="s">
        <v>459</v>
      </c>
      <c r="S253" s="126" t="s">
        <v>460</v>
      </c>
      <c r="T253" s="126" t="s">
        <v>160</v>
      </c>
      <c r="U253" s="126"/>
      <c r="V253" s="128">
        <v>500000000</v>
      </c>
      <c r="W253" s="128">
        <v>500000000</v>
      </c>
      <c r="X253" s="126" t="s">
        <v>1209</v>
      </c>
      <c r="Y253" s="126">
        <v>0</v>
      </c>
      <c r="Z253" s="126">
        <v>0</v>
      </c>
      <c r="AA253" s="126" t="s">
        <v>1</v>
      </c>
      <c r="AB253" s="126" t="s">
        <v>161</v>
      </c>
      <c r="AC253" s="126" t="s">
        <v>162</v>
      </c>
      <c r="AD253" s="126"/>
      <c r="AE253" s="126"/>
      <c r="AF253" s="126"/>
      <c r="AG253" s="126"/>
      <c r="AH253" s="126" t="s">
        <v>280</v>
      </c>
      <c r="AI253" s="126" t="s">
        <v>1726</v>
      </c>
    </row>
    <row r="254" spans="1:35" ht="90" x14ac:dyDescent="0.25">
      <c r="A254" s="46" t="str">
        <f t="shared" si="3"/>
        <v>IBA1ACT000075TRADICIONALNUTRESA</v>
      </c>
      <c r="B254" s="126" t="s">
        <v>8</v>
      </c>
      <c r="C254" s="126">
        <v>9219</v>
      </c>
      <c r="D254" s="126" t="s">
        <v>140</v>
      </c>
      <c r="E254" s="126" t="s">
        <v>177</v>
      </c>
      <c r="F254" s="127">
        <v>44531</v>
      </c>
      <c r="G254" s="126" t="s">
        <v>175</v>
      </c>
      <c r="H254" s="126" t="s">
        <v>176</v>
      </c>
      <c r="I254" s="126">
        <v>1</v>
      </c>
      <c r="J254" s="126" t="s">
        <v>184</v>
      </c>
      <c r="K254" s="126" t="s">
        <v>280</v>
      </c>
      <c r="L254" s="126" t="s">
        <v>1727</v>
      </c>
      <c r="M254" s="126">
        <v>0</v>
      </c>
      <c r="N254" s="126">
        <v>0</v>
      </c>
      <c r="O254" s="126" t="s">
        <v>610</v>
      </c>
      <c r="P254" s="126" t="s">
        <v>170</v>
      </c>
      <c r="Q254" s="126" t="s">
        <v>134</v>
      </c>
      <c r="R254" s="126" t="s">
        <v>134</v>
      </c>
      <c r="S254" s="126" t="s">
        <v>210</v>
      </c>
      <c r="T254" s="126" t="s">
        <v>160</v>
      </c>
      <c r="U254" s="126"/>
      <c r="V254" s="128">
        <v>1000000</v>
      </c>
      <c r="W254" s="128">
        <v>1000000</v>
      </c>
      <c r="X254" s="126" t="s">
        <v>1209</v>
      </c>
      <c r="Y254" s="126">
        <v>88859</v>
      </c>
      <c r="Z254" s="126">
        <v>0</v>
      </c>
      <c r="AA254" s="126" t="s">
        <v>2</v>
      </c>
      <c r="AB254" s="126" t="s">
        <v>140</v>
      </c>
      <c r="AC254" s="126" t="s">
        <v>213</v>
      </c>
      <c r="AD254" s="126"/>
      <c r="AE254" s="126"/>
      <c r="AF254" s="126"/>
      <c r="AG254" s="126"/>
      <c r="AH254" s="126" t="s">
        <v>280</v>
      </c>
      <c r="AI254" s="126" t="s">
        <v>1728</v>
      </c>
    </row>
    <row r="255" spans="1:35" ht="90" x14ac:dyDescent="0.25">
      <c r="A255" s="46" t="str">
        <f t="shared" si="3"/>
        <v>IBA1ACT000225AUTOSERVICIONUTRESA</v>
      </c>
      <c r="B255" s="126" t="s">
        <v>8</v>
      </c>
      <c r="C255" s="126">
        <v>9219</v>
      </c>
      <c r="D255" s="126" t="s">
        <v>140</v>
      </c>
      <c r="E255" s="126" t="s">
        <v>177</v>
      </c>
      <c r="F255" s="127">
        <v>44531</v>
      </c>
      <c r="G255" s="126" t="s">
        <v>175</v>
      </c>
      <c r="H255" s="126" t="s">
        <v>176</v>
      </c>
      <c r="I255" s="126">
        <v>1</v>
      </c>
      <c r="J255" s="126" t="s">
        <v>184</v>
      </c>
      <c r="K255" s="126" t="s">
        <v>280</v>
      </c>
      <c r="L255" s="126" t="s">
        <v>1727</v>
      </c>
      <c r="M255" s="126">
        <v>0</v>
      </c>
      <c r="N255" s="126">
        <v>0</v>
      </c>
      <c r="O255" s="126" t="s">
        <v>610</v>
      </c>
      <c r="P255" s="126" t="s">
        <v>170</v>
      </c>
      <c r="Q255" s="126" t="s">
        <v>136</v>
      </c>
      <c r="R255" s="126" t="s">
        <v>136</v>
      </c>
      <c r="S255" s="126" t="s">
        <v>173</v>
      </c>
      <c r="T255" s="126" t="s">
        <v>160</v>
      </c>
      <c r="U255" s="126" t="s">
        <v>136</v>
      </c>
      <c r="V255" s="128">
        <v>1000000</v>
      </c>
      <c r="W255" s="128">
        <v>1000000</v>
      </c>
      <c r="X255" s="126" t="s">
        <v>1209</v>
      </c>
      <c r="Y255" s="126">
        <v>130526</v>
      </c>
      <c r="Z255" s="126">
        <v>0</v>
      </c>
      <c r="AA255" s="126" t="s">
        <v>0</v>
      </c>
      <c r="AB255" s="126" t="s">
        <v>140</v>
      </c>
      <c r="AC255" s="126" t="s">
        <v>213</v>
      </c>
      <c r="AD255" s="126"/>
      <c r="AE255" s="126"/>
      <c r="AF255" s="126"/>
      <c r="AG255" s="126"/>
      <c r="AH255" s="126" t="s">
        <v>280</v>
      </c>
      <c r="AI255" s="126" t="s">
        <v>1729</v>
      </c>
    </row>
    <row r="256" spans="1:35" ht="90" x14ac:dyDescent="0.25">
      <c r="A256" s="46" t="str">
        <f t="shared" si="3"/>
        <v>IBA1ACT000063AUTOSERVICIONUTRESA</v>
      </c>
      <c r="B256" s="126" t="s">
        <v>8</v>
      </c>
      <c r="C256" s="126">
        <v>9219</v>
      </c>
      <c r="D256" s="126" t="s">
        <v>140</v>
      </c>
      <c r="E256" s="126" t="s">
        <v>177</v>
      </c>
      <c r="F256" s="127">
        <v>44531</v>
      </c>
      <c r="G256" s="126" t="s">
        <v>175</v>
      </c>
      <c r="H256" s="126" t="s">
        <v>176</v>
      </c>
      <c r="I256" s="126">
        <v>1</v>
      </c>
      <c r="J256" s="126" t="s">
        <v>184</v>
      </c>
      <c r="K256" s="126" t="s">
        <v>280</v>
      </c>
      <c r="L256" s="126" t="s">
        <v>1727</v>
      </c>
      <c r="M256" s="126">
        <v>0</v>
      </c>
      <c r="N256" s="126">
        <v>0</v>
      </c>
      <c r="O256" s="126" t="s">
        <v>610</v>
      </c>
      <c r="P256" s="126" t="s">
        <v>170</v>
      </c>
      <c r="Q256" s="126" t="s">
        <v>135</v>
      </c>
      <c r="R256" s="126" t="s">
        <v>135</v>
      </c>
      <c r="S256" s="126" t="s">
        <v>207</v>
      </c>
      <c r="T256" s="126" t="s">
        <v>160</v>
      </c>
      <c r="U256" s="126" t="s">
        <v>135</v>
      </c>
      <c r="V256" s="128">
        <v>1000000</v>
      </c>
      <c r="W256" s="128">
        <v>1000000</v>
      </c>
      <c r="X256" s="126" t="s">
        <v>1209</v>
      </c>
      <c r="Y256" s="126">
        <v>89005</v>
      </c>
      <c r="Z256" s="126">
        <v>0</v>
      </c>
      <c r="AA256" s="126" t="s">
        <v>0</v>
      </c>
      <c r="AB256" s="126" t="s">
        <v>140</v>
      </c>
      <c r="AC256" s="126" t="s">
        <v>213</v>
      </c>
      <c r="AD256" s="126"/>
      <c r="AE256" s="126"/>
      <c r="AF256" s="126"/>
      <c r="AG256" s="126"/>
      <c r="AH256" s="126" t="s">
        <v>280</v>
      </c>
      <c r="AI256" s="126" t="s">
        <v>1730</v>
      </c>
    </row>
    <row r="257" spans="1:35" ht="90" x14ac:dyDescent="0.25">
      <c r="A257" s="46" t="str">
        <f t="shared" si="3"/>
        <v>IBA1ACT000063AUTOSERVICIONUTRESA</v>
      </c>
      <c r="B257" s="126" t="s">
        <v>8</v>
      </c>
      <c r="C257" s="126">
        <v>9219</v>
      </c>
      <c r="D257" s="126" t="s">
        <v>140</v>
      </c>
      <c r="E257" s="126" t="s">
        <v>177</v>
      </c>
      <c r="F257" s="127">
        <v>44531</v>
      </c>
      <c r="G257" s="126" t="s">
        <v>175</v>
      </c>
      <c r="H257" s="126" t="s">
        <v>176</v>
      </c>
      <c r="I257" s="126">
        <v>1</v>
      </c>
      <c r="J257" s="126" t="s">
        <v>184</v>
      </c>
      <c r="K257" s="126" t="s">
        <v>280</v>
      </c>
      <c r="L257" s="126" t="s">
        <v>1727</v>
      </c>
      <c r="M257" s="126">
        <v>0</v>
      </c>
      <c r="N257" s="126">
        <v>0</v>
      </c>
      <c r="O257" s="126" t="s">
        <v>610</v>
      </c>
      <c r="P257" s="126" t="s">
        <v>170</v>
      </c>
      <c r="Q257" s="126" t="s">
        <v>135</v>
      </c>
      <c r="R257" s="126" t="s">
        <v>135</v>
      </c>
      <c r="S257" s="126" t="s">
        <v>207</v>
      </c>
      <c r="T257" s="126" t="s">
        <v>160</v>
      </c>
      <c r="U257" s="126" t="s">
        <v>135</v>
      </c>
      <c r="V257" s="128">
        <v>1000000</v>
      </c>
      <c r="W257" s="128">
        <v>1000000</v>
      </c>
      <c r="X257" s="126" t="s">
        <v>1209</v>
      </c>
      <c r="Y257" s="126">
        <v>158802</v>
      </c>
      <c r="Z257" s="126">
        <v>0</v>
      </c>
      <c r="AA257" s="126" t="s">
        <v>0</v>
      </c>
      <c r="AB257" s="126" t="s">
        <v>140</v>
      </c>
      <c r="AC257" s="126" t="s">
        <v>213</v>
      </c>
      <c r="AD257" s="126"/>
      <c r="AE257" s="126"/>
      <c r="AF257" s="126"/>
      <c r="AG257" s="126"/>
      <c r="AH257" s="126" t="s">
        <v>280</v>
      </c>
      <c r="AI257" s="126" t="s">
        <v>1731</v>
      </c>
    </row>
    <row r="258" spans="1:35" ht="105" x14ac:dyDescent="0.25">
      <c r="A258" s="46" t="str">
        <f t="shared" si="3"/>
        <v>IBA1ACT000120AUTOSERVICIONUTRESA</v>
      </c>
      <c r="B258" s="126" t="s">
        <v>8</v>
      </c>
      <c r="C258" s="126">
        <v>9220</v>
      </c>
      <c r="D258" s="126" t="s">
        <v>140</v>
      </c>
      <c r="E258" s="126" t="s">
        <v>177</v>
      </c>
      <c r="F258" s="127">
        <v>44531</v>
      </c>
      <c r="G258" s="126" t="s">
        <v>175</v>
      </c>
      <c r="H258" s="126" t="s">
        <v>176</v>
      </c>
      <c r="I258" s="126">
        <v>1</v>
      </c>
      <c r="J258" s="126" t="s">
        <v>360</v>
      </c>
      <c r="K258" s="126" t="s">
        <v>280</v>
      </c>
      <c r="L258" s="126" t="s">
        <v>1732</v>
      </c>
      <c r="M258" s="126">
        <v>0</v>
      </c>
      <c r="N258" s="126">
        <v>124010483311</v>
      </c>
      <c r="O258" s="126" t="s">
        <v>611</v>
      </c>
      <c r="P258" s="126" t="s">
        <v>170</v>
      </c>
      <c r="Q258" s="126" t="s">
        <v>504</v>
      </c>
      <c r="R258" s="126" t="s">
        <v>504</v>
      </c>
      <c r="S258" s="126" t="s">
        <v>505</v>
      </c>
      <c r="T258" s="126" t="s">
        <v>160</v>
      </c>
      <c r="U258" s="126"/>
      <c r="V258" s="128">
        <v>1000000</v>
      </c>
      <c r="W258" s="128">
        <v>1000000</v>
      </c>
      <c r="X258" s="126" t="s">
        <v>1209</v>
      </c>
      <c r="Y258" s="126">
        <v>90987</v>
      </c>
      <c r="Z258" s="126">
        <v>0</v>
      </c>
      <c r="AA258" s="126" t="s">
        <v>0</v>
      </c>
      <c r="AB258" s="126" t="s">
        <v>140</v>
      </c>
      <c r="AC258" s="126" t="s">
        <v>165</v>
      </c>
      <c r="AD258" s="126"/>
      <c r="AE258" s="126"/>
      <c r="AF258" s="126"/>
      <c r="AG258" s="126"/>
      <c r="AH258" s="126" t="s">
        <v>280</v>
      </c>
      <c r="AI258" s="126" t="s">
        <v>1733</v>
      </c>
    </row>
    <row r="259" spans="1:35" ht="105" x14ac:dyDescent="0.25">
      <c r="A259" s="46" t="str">
        <f t="shared" ref="A259:A322" si="4">+CONCATENATE(B259,Q259,AA259,AB259)</f>
        <v>IBA1ACT000225AUTOSERVICIONUTRESA</v>
      </c>
      <c r="B259" s="126" t="s">
        <v>8</v>
      </c>
      <c r="C259" s="126">
        <v>9221</v>
      </c>
      <c r="D259" s="126" t="s">
        <v>140</v>
      </c>
      <c r="E259" s="126" t="s">
        <v>177</v>
      </c>
      <c r="F259" s="127">
        <v>44531</v>
      </c>
      <c r="G259" s="126" t="s">
        <v>175</v>
      </c>
      <c r="H259" s="126" t="s">
        <v>176</v>
      </c>
      <c r="I259" s="126">
        <v>1</v>
      </c>
      <c r="J259" s="126" t="s">
        <v>184</v>
      </c>
      <c r="K259" s="126" t="s">
        <v>280</v>
      </c>
      <c r="L259" s="126" t="s">
        <v>1734</v>
      </c>
      <c r="M259" s="126">
        <v>0</v>
      </c>
      <c r="N259" s="126">
        <v>0</v>
      </c>
      <c r="O259" s="126" t="s">
        <v>612</v>
      </c>
      <c r="P259" s="126" t="s">
        <v>170</v>
      </c>
      <c r="Q259" s="126" t="s">
        <v>136</v>
      </c>
      <c r="R259" s="126" t="s">
        <v>136</v>
      </c>
      <c r="S259" s="126" t="s">
        <v>173</v>
      </c>
      <c r="T259" s="126" t="s">
        <v>160</v>
      </c>
      <c r="U259" s="126" t="s">
        <v>136</v>
      </c>
      <c r="V259" s="128">
        <v>1000000</v>
      </c>
      <c r="W259" s="128">
        <v>1000000</v>
      </c>
      <c r="X259" s="126" t="s">
        <v>1209</v>
      </c>
      <c r="Y259" s="126">
        <v>130905</v>
      </c>
      <c r="Z259" s="126">
        <v>0</v>
      </c>
      <c r="AA259" s="126" t="s">
        <v>0</v>
      </c>
      <c r="AB259" s="126" t="s">
        <v>140</v>
      </c>
      <c r="AC259" s="126" t="s">
        <v>165</v>
      </c>
      <c r="AD259" s="126"/>
      <c r="AE259" s="126"/>
      <c r="AF259" s="126"/>
      <c r="AG259" s="126"/>
      <c r="AH259" s="126" t="s">
        <v>280</v>
      </c>
      <c r="AI259" s="126" t="s">
        <v>1735</v>
      </c>
    </row>
    <row r="260" spans="1:35" ht="105" x14ac:dyDescent="0.25">
      <c r="A260" s="46" t="str">
        <f t="shared" si="4"/>
        <v>IBA1ACT000075AUTOSERVICIONUTRESA</v>
      </c>
      <c r="B260" s="126" t="s">
        <v>8</v>
      </c>
      <c r="C260" s="126">
        <v>9221</v>
      </c>
      <c r="D260" s="126" t="s">
        <v>140</v>
      </c>
      <c r="E260" s="126" t="s">
        <v>177</v>
      </c>
      <c r="F260" s="127">
        <v>44531</v>
      </c>
      <c r="G260" s="126" t="s">
        <v>175</v>
      </c>
      <c r="H260" s="126" t="s">
        <v>176</v>
      </c>
      <c r="I260" s="126">
        <v>1</v>
      </c>
      <c r="J260" s="126" t="s">
        <v>184</v>
      </c>
      <c r="K260" s="126" t="s">
        <v>280</v>
      </c>
      <c r="L260" s="126" t="s">
        <v>1734</v>
      </c>
      <c r="M260" s="126">
        <v>0</v>
      </c>
      <c r="N260" s="126">
        <v>0</v>
      </c>
      <c r="O260" s="126" t="s">
        <v>612</v>
      </c>
      <c r="P260" s="126" t="s">
        <v>170</v>
      </c>
      <c r="Q260" s="126" t="s">
        <v>134</v>
      </c>
      <c r="R260" s="126" t="s">
        <v>134</v>
      </c>
      <c r="S260" s="126" t="s">
        <v>210</v>
      </c>
      <c r="T260" s="126" t="s">
        <v>160</v>
      </c>
      <c r="U260" s="126"/>
      <c r="V260" s="128">
        <v>1000000</v>
      </c>
      <c r="W260" s="128">
        <v>1000000</v>
      </c>
      <c r="X260" s="126" t="s">
        <v>1209</v>
      </c>
      <c r="Y260" s="126">
        <v>67032</v>
      </c>
      <c r="Z260" s="126">
        <v>0</v>
      </c>
      <c r="AA260" s="126" t="s">
        <v>0</v>
      </c>
      <c r="AB260" s="126" t="s">
        <v>140</v>
      </c>
      <c r="AC260" s="126" t="s">
        <v>165</v>
      </c>
      <c r="AD260" s="126"/>
      <c r="AE260" s="126"/>
      <c r="AF260" s="126"/>
      <c r="AG260" s="126"/>
      <c r="AH260" s="126" t="s">
        <v>280</v>
      </c>
      <c r="AI260" s="126" t="s">
        <v>1736</v>
      </c>
    </row>
    <row r="261" spans="1:35" ht="75" x14ac:dyDescent="0.25">
      <c r="A261" s="46" t="str">
        <f t="shared" si="4"/>
        <v>IBA1CRD023531AUTOSERVICIONUTRESA</v>
      </c>
      <c r="B261" s="126" t="s">
        <v>8</v>
      </c>
      <c r="C261" s="126">
        <v>9229</v>
      </c>
      <c r="D261" s="126" t="s">
        <v>140</v>
      </c>
      <c r="E261" s="126" t="s">
        <v>177</v>
      </c>
      <c r="F261" s="127">
        <v>44532</v>
      </c>
      <c r="G261" s="126" t="s">
        <v>175</v>
      </c>
      <c r="H261" s="126" t="s">
        <v>176</v>
      </c>
      <c r="I261" s="126">
        <v>1</v>
      </c>
      <c r="J261" s="126" t="s">
        <v>184</v>
      </c>
      <c r="K261" s="126" t="s">
        <v>280</v>
      </c>
      <c r="L261" s="126" t="s">
        <v>1737</v>
      </c>
      <c r="M261" s="126">
        <v>0</v>
      </c>
      <c r="N261" s="126">
        <v>700065748154</v>
      </c>
      <c r="O261" s="126" t="s">
        <v>1738</v>
      </c>
      <c r="P261" s="126" t="s">
        <v>170</v>
      </c>
      <c r="Q261" s="126" t="s">
        <v>244</v>
      </c>
      <c r="R261" s="126" t="s">
        <v>244</v>
      </c>
      <c r="S261" s="126" t="s">
        <v>1739</v>
      </c>
      <c r="T261" s="126" t="s">
        <v>160</v>
      </c>
      <c r="U261" s="126"/>
      <c r="V261" s="128">
        <v>2000000</v>
      </c>
      <c r="W261" s="128">
        <v>2000000</v>
      </c>
      <c r="X261" s="126" t="s">
        <v>1209</v>
      </c>
      <c r="Y261" s="126">
        <v>0</v>
      </c>
      <c r="Z261" s="126">
        <v>0</v>
      </c>
      <c r="AA261" s="126" t="s">
        <v>0</v>
      </c>
      <c r="AB261" s="126" t="s">
        <v>140</v>
      </c>
      <c r="AC261" s="126" t="s">
        <v>162</v>
      </c>
      <c r="AD261" s="126"/>
      <c r="AE261" s="126"/>
      <c r="AF261" s="126"/>
      <c r="AG261" s="126"/>
      <c r="AH261" s="126" t="s">
        <v>280</v>
      </c>
      <c r="AI261" s="126" t="s">
        <v>1740</v>
      </c>
    </row>
    <row r="262" spans="1:35" ht="75" x14ac:dyDescent="0.25">
      <c r="A262" s="46" t="str">
        <f t="shared" si="4"/>
        <v>IBA1CRD023535AUTOSERVICIONUTRESA</v>
      </c>
      <c r="B262" s="126" t="s">
        <v>8</v>
      </c>
      <c r="C262" s="126">
        <v>9230</v>
      </c>
      <c r="D262" s="126" t="s">
        <v>140</v>
      </c>
      <c r="E262" s="126" t="s">
        <v>177</v>
      </c>
      <c r="F262" s="127">
        <v>44532</v>
      </c>
      <c r="G262" s="126" t="s">
        <v>175</v>
      </c>
      <c r="H262" s="126" t="s">
        <v>176</v>
      </c>
      <c r="I262" s="126">
        <v>1</v>
      </c>
      <c r="J262" s="126" t="s">
        <v>184</v>
      </c>
      <c r="K262" s="126" t="s">
        <v>280</v>
      </c>
      <c r="L262" s="126" t="s">
        <v>1741</v>
      </c>
      <c r="M262" s="126">
        <v>0</v>
      </c>
      <c r="N262" s="126">
        <v>700065748209</v>
      </c>
      <c r="O262" s="126" t="s">
        <v>613</v>
      </c>
      <c r="P262" s="126" t="s">
        <v>170</v>
      </c>
      <c r="Q262" s="126" t="s">
        <v>245</v>
      </c>
      <c r="R262" s="126" t="s">
        <v>245</v>
      </c>
      <c r="S262" s="126" t="s">
        <v>257</v>
      </c>
      <c r="T262" s="126" t="s">
        <v>160</v>
      </c>
      <c r="U262" s="126"/>
      <c r="V262" s="128">
        <v>1000000</v>
      </c>
      <c r="W262" s="128">
        <v>1000000</v>
      </c>
      <c r="X262" s="126" t="s">
        <v>1209</v>
      </c>
      <c r="Y262" s="126">
        <v>0</v>
      </c>
      <c r="Z262" s="126">
        <v>0</v>
      </c>
      <c r="AA262" s="126" t="s">
        <v>0</v>
      </c>
      <c r="AB262" s="126" t="s">
        <v>140</v>
      </c>
      <c r="AC262" s="126" t="s">
        <v>162</v>
      </c>
      <c r="AD262" s="126"/>
      <c r="AE262" s="126"/>
      <c r="AF262" s="126"/>
      <c r="AG262" s="126"/>
      <c r="AH262" s="126" t="s">
        <v>280</v>
      </c>
      <c r="AI262" s="126" t="s">
        <v>1742</v>
      </c>
    </row>
    <row r="263" spans="1:35" ht="75" x14ac:dyDescent="0.25">
      <c r="A263" s="46" t="str">
        <f t="shared" si="4"/>
        <v>IBA1CRD023535AUTOSERVICIONUTRESA</v>
      </c>
      <c r="B263" s="126" t="s">
        <v>8</v>
      </c>
      <c r="C263" s="126">
        <v>9230</v>
      </c>
      <c r="D263" s="126" t="s">
        <v>140</v>
      </c>
      <c r="E263" s="126" t="s">
        <v>177</v>
      </c>
      <c r="F263" s="127">
        <v>44532</v>
      </c>
      <c r="G263" s="126" t="s">
        <v>175</v>
      </c>
      <c r="H263" s="126" t="s">
        <v>176</v>
      </c>
      <c r="I263" s="126">
        <v>1</v>
      </c>
      <c r="J263" s="126" t="s">
        <v>184</v>
      </c>
      <c r="K263" s="126" t="s">
        <v>280</v>
      </c>
      <c r="L263" s="126" t="s">
        <v>1741</v>
      </c>
      <c r="M263" s="126">
        <v>0</v>
      </c>
      <c r="N263" s="126">
        <v>700065748209</v>
      </c>
      <c r="O263" s="126" t="s">
        <v>613</v>
      </c>
      <c r="P263" s="126" t="s">
        <v>170</v>
      </c>
      <c r="Q263" s="126" t="s">
        <v>245</v>
      </c>
      <c r="R263" s="126" t="s">
        <v>245</v>
      </c>
      <c r="S263" s="126" t="s">
        <v>257</v>
      </c>
      <c r="T263" s="126" t="s">
        <v>160</v>
      </c>
      <c r="U263" s="126"/>
      <c r="V263" s="128">
        <v>1000000</v>
      </c>
      <c r="W263" s="128">
        <v>1000000</v>
      </c>
      <c r="X263" s="126" t="s">
        <v>1209</v>
      </c>
      <c r="Y263" s="126">
        <v>0</v>
      </c>
      <c r="Z263" s="126">
        <v>0</v>
      </c>
      <c r="AA263" s="126" t="s">
        <v>0</v>
      </c>
      <c r="AB263" s="126" t="s">
        <v>140</v>
      </c>
      <c r="AC263" s="126" t="s">
        <v>165</v>
      </c>
      <c r="AD263" s="126"/>
      <c r="AE263" s="126"/>
      <c r="AF263" s="126"/>
      <c r="AG263" s="126"/>
      <c r="AH263" s="126" t="s">
        <v>280</v>
      </c>
      <c r="AI263" s="126" t="s">
        <v>1743</v>
      </c>
    </row>
    <row r="264" spans="1:35" ht="90" x14ac:dyDescent="0.25">
      <c r="A264" s="46" t="str">
        <f t="shared" si="4"/>
        <v>IBA1CRD024889CADENASNUTRESA</v>
      </c>
      <c r="B264" s="126" t="s">
        <v>8</v>
      </c>
      <c r="C264" s="126">
        <v>9231</v>
      </c>
      <c r="D264" s="126" t="s">
        <v>140</v>
      </c>
      <c r="E264" s="126" t="s">
        <v>177</v>
      </c>
      <c r="F264" s="127">
        <v>44532</v>
      </c>
      <c r="G264" s="126" t="s">
        <v>175</v>
      </c>
      <c r="H264" s="126" t="s">
        <v>176</v>
      </c>
      <c r="I264" s="126">
        <v>1</v>
      </c>
      <c r="J264" s="126" t="s">
        <v>184</v>
      </c>
      <c r="K264" s="126" t="s">
        <v>280</v>
      </c>
      <c r="L264" s="126" t="s">
        <v>1744</v>
      </c>
      <c r="M264" s="126">
        <v>0</v>
      </c>
      <c r="N264" s="126">
        <v>0</v>
      </c>
      <c r="O264" s="126" t="s">
        <v>614</v>
      </c>
      <c r="P264" s="126" t="s">
        <v>170</v>
      </c>
      <c r="Q264" s="126" t="s">
        <v>440</v>
      </c>
      <c r="R264" s="126" t="s">
        <v>440</v>
      </c>
      <c r="S264" s="126" t="s">
        <v>615</v>
      </c>
      <c r="T264" s="126" t="s">
        <v>160</v>
      </c>
      <c r="U264" s="126"/>
      <c r="V264" s="128">
        <v>1000000</v>
      </c>
      <c r="W264" s="128">
        <v>1000000</v>
      </c>
      <c r="X264" s="126" t="s">
        <v>1209</v>
      </c>
      <c r="Y264" s="126">
        <v>0</v>
      </c>
      <c r="Z264" s="126">
        <v>0</v>
      </c>
      <c r="AA264" s="126" t="s">
        <v>1</v>
      </c>
      <c r="AB264" s="126" t="s">
        <v>140</v>
      </c>
      <c r="AC264" s="126" t="s">
        <v>162</v>
      </c>
      <c r="AD264" s="126"/>
      <c r="AE264" s="126"/>
      <c r="AF264" s="126"/>
      <c r="AG264" s="126"/>
      <c r="AH264" s="126" t="s">
        <v>280</v>
      </c>
      <c r="AI264" s="126" t="s">
        <v>1745</v>
      </c>
    </row>
    <row r="265" spans="1:35" ht="90" x14ac:dyDescent="0.25">
      <c r="A265" s="46" t="str">
        <f t="shared" si="4"/>
        <v>IBA1CRD024162CADENASNUTRESA</v>
      </c>
      <c r="B265" s="126" t="s">
        <v>8</v>
      </c>
      <c r="C265" s="126">
        <v>9231</v>
      </c>
      <c r="D265" s="126" t="s">
        <v>140</v>
      </c>
      <c r="E265" s="126" t="s">
        <v>177</v>
      </c>
      <c r="F265" s="127">
        <v>44532</v>
      </c>
      <c r="G265" s="126" t="s">
        <v>175</v>
      </c>
      <c r="H265" s="126" t="s">
        <v>176</v>
      </c>
      <c r="I265" s="126">
        <v>1</v>
      </c>
      <c r="J265" s="126" t="s">
        <v>184</v>
      </c>
      <c r="K265" s="126" t="s">
        <v>280</v>
      </c>
      <c r="L265" s="126" t="s">
        <v>1744</v>
      </c>
      <c r="M265" s="126">
        <v>0</v>
      </c>
      <c r="N265" s="126">
        <v>0</v>
      </c>
      <c r="O265" s="126" t="s">
        <v>614</v>
      </c>
      <c r="P265" s="126" t="s">
        <v>172</v>
      </c>
      <c r="Q265" s="126" t="s">
        <v>331</v>
      </c>
      <c r="R265" s="126" t="s">
        <v>331</v>
      </c>
      <c r="S265" s="126" t="s">
        <v>332</v>
      </c>
      <c r="T265" s="126" t="s">
        <v>160</v>
      </c>
      <c r="U265" s="126"/>
      <c r="V265" s="128">
        <v>1375000000</v>
      </c>
      <c r="W265" s="128">
        <v>1375000000</v>
      </c>
      <c r="X265" s="126" t="s">
        <v>1209</v>
      </c>
      <c r="Y265" s="126">
        <v>0</v>
      </c>
      <c r="Z265" s="126" t="s">
        <v>337</v>
      </c>
      <c r="AA265" s="126" t="s">
        <v>1</v>
      </c>
      <c r="AB265" s="126" t="s">
        <v>140</v>
      </c>
      <c r="AC265" s="126" t="s">
        <v>162</v>
      </c>
      <c r="AD265" s="127">
        <v>44699</v>
      </c>
      <c r="AE265" s="126"/>
      <c r="AF265" s="127">
        <v>44699</v>
      </c>
      <c r="AG265" s="126"/>
      <c r="AH265" s="126" t="s">
        <v>280</v>
      </c>
      <c r="AI265" s="126" t="s">
        <v>1746</v>
      </c>
    </row>
    <row r="266" spans="1:35" ht="105" x14ac:dyDescent="0.25">
      <c r="A266" s="46" t="str">
        <f t="shared" si="4"/>
        <v>IBA1CRD023141CADENASBPO</v>
      </c>
      <c r="B266" s="126" t="s">
        <v>8</v>
      </c>
      <c r="C266" s="126">
        <v>9232</v>
      </c>
      <c r="D266" s="126" t="s">
        <v>140</v>
      </c>
      <c r="E266" s="126" t="s">
        <v>177</v>
      </c>
      <c r="F266" s="127">
        <v>44532</v>
      </c>
      <c r="G266" s="126" t="s">
        <v>175</v>
      </c>
      <c r="H266" s="126" t="s">
        <v>176</v>
      </c>
      <c r="I266" s="126">
        <v>1</v>
      </c>
      <c r="J266" s="126" t="s">
        <v>184</v>
      </c>
      <c r="K266" s="126" t="s">
        <v>280</v>
      </c>
      <c r="L266" s="126" t="s">
        <v>1747</v>
      </c>
      <c r="M266" s="126">
        <v>0</v>
      </c>
      <c r="N266" s="126">
        <v>0</v>
      </c>
      <c r="O266" s="126" t="s">
        <v>1748</v>
      </c>
      <c r="P266" s="126" t="s">
        <v>172</v>
      </c>
      <c r="Q266" s="126" t="s">
        <v>234</v>
      </c>
      <c r="R266" s="126" t="s">
        <v>234</v>
      </c>
      <c r="S266" s="126" t="s">
        <v>235</v>
      </c>
      <c r="T266" s="126" t="s">
        <v>160</v>
      </c>
      <c r="U266" s="126"/>
      <c r="V266" s="128">
        <v>300000000</v>
      </c>
      <c r="W266" s="128">
        <v>300000000</v>
      </c>
      <c r="X266" s="126" t="s">
        <v>1209</v>
      </c>
      <c r="Y266" s="126">
        <v>0</v>
      </c>
      <c r="Z266" s="126" t="s">
        <v>616</v>
      </c>
      <c r="AA266" s="126" t="s">
        <v>1</v>
      </c>
      <c r="AB266" s="126" t="s">
        <v>161</v>
      </c>
      <c r="AC266" s="126" t="s">
        <v>162</v>
      </c>
      <c r="AD266" s="127">
        <v>44745</v>
      </c>
      <c r="AE266" s="126"/>
      <c r="AF266" s="127">
        <v>44745</v>
      </c>
      <c r="AG266" s="126"/>
      <c r="AH266" s="126" t="s">
        <v>280</v>
      </c>
      <c r="AI266" s="126" t="s">
        <v>1749</v>
      </c>
    </row>
    <row r="267" spans="1:35" ht="75" x14ac:dyDescent="0.25">
      <c r="A267" s="46" t="str">
        <f t="shared" si="4"/>
        <v>IBA1CRD024849AUTOSERVICIONUTRESA</v>
      </c>
      <c r="B267" s="126" t="s">
        <v>8</v>
      </c>
      <c r="C267" s="126">
        <v>9240</v>
      </c>
      <c r="D267" s="126" t="s">
        <v>140</v>
      </c>
      <c r="E267" s="126" t="s">
        <v>177</v>
      </c>
      <c r="F267" s="127">
        <v>44533</v>
      </c>
      <c r="G267" s="126" t="s">
        <v>175</v>
      </c>
      <c r="H267" s="126" t="s">
        <v>176</v>
      </c>
      <c r="I267" s="126">
        <v>1</v>
      </c>
      <c r="J267" s="126" t="s">
        <v>184</v>
      </c>
      <c r="K267" s="126" t="s">
        <v>280</v>
      </c>
      <c r="L267" s="126" t="s">
        <v>1750</v>
      </c>
      <c r="M267" s="126">
        <v>0</v>
      </c>
      <c r="N267" s="126">
        <v>0</v>
      </c>
      <c r="O267" s="126" t="s">
        <v>617</v>
      </c>
      <c r="P267" s="126" t="s">
        <v>168</v>
      </c>
      <c r="Q267" s="126" t="s">
        <v>467</v>
      </c>
      <c r="R267" s="126" t="s">
        <v>467</v>
      </c>
      <c r="S267" s="126" t="s">
        <v>468</v>
      </c>
      <c r="T267" s="126" t="s">
        <v>160</v>
      </c>
      <c r="U267" s="126"/>
      <c r="V267" s="128">
        <v>2000000000</v>
      </c>
      <c r="W267" s="128">
        <v>2000000000</v>
      </c>
      <c r="X267" s="126" t="s">
        <v>1209</v>
      </c>
      <c r="Y267" s="126">
        <v>0</v>
      </c>
      <c r="Z267" s="126">
        <v>0</v>
      </c>
      <c r="AA267" s="126" t="s">
        <v>0</v>
      </c>
      <c r="AB267" s="126" t="s">
        <v>140</v>
      </c>
      <c r="AC267" s="126" t="s">
        <v>162</v>
      </c>
      <c r="AD267" s="126"/>
      <c r="AE267" s="126"/>
      <c r="AF267" s="126"/>
      <c r="AG267" s="126"/>
      <c r="AH267" s="126" t="s">
        <v>280</v>
      </c>
      <c r="AI267" s="126" t="s">
        <v>1751</v>
      </c>
    </row>
    <row r="268" spans="1:35" ht="210" x14ac:dyDescent="0.25">
      <c r="A268" s="46" t="str">
        <f t="shared" si="4"/>
        <v>IBA1CRD019238AUTOSERVICIOBPO</v>
      </c>
      <c r="B268" s="126" t="s">
        <v>8</v>
      </c>
      <c r="C268" s="126">
        <v>9241</v>
      </c>
      <c r="D268" s="126" t="s">
        <v>140</v>
      </c>
      <c r="E268" s="126" t="s">
        <v>177</v>
      </c>
      <c r="F268" s="127">
        <v>44533</v>
      </c>
      <c r="G268" s="126" t="s">
        <v>175</v>
      </c>
      <c r="H268" s="126" t="s">
        <v>176</v>
      </c>
      <c r="I268" s="126">
        <v>1</v>
      </c>
      <c r="J268" s="126" t="s">
        <v>184</v>
      </c>
      <c r="K268" s="126" t="s">
        <v>618</v>
      </c>
      <c r="L268" s="126" t="s">
        <v>1752</v>
      </c>
      <c r="M268" s="126">
        <v>0</v>
      </c>
      <c r="N268" s="126">
        <v>0</v>
      </c>
      <c r="O268" s="126" t="s">
        <v>619</v>
      </c>
      <c r="P268" s="126" t="s">
        <v>169</v>
      </c>
      <c r="Q268" s="126" t="s">
        <v>182</v>
      </c>
      <c r="R268" s="126" t="s">
        <v>182</v>
      </c>
      <c r="S268" s="126" t="s">
        <v>206</v>
      </c>
      <c r="T268" s="126" t="s">
        <v>160</v>
      </c>
      <c r="U268" s="126"/>
      <c r="V268" s="128">
        <v>1000000</v>
      </c>
      <c r="W268" s="128">
        <v>1000000</v>
      </c>
      <c r="X268" s="126" t="s">
        <v>1209</v>
      </c>
      <c r="Y268" s="126">
        <v>0</v>
      </c>
      <c r="Z268" s="126">
        <v>0</v>
      </c>
      <c r="AA268" s="126" t="s">
        <v>0</v>
      </c>
      <c r="AB268" s="126" t="s">
        <v>161</v>
      </c>
      <c r="AC268" s="126" t="s">
        <v>165</v>
      </c>
      <c r="AD268" s="126"/>
      <c r="AE268" s="126"/>
      <c r="AF268" s="126"/>
      <c r="AG268" s="126"/>
      <c r="AH268" s="126" t="s">
        <v>280</v>
      </c>
      <c r="AI268" s="126" t="s">
        <v>1753</v>
      </c>
    </row>
    <row r="269" spans="1:35" ht="195" x14ac:dyDescent="0.25">
      <c r="A269" s="46" t="str">
        <f t="shared" si="4"/>
        <v>IBA1CRD019238AUTOSERVICIOBPO</v>
      </c>
      <c r="B269" s="126" t="s">
        <v>8</v>
      </c>
      <c r="C269" s="126">
        <v>9242</v>
      </c>
      <c r="D269" s="126" t="s">
        <v>140</v>
      </c>
      <c r="E269" s="126" t="s">
        <v>177</v>
      </c>
      <c r="F269" s="127">
        <v>44533</v>
      </c>
      <c r="G269" s="126" t="s">
        <v>175</v>
      </c>
      <c r="H269" s="126" t="s">
        <v>176</v>
      </c>
      <c r="I269" s="126">
        <v>1</v>
      </c>
      <c r="J269" s="126" t="s">
        <v>184</v>
      </c>
      <c r="K269" s="126" t="s">
        <v>280</v>
      </c>
      <c r="L269" s="126" t="s">
        <v>1754</v>
      </c>
      <c r="M269" s="126">
        <v>0</v>
      </c>
      <c r="N269" s="126">
        <v>0</v>
      </c>
      <c r="O269" s="126" t="s">
        <v>1755</v>
      </c>
      <c r="P269" s="126" t="s">
        <v>169</v>
      </c>
      <c r="Q269" s="126" t="s">
        <v>182</v>
      </c>
      <c r="R269" s="126" t="s">
        <v>182</v>
      </c>
      <c r="S269" s="126" t="s">
        <v>206</v>
      </c>
      <c r="T269" s="126" t="s">
        <v>160</v>
      </c>
      <c r="U269" s="126"/>
      <c r="V269" s="128">
        <v>1000000</v>
      </c>
      <c r="W269" s="128">
        <v>1000000</v>
      </c>
      <c r="X269" s="126" t="s">
        <v>1209</v>
      </c>
      <c r="Y269" s="126">
        <v>0</v>
      </c>
      <c r="Z269" s="126">
        <v>0</v>
      </c>
      <c r="AA269" s="126" t="s">
        <v>0</v>
      </c>
      <c r="AB269" s="126" t="s">
        <v>161</v>
      </c>
      <c r="AC269" s="126" t="s">
        <v>165</v>
      </c>
      <c r="AD269" s="126"/>
      <c r="AE269" s="126"/>
      <c r="AF269" s="126"/>
      <c r="AG269" s="126"/>
      <c r="AH269" s="126" t="s">
        <v>280</v>
      </c>
      <c r="AI269" s="126" t="s">
        <v>1756</v>
      </c>
    </row>
    <row r="270" spans="1:35" ht="90" x14ac:dyDescent="0.25">
      <c r="A270" s="46" t="str">
        <f t="shared" si="4"/>
        <v>IBA1CRD025004TRADICIONALNUTRESA</v>
      </c>
      <c r="B270" s="126" t="s">
        <v>8</v>
      </c>
      <c r="C270" s="126">
        <v>9280</v>
      </c>
      <c r="D270" s="126" t="s">
        <v>140</v>
      </c>
      <c r="E270" s="126" t="s">
        <v>177</v>
      </c>
      <c r="F270" s="127">
        <v>44540</v>
      </c>
      <c r="G270" s="126" t="s">
        <v>175</v>
      </c>
      <c r="H270" s="126" t="s">
        <v>176</v>
      </c>
      <c r="I270" s="126">
        <v>1</v>
      </c>
      <c r="J270" s="126" t="s">
        <v>279</v>
      </c>
      <c r="K270" s="126" t="s">
        <v>280</v>
      </c>
      <c r="L270" s="126" t="s">
        <v>1757</v>
      </c>
      <c r="M270" s="126">
        <v>0</v>
      </c>
      <c r="N270" s="126">
        <v>348650675</v>
      </c>
      <c r="O270" s="126" t="s">
        <v>620</v>
      </c>
      <c r="P270" s="126" t="s">
        <v>171</v>
      </c>
      <c r="Q270" s="126" t="s">
        <v>485</v>
      </c>
      <c r="R270" s="126" t="s">
        <v>485</v>
      </c>
      <c r="S270" s="126" t="s">
        <v>1245</v>
      </c>
      <c r="T270" s="126" t="s">
        <v>160</v>
      </c>
      <c r="U270" s="126"/>
      <c r="V270" s="128">
        <v>47000000</v>
      </c>
      <c r="W270" s="128">
        <v>47000000</v>
      </c>
      <c r="X270" s="126" t="s">
        <v>1209</v>
      </c>
      <c r="Y270" s="126">
        <v>0</v>
      </c>
      <c r="Z270" s="126">
        <v>0</v>
      </c>
      <c r="AA270" s="126" t="s">
        <v>2</v>
      </c>
      <c r="AB270" s="126" t="s">
        <v>140</v>
      </c>
      <c r="AC270" s="126" t="s">
        <v>162</v>
      </c>
      <c r="AD270" s="126"/>
      <c r="AE270" s="126"/>
      <c r="AF270" s="126"/>
      <c r="AG270" s="126"/>
      <c r="AH270" s="126" t="s">
        <v>280</v>
      </c>
      <c r="AI270" s="126" t="s">
        <v>1758</v>
      </c>
    </row>
    <row r="271" spans="1:35" ht="105" x14ac:dyDescent="0.25">
      <c r="A271" s="46" t="str">
        <f t="shared" si="4"/>
        <v>IBA1CRD022322TRADICIONALBPO</v>
      </c>
      <c r="B271" s="126" t="s">
        <v>8</v>
      </c>
      <c r="C271" s="126">
        <v>9283</v>
      </c>
      <c r="D271" s="126" t="s">
        <v>140</v>
      </c>
      <c r="E271" s="126" t="s">
        <v>177</v>
      </c>
      <c r="F271" s="127">
        <v>44540</v>
      </c>
      <c r="G271" s="126" t="s">
        <v>175</v>
      </c>
      <c r="H271" s="126" t="s">
        <v>176</v>
      </c>
      <c r="I271" s="126">
        <v>1</v>
      </c>
      <c r="J271" s="126" t="s">
        <v>184</v>
      </c>
      <c r="K271" s="126" t="s">
        <v>280</v>
      </c>
      <c r="L271" s="126" t="s">
        <v>1759</v>
      </c>
      <c r="M271" s="126">
        <v>0</v>
      </c>
      <c r="N271" s="126">
        <v>0</v>
      </c>
      <c r="O271" s="126" t="s">
        <v>1760</v>
      </c>
      <c r="P271" s="126" t="s">
        <v>171</v>
      </c>
      <c r="Q271" s="126" t="s">
        <v>398</v>
      </c>
      <c r="R271" s="126" t="s">
        <v>398</v>
      </c>
      <c r="S271" s="126" t="s">
        <v>399</v>
      </c>
      <c r="T271" s="126" t="s">
        <v>163</v>
      </c>
      <c r="U271" s="126"/>
      <c r="V271" s="128">
        <v>16000000</v>
      </c>
      <c r="W271" s="128">
        <v>16000000</v>
      </c>
      <c r="X271" s="126" t="s">
        <v>1209</v>
      </c>
      <c r="Y271" s="126">
        <v>0</v>
      </c>
      <c r="Z271" s="126">
        <v>0</v>
      </c>
      <c r="AA271" s="126" t="s">
        <v>2</v>
      </c>
      <c r="AB271" s="126" t="s">
        <v>161</v>
      </c>
      <c r="AC271" s="126" t="s">
        <v>162</v>
      </c>
      <c r="AD271" s="126"/>
      <c r="AE271" s="126"/>
      <c r="AF271" s="126"/>
      <c r="AG271" s="126"/>
      <c r="AH271" s="126" t="s">
        <v>280</v>
      </c>
      <c r="AI271" s="126" t="s">
        <v>1761</v>
      </c>
    </row>
    <row r="272" spans="1:35" ht="90" x14ac:dyDescent="0.25">
      <c r="A272" s="46" t="str">
        <f t="shared" si="4"/>
        <v>IBA1CRD024971TRADICIONALNUTRESA</v>
      </c>
      <c r="B272" s="126" t="s">
        <v>8</v>
      </c>
      <c r="C272" s="126">
        <v>9286</v>
      </c>
      <c r="D272" s="126" t="s">
        <v>140</v>
      </c>
      <c r="E272" s="126" t="s">
        <v>177</v>
      </c>
      <c r="F272" s="127">
        <v>44540</v>
      </c>
      <c r="G272" s="126" t="s">
        <v>175</v>
      </c>
      <c r="H272" s="126" t="s">
        <v>176</v>
      </c>
      <c r="I272" s="126">
        <v>1</v>
      </c>
      <c r="J272" s="126" t="s">
        <v>184</v>
      </c>
      <c r="K272" s="126" t="s">
        <v>280</v>
      </c>
      <c r="L272" s="126" t="s">
        <v>1762</v>
      </c>
      <c r="M272" s="126">
        <v>0</v>
      </c>
      <c r="N272" s="126">
        <v>999070481026</v>
      </c>
      <c r="O272" s="126" t="s">
        <v>1763</v>
      </c>
      <c r="P272" s="126" t="s">
        <v>170</v>
      </c>
      <c r="Q272" s="126" t="s">
        <v>555</v>
      </c>
      <c r="R272" s="126" t="s">
        <v>555</v>
      </c>
      <c r="S272" s="126" t="s">
        <v>556</v>
      </c>
      <c r="T272" s="126" t="s">
        <v>160</v>
      </c>
      <c r="U272" s="126"/>
      <c r="V272" s="128">
        <v>453000000</v>
      </c>
      <c r="W272" s="128">
        <v>453000000</v>
      </c>
      <c r="X272" s="126" t="s">
        <v>1209</v>
      </c>
      <c r="Y272" s="126">
        <v>0</v>
      </c>
      <c r="Z272" s="126">
        <v>0</v>
      </c>
      <c r="AA272" s="126" t="s">
        <v>2</v>
      </c>
      <c r="AB272" s="126" t="s">
        <v>140</v>
      </c>
      <c r="AC272" s="126" t="s">
        <v>162</v>
      </c>
      <c r="AD272" s="126"/>
      <c r="AE272" s="126"/>
      <c r="AF272" s="126"/>
      <c r="AG272" s="126"/>
      <c r="AH272" s="126" t="s">
        <v>280</v>
      </c>
      <c r="AI272" s="126" t="s">
        <v>1764</v>
      </c>
    </row>
    <row r="273" spans="1:35" ht="195" x14ac:dyDescent="0.25">
      <c r="A273" s="46" t="str">
        <f t="shared" si="4"/>
        <v>IBA1ACT000434AUTOSERVICIONUTRESA</v>
      </c>
      <c r="B273" s="126" t="s">
        <v>8</v>
      </c>
      <c r="C273" s="126">
        <v>9306</v>
      </c>
      <c r="D273" s="126" t="s">
        <v>140</v>
      </c>
      <c r="E273" s="126" t="s">
        <v>177</v>
      </c>
      <c r="F273" s="127">
        <v>44545</v>
      </c>
      <c r="G273" s="126" t="s">
        <v>175</v>
      </c>
      <c r="H273" s="126" t="s">
        <v>176</v>
      </c>
      <c r="I273" s="126">
        <v>1</v>
      </c>
      <c r="J273" s="126" t="s">
        <v>184</v>
      </c>
      <c r="K273" s="126" t="s">
        <v>280</v>
      </c>
      <c r="L273" s="126" t="s">
        <v>1765</v>
      </c>
      <c r="M273" s="126">
        <v>0</v>
      </c>
      <c r="N273" s="126">
        <v>0</v>
      </c>
      <c r="O273" s="126" t="s">
        <v>1766</v>
      </c>
      <c r="P273" s="126" t="s">
        <v>170</v>
      </c>
      <c r="Q273" s="126" t="s">
        <v>226</v>
      </c>
      <c r="R273" s="126" t="s">
        <v>226</v>
      </c>
      <c r="S273" s="126" t="s">
        <v>227</v>
      </c>
      <c r="T273" s="126" t="s">
        <v>160</v>
      </c>
      <c r="U273" s="126"/>
      <c r="V273" s="128">
        <v>1000000</v>
      </c>
      <c r="W273" s="128">
        <v>1000000</v>
      </c>
      <c r="X273" s="126" t="s">
        <v>1209</v>
      </c>
      <c r="Y273" s="126">
        <v>147643</v>
      </c>
      <c r="Z273" s="126">
        <v>0</v>
      </c>
      <c r="AA273" s="126" t="s">
        <v>0</v>
      </c>
      <c r="AB273" s="126" t="s">
        <v>140</v>
      </c>
      <c r="AC273" s="126" t="s">
        <v>165</v>
      </c>
      <c r="AD273" s="126"/>
      <c r="AE273" s="126"/>
      <c r="AF273" s="126"/>
      <c r="AG273" s="126"/>
      <c r="AH273" s="126" t="s">
        <v>280</v>
      </c>
      <c r="AI273" s="126" t="s">
        <v>1767</v>
      </c>
    </row>
    <row r="274" spans="1:35" ht="195" x14ac:dyDescent="0.25">
      <c r="A274" s="46" t="str">
        <f t="shared" si="4"/>
        <v>IBA1ACT000434AUTOSERVICIONUTRESA</v>
      </c>
      <c r="B274" s="126" t="s">
        <v>8</v>
      </c>
      <c r="C274" s="126">
        <v>9306</v>
      </c>
      <c r="D274" s="126" t="s">
        <v>140</v>
      </c>
      <c r="E274" s="126" t="s">
        <v>177</v>
      </c>
      <c r="F274" s="127">
        <v>44545</v>
      </c>
      <c r="G274" s="126" t="s">
        <v>175</v>
      </c>
      <c r="H274" s="126" t="s">
        <v>176</v>
      </c>
      <c r="I274" s="126">
        <v>1</v>
      </c>
      <c r="J274" s="126" t="s">
        <v>184</v>
      </c>
      <c r="K274" s="126" t="s">
        <v>280</v>
      </c>
      <c r="L274" s="126" t="s">
        <v>1765</v>
      </c>
      <c r="M274" s="126">
        <v>0</v>
      </c>
      <c r="N274" s="126">
        <v>0</v>
      </c>
      <c r="O274" s="126" t="s">
        <v>1766</v>
      </c>
      <c r="P274" s="126" t="s">
        <v>170</v>
      </c>
      <c r="Q274" s="126" t="s">
        <v>226</v>
      </c>
      <c r="R274" s="126" t="s">
        <v>226</v>
      </c>
      <c r="S274" s="126" t="s">
        <v>227</v>
      </c>
      <c r="T274" s="126" t="s">
        <v>160</v>
      </c>
      <c r="U274" s="126"/>
      <c r="V274" s="128">
        <v>1000000</v>
      </c>
      <c r="W274" s="128">
        <v>1000000</v>
      </c>
      <c r="X274" s="126" t="s">
        <v>1209</v>
      </c>
      <c r="Y274" s="126">
        <v>147644</v>
      </c>
      <c r="Z274" s="126">
        <v>0</v>
      </c>
      <c r="AA274" s="126" t="s">
        <v>0</v>
      </c>
      <c r="AB274" s="126" t="s">
        <v>140</v>
      </c>
      <c r="AC274" s="126" t="s">
        <v>165</v>
      </c>
      <c r="AD274" s="126"/>
      <c r="AE274" s="126"/>
      <c r="AF274" s="126"/>
      <c r="AG274" s="126"/>
      <c r="AH274" s="126" t="s">
        <v>280</v>
      </c>
      <c r="AI274" s="126" t="s">
        <v>1768</v>
      </c>
    </row>
    <row r="275" spans="1:35" ht="195" x14ac:dyDescent="0.25">
      <c r="A275" s="46" t="str">
        <f t="shared" si="4"/>
        <v>IBA1ACT000434AUTOSERVICIONUTRESA</v>
      </c>
      <c r="B275" s="126" t="s">
        <v>8</v>
      </c>
      <c r="C275" s="126">
        <v>9306</v>
      </c>
      <c r="D275" s="126" t="s">
        <v>140</v>
      </c>
      <c r="E275" s="126" t="s">
        <v>177</v>
      </c>
      <c r="F275" s="127">
        <v>44545</v>
      </c>
      <c r="G275" s="126" t="s">
        <v>175</v>
      </c>
      <c r="H275" s="126" t="s">
        <v>176</v>
      </c>
      <c r="I275" s="126">
        <v>1</v>
      </c>
      <c r="J275" s="126" t="s">
        <v>184</v>
      </c>
      <c r="K275" s="126" t="s">
        <v>280</v>
      </c>
      <c r="L275" s="126" t="s">
        <v>1765</v>
      </c>
      <c r="M275" s="126">
        <v>0</v>
      </c>
      <c r="N275" s="126">
        <v>0</v>
      </c>
      <c r="O275" s="126" t="s">
        <v>1766</v>
      </c>
      <c r="P275" s="126" t="s">
        <v>170</v>
      </c>
      <c r="Q275" s="126" t="s">
        <v>226</v>
      </c>
      <c r="R275" s="126" t="s">
        <v>226</v>
      </c>
      <c r="S275" s="126" t="s">
        <v>227</v>
      </c>
      <c r="T275" s="126" t="s">
        <v>160</v>
      </c>
      <c r="U275" s="126"/>
      <c r="V275" s="128">
        <v>1000000</v>
      </c>
      <c r="W275" s="128">
        <v>1000000</v>
      </c>
      <c r="X275" s="126" t="s">
        <v>1209</v>
      </c>
      <c r="Y275" s="126">
        <v>147636</v>
      </c>
      <c r="Z275" s="126">
        <v>0</v>
      </c>
      <c r="AA275" s="126" t="s">
        <v>0</v>
      </c>
      <c r="AB275" s="126" t="s">
        <v>140</v>
      </c>
      <c r="AC275" s="126" t="s">
        <v>165</v>
      </c>
      <c r="AD275" s="126"/>
      <c r="AE275" s="126"/>
      <c r="AF275" s="126"/>
      <c r="AG275" s="126"/>
      <c r="AH275" s="126" t="s">
        <v>280</v>
      </c>
      <c r="AI275" s="126" t="s">
        <v>1769</v>
      </c>
    </row>
    <row r="276" spans="1:35" ht="180" x14ac:dyDescent="0.25">
      <c r="A276" s="46" t="str">
        <f t="shared" si="4"/>
        <v>IBA1CRD025008TRADICIONALNUTRESA</v>
      </c>
      <c r="B276" s="126" t="s">
        <v>8</v>
      </c>
      <c r="C276" s="126">
        <v>9307</v>
      </c>
      <c r="D276" s="126" t="s">
        <v>140</v>
      </c>
      <c r="E276" s="126" t="s">
        <v>177</v>
      </c>
      <c r="F276" s="127">
        <v>44545</v>
      </c>
      <c r="G276" s="126" t="s">
        <v>175</v>
      </c>
      <c r="H276" s="126" t="s">
        <v>176</v>
      </c>
      <c r="I276" s="126">
        <v>1</v>
      </c>
      <c r="J276" s="126" t="s">
        <v>602</v>
      </c>
      <c r="K276" s="126" t="s">
        <v>280</v>
      </c>
      <c r="L276" s="126" t="s">
        <v>1770</v>
      </c>
      <c r="M276" s="126">
        <v>0</v>
      </c>
      <c r="N276" s="126">
        <v>52800017824</v>
      </c>
      <c r="O276" s="126" t="s">
        <v>776</v>
      </c>
      <c r="P276" s="126" t="s">
        <v>171</v>
      </c>
      <c r="Q276" s="126" t="s">
        <v>486</v>
      </c>
      <c r="R276" s="126" t="s">
        <v>486</v>
      </c>
      <c r="S276" s="126" t="s">
        <v>1251</v>
      </c>
      <c r="T276" s="126" t="s">
        <v>160</v>
      </c>
      <c r="U276" s="126"/>
      <c r="V276" s="128">
        <v>1300000000</v>
      </c>
      <c r="W276" s="128">
        <v>1300000000</v>
      </c>
      <c r="X276" s="126" t="s">
        <v>1209</v>
      </c>
      <c r="Y276" s="126">
        <v>0</v>
      </c>
      <c r="Z276" s="126">
        <v>0</v>
      </c>
      <c r="AA276" s="126" t="s">
        <v>2</v>
      </c>
      <c r="AB276" s="126" t="s">
        <v>140</v>
      </c>
      <c r="AC276" s="126" t="s">
        <v>162</v>
      </c>
      <c r="AD276" s="126"/>
      <c r="AE276" s="126"/>
      <c r="AF276" s="126"/>
      <c r="AG276" s="126"/>
      <c r="AH276" s="126" t="s">
        <v>280</v>
      </c>
      <c r="AI276" s="126" t="s">
        <v>1771</v>
      </c>
    </row>
    <row r="277" spans="1:35" ht="180" x14ac:dyDescent="0.25">
      <c r="A277" s="46" t="str">
        <f t="shared" si="4"/>
        <v>IBA1CRD025009TRADICIONALNUTRESA</v>
      </c>
      <c r="B277" s="126" t="s">
        <v>8</v>
      </c>
      <c r="C277" s="126">
        <v>9307</v>
      </c>
      <c r="D277" s="126" t="s">
        <v>140</v>
      </c>
      <c r="E277" s="126" t="s">
        <v>177</v>
      </c>
      <c r="F277" s="127">
        <v>44545</v>
      </c>
      <c r="G277" s="126" t="s">
        <v>175</v>
      </c>
      <c r="H277" s="126" t="s">
        <v>176</v>
      </c>
      <c r="I277" s="126">
        <v>1</v>
      </c>
      <c r="J277" s="126" t="s">
        <v>602</v>
      </c>
      <c r="K277" s="126" t="s">
        <v>280</v>
      </c>
      <c r="L277" s="126" t="s">
        <v>1770</v>
      </c>
      <c r="M277" s="126">
        <v>0</v>
      </c>
      <c r="N277" s="126">
        <v>52800017824</v>
      </c>
      <c r="O277" s="126" t="s">
        <v>776</v>
      </c>
      <c r="P277" s="126" t="s">
        <v>171</v>
      </c>
      <c r="Q277" s="126" t="s">
        <v>487</v>
      </c>
      <c r="R277" s="126" t="s">
        <v>487</v>
      </c>
      <c r="S277" s="126" t="s">
        <v>1253</v>
      </c>
      <c r="T277" s="126" t="s">
        <v>160</v>
      </c>
      <c r="U277" s="126"/>
      <c r="V277" s="128">
        <v>800000000</v>
      </c>
      <c r="W277" s="128">
        <v>800000000</v>
      </c>
      <c r="X277" s="126" t="s">
        <v>1209</v>
      </c>
      <c r="Y277" s="126">
        <v>0</v>
      </c>
      <c r="Z277" s="126">
        <v>0</v>
      </c>
      <c r="AA277" s="126" t="s">
        <v>2</v>
      </c>
      <c r="AB277" s="126" t="s">
        <v>140</v>
      </c>
      <c r="AC277" s="126" t="s">
        <v>162</v>
      </c>
      <c r="AD277" s="126"/>
      <c r="AE277" s="126"/>
      <c r="AF277" s="126"/>
      <c r="AG277" s="126"/>
      <c r="AH277" s="126" t="s">
        <v>280</v>
      </c>
      <c r="AI277" s="126" t="s">
        <v>1772</v>
      </c>
    </row>
    <row r="278" spans="1:35" ht="180" x14ac:dyDescent="0.25">
      <c r="A278" s="46" t="str">
        <f t="shared" si="4"/>
        <v>IBA1CRD025010TRADICIONALNUTRESA</v>
      </c>
      <c r="B278" s="126" t="s">
        <v>8</v>
      </c>
      <c r="C278" s="126">
        <v>9307</v>
      </c>
      <c r="D278" s="126" t="s">
        <v>140</v>
      </c>
      <c r="E278" s="126" t="s">
        <v>177</v>
      </c>
      <c r="F278" s="127">
        <v>44545</v>
      </c>
      <c r="G278" s="126" t="s">
        <v>175</v>
      </c>
      <c r="H278" s="126" t="s">
        <v>176</v>
      </c>
      <c r="I278" s="126">
        <v>1</v>
      </c>
      <c r="J278" s="126" t="s">
        <v>602</v>
      </c>
      <c r="K278" s="126" t="s">
        <v>280</v>
      </c>
      <c r="L278" s="126" t="s">
        <v>1770</v>
      </c>
      <c r="M278" s="126">
        <v>0</v>
      </c>
      <c r="N278" s="126">
        <v>52800017824</v>
      </c>
      <c r="O278" s="126" t="s">
        <v>776</v>
      </c>
      <c r="P278" s="126" t="s">
        <v>171</v>
      </c>
      <c r="Q278" s="126" t="s">
        <v>488</v>
      </c>
      <c r="R278" s="126" t="s">
        <v>488</v>
      </c>
      <c r="S278" s="126" t="s">
        <v>1255</v>
      </c>
      <c r="T278" s="126" t="s">
        <v>160</v>
      </c>
      <c r="U278" s="126"/>
      <c r="V278" s="128">
        <v>900000000</v>
      </c>
      <c r="W278" s="128">
        <v>900000000</v>
      </c>
      <c r="X278" s="126" t="s">
        <v>1209</v>
      </c>
      <c r="Y278" s="126">
        <v>0</v>
      </c>
      <c r="Z278" s="126">
        <v>0</v>
      </c>
      <c r="AA278" s="126" t="s">
        <v>2</v>
      </c>
      <c r="AB278" s="126" t="s">
        <v>140</v>
      </c>
      <c r="AC278" s="126" t="s">
        <v>162</v>
      </c>
      <c r="AD278" s="126"/>
      <c r="AE278" s="126"/>
      <c r="AF278" s="126"/>
      <c r="AG278" s="126"/>
      <c r="AH278" s="126" t="s">
        <v>280</v>
      </c>
      <c r="AI278" s="126" t="s">
        <v>1773</v>
      </c>
    </row>
    <row r="279" spans="1:35" ht="180" x14ac:dyDescent="0.25">
      <c r="A279" s="46" t="str">
        <f t="shared" si="4"/>
        <v>IBA1CRD025001AUTOSERVICIONUTRESA</v>
      </c>
      <c r="B279" s="126" t="s">
        <v>8</v>
      </c>
      <c r="C279" s="126">
        <v>9308</v>
      </c>
      <c r="D279" s="126" t="s">
        <v>140</v>
      </c>
      <c r="E279" s="126" t="s">
        <v>177</v>
      </c>
      <c r="F279" s="127">
        <v>44545</v>
      </c>
      <c r="G279" s="126" t="s">
        <v>175</v>
      </c>
      <c r="H279" s="126" t="s">
        <v>176</v>
      </c>
      <c r="I279" s="126">
        <v>1</v>
      </c>
      <c r="J279" s="126" t="s">
        <v>602</v>
      </c>
      <c r="K279" s="126" t="s">
        <v>280</v>
      </c>
      <c r="L279" s="126" t="s">
        <v>1774</v>
      </c>
      <c r="M279" s="126">
        <v>0</v>
      </c>
      <c r="N279" s="126">
        <v>52800017824</v>
      </c>
      <c r="O279" s="126" t="s">
        <v>777</v>
      </c>
      <c r="P279" s="126" t="s">
        <v>171</v>
      </c>
      <c r="Q279" s="126" t="s">
        <v>489</v>
      </c>
      <c r="R279" s="126" t="s">
        <v>489</v>
      </c>
      <c r="S279" s="126" t="s">
        <v>490</v>
      </c>
      <c r="T279" s="126" t="s">
        <v>160</v>
      </c>
      <c r="U279" s="126"/>
      <c r="V279" s="128">
        <v>100000000</v>
      </c>
      <c r="W279" s="128">
        <v>100000000</v>
      </c>
      <c r="X279" s="126" t="s">
        <v>1209</v>
      </c>
      <c r="Y279" s="126">
        <v>0</v>
      </c>
      <c r="Z279" s="126">
        <v>0</v>
      </c>
      <c r="AA279" s="126" t="s">
        <v>0</v>
      </c>
      <c r="AB279" s="126" t="s">
        <v>140</v>
      </c>
      <c r="AC279" s="126" t="s">
        <v>162</v>
      </c>
      <c r="AD279" s="126"/>
      <c r="AE279" s="126"/>
      <c r="AF279" s="126"/>
      <c r="AG279" s="126"/>
      <c r="AH279" s="126" t="s">
        <v>280</v>
      </c>
      <c r="AI279" s="126" t="s">
        <v>1775</v>
      </c>
    </row>
    <row r="280" spans="1:35" ht="180" x14ac:dyDescent="0.25">
      <c r="A280" s="46" t="str">
        <f t="shared" si="4"/>
        <v>IBA1CRD025002AUTOSERVICIONUTRESA</v>
      </c>
      <c r="B280" s="126" t="s">
        <v>8</v>
      </c>
      <c r="C280" s="126">
        <v>9308</v>
      </c>
      <c r="D280" s="126" t="s">
        <v>140</v>
      </c>
      <c r="E280" s="126" t="s">
        <v>177</v>
      </c>
      <c r="F280" s="127">
        <v>44545</v>
      </c>
      <c r="G280" s="126" t="s">
        <v>175</v>
      </c>
      <c r="H280" s="126" t="s">
        <v>176</v>
      </c>
      <c r="I280" s="126">
        <v>1</v>
      </c>
      <c r="J280" s="126" t="s">
        <v>602</v>
      </c>
      <c r="K280" s="126" t="s">
        <v>280</v>
      </c>
      <c r="L280" s="126" t="s">
        <v>1774</v>
      </c>
      <c r="M280" s="126">
        <v>0</v>
      </c>
      <c r="N280" s="126">
        <v>52800017824</v>
      </c>
      <c r="O280" s="126" t="s">
        <v>777</v>
      </c>
      <c r="P280" s="126" t="s">
        <v>171</v>
      </c>
      <c r="Q280" s="126" t="s">
        <v>491</v>
      </c>
      <c r="R280" s="126" t="s">
        <v>491</v>
      </c>
      <c r="S280" s="126" t="s">
        <v>492</v>
      </c>
      <c r="T280" s="126" t="s">
        <v>160</v>
      </c>
      <c r="U280" s="126"/>
      <c r="V280" s="128">
        <v>200000000</v>
      </c>
      <c r="W280" s="128">
        <v>200000000</v>
      </c>
      <c r="X280" s="126" t="s">
        <v>1209</v>
      </c>
      <c r="Y280" s="126">
        <v>0</v>
      </c>
      <c r="Z280" s="126">
        <v>0</v>
      </c>
      <c r="AA280" s="126" t="s">
        <v>0</v>
      </c>
      <c r="AB280" s="126" t="s">
        <v>140</v>
      </c>
      <c r="AC280" s="126" t="s">
        <v>162</v>
      </c>
      <c r="AD280" s="126"/>
      <c r="AE280" s="126"/>
      <c r="AF280" s="126"/>
      <c r="AG280" s="126"/>
      <c r="AH280" s="126" t="s">
        <v>280</v>
      </c>
      <c r="AI280" s="126" t="s">
        <v>1776</v>
      </c>
    </row>
    <row r="281" spans="1:35" ht="195" x14ac:dyDescent="0.25">
      <c r="A281" s="46" t="str">
        <f t="shared" si="4"/>
        <v>IBA1ACT000063TRADICIONALNUTRESA</v>
      </c>
      <c r="B281" s="126" t="s">
        <v>8</v>
      </c>
      <c r="C281" s="126">
        <v>9309</v>
      </c>
      <c r="D281" s="126" t="s">
        <v>140</v>
      </c>
      <c r="E281" s="126" t="s">
        <v>177</v>
      </c>
      <c r="F281" s="127">
        <v>44545</v>
      </c>
      <c r="G281" s="126" t="s">
        <v>175</v>
      </c>
      <c r="H281" s="126" t="s">
        <v>176</v>
      </c>
      <c r="I281" s="126">
        <v>1</v>
      </c>
      <c r="J281" s="126" t="s">
        <v>360</v>
      </c>
      <c r="K281" s="126" t="s">
        <v>280</v>
      </c>
      <c r="L281" s="126" t="s">
        <v>1777</v>
      </c>
      <c r="M281" s="126">
        <v>0</v>
      </c>
      <c r="N281" s="126">
        <v>124010489523</v>
      </c>
      <c r="O281" s="126" t="s">
        <v>778</v>
      </c>
      <c r="P281" s="126" t="s">
        <v>170</v>
      </c>
      <c r="Q281" s="126" t="s">
        <v>135</v>
      </c>
      <c r="R281" s="126" t="s">
        <v>135</v>
      </c>
      <c r="S281" s="126" t="s">
        <v>207</v>
      </c>
      <c r="T281" s="126" t="s">
        <v>160</v>
      </c>
      <c r="U281" s="126" t="s">
        <v>135</v>
      </c>
      <c r="V281" s="128">
        <v>1000000</v>
      </c>
      <c r="W281" s="128">
        <v>1000000</v>
      </c>
      <c r="X281" s="126" t="s">
        <v>1209</v>
      </c>
      <c r="Y281" s="126">
        <v>78903</v>
      </c>
      <c r="Z281" s="126">
        <v>0</v>
      </c>
      <c r="AA281" s="126" t="s">
        <v>2</v>
      </c>
      <c r="AB281" s="126" t="s">
        <v>140</v>
      </c>
      <c r="AC281" s="126" t="s">
        <v>218</v>
      </c>
      <c r="AD281" s="126"/>
      <c r="AE281" s="126"/>
      <c r="AF281" s="126"/>
      <c r="AG281" s="126"/>
      <c r="AH281" s="126" t="s">
        <v>280</v>
      </c>
      <c r="AI281" s="126" t="s">
        <v>1778</v>
      </c>
    </row>
    <row r="282" spans="1:35" ht="195" x14ac:dyDescent="0.25">
      <c r="A282" s="46" t="str">
        <f t="shared" si="4"/>
        <v>IBA1ACT000433TRADICIONALNUTRESA</v>
      </c>
      <c r="B282" s="126" t="s">
        <v>8</v>
      </c>
      <c r="C282" s="126">
        <v>9309</v>
      </c>
      <c r="D282" s="126" t="s">
        <v>140</v>
      </c>
      <c r="E282" s="126" t="s">
        <v>177</v>
      </c>
      <c r="F282" s="127">
        <v>44545</v>
      </c>
      <c r="G282" s="126" t="s">
        <v>175</v>
      </c>
      <c r="H282" s="126" t="s">
        <v>176</v>
      </c>
      <c r="I282" s="126">
        <v>1</v>
      </c>
      <c r="J282" s="126" t="s">
        <v>360</v>
      </c>
      <c r="K282" s="126" t="s">
        <v>280</v>
      </c>
      <c r="L282" s="126" t="s">
        <v>1777</v>
      </c>
      <c r="M282" s="126">
        <v>0</v>
      </c>
      <c r="N282" s="126">
        <v>124010489523</v>
      </c>
      <c r="O282" s="126" t="s">
        <v>778</v>
      </c>
      <c r="P282" s="126" t="s">
        <v>170</v>
      </c>
      <c r="Q282" s="126" t="s">
        <v>779</v>
      </c>
      <c r="R282" s="126" t="s">
        <v>779</v>
      </c>
      <c r="S282" s="126" t="s">
        <v>780</v>
      </c>
      <c r="T282" s="126" t="s">
        <v>160</v>
      </c>
      <c r="U282" s="126"/>
      <c r="V282" s="128">
        <v>1000000</v>
      </c>
      <c r="W282" s="128">
        <v>1000000</v>
      </c>
      <c r="X282" s="126" t="s">
        <v>1209</v>
      </c>
      <c r="Y282" s="126">
        <v>102164</v>
      </c>
      <c r="Z282" s="126">
        <v>0</v>
      </c>
      <c r="AA282" s="126" t="s">
        <v>2</v>
      </c>
      <c r="AB282" s="126" t="s">
        <v>140</v>
      </c>
      <c r="AC282" s="126" t="s">
        <v>218</v>
      </c>
      <c r="AD282" s="126"/>
      <c r="AE282" s="126"/>
      <c r="AF282" s="126"/>
      <c r="AG282" s="126"/>
      <c r="AH282" s="126" t="s">
        <v>280</v>
      </c>
      <c r="AI282" s="126" t="s">
        <v>1779</v>
      </c>
    </row>
    <row r="283" spans="1:35" ht="210" x14ac:dyDescent="0.25">
      <c r="A283" s="46" t="str">
        <f t="shared" si="4"/>
        <v>IBA1ACT000436AUTOSERVICIOBPO</v>
      </c>
      <c r="B283" s="126" t="s">
        <v>8</v>
      </c>
      <c r="C283" s="126">
        <v>9310</v>
      </c>
      <c r="D283" s="126" t="s">
        <v>140</v>
      </c>
      <c r="E283" s="126" t="s">
        <v>177</v>
      </c>
      <c r="F283" s="127">
        <v>44545</v>
      </c>
      <c r="G283" s="126" t="s">
        <v>175</v>
      </c>
      <c r="H283" s="126" t="s">
        <v>176</v>
      </c>
      <c r="I283" s="126">
        <v>1</v>
      </c>
      <c r="J283" s="126" t="s">
        <v>360</v>
      </c>
      <c r="K283" s="126" t="s">
        <v>280</v>
      </c>
      <c r="L283" s="126" t="s">
        <v>1780</v>
      </c>
      <c r="M283" s="126">
        <v>0</v>
      </c>
      <c r="N283" s="126">
        <v>124010485695</v>
      </c>
      <c r="O283" s="126" t="s">
        <v>781</v>
      </c>
      <c r="P283" s="126" t="s">
        <v>170</v>
      </c>
      <c r="Q283" s="126" t="s">
        <v>349</v>
      </c>
      <c r="R283" s="126" t="s">
        <v>349</v>
      </c>
      <c r="S283" s="126" t="s">
        <v>350</v>
      </c>
      <c r="T283" s="126" t="s">
        <v>160</v>
      </c>
      <c r="U283" s="126"/>
      <c r="V283" s="128">
        <v>1000000</v>
      </c>
      <c r="W283" s="128">
        <v>1000000</v>
      </c>
      <c r="X283" s="126" t="s">
        <v>1209</v>
      </c>
      <c r="Y283" s="126">
        <v>122365</v>
      </c>
      <c r="Z283" s="126">
        <v>0</v>
      </c>
      <c r="AA283" s="126" t="s">
        <v>0</v>
      </c>
      <c r="AB283" s="126" t="s">
        <v>161</v>
      </c>
      <c r="AC283" s="126" t="s">
        <v>165</v>
      </c>
      <c r="AD283" s="126"/>
      <c r="AE283" s="126"/>
      <c r="AF283" s="126"/>
      <c r="AG283" s="126"/>
      <c r="AH283" s="126" t="s">
        <v>280</v>
      </c>
      <c r="AI283" s="126" t="s">
        <v>1781</v>
      </c>
    </row>
    <row r="284" spans="1:35" ht="75" x14ac:dyDescent="0.25">
      <c r="A284" s="46" t="str">
        <f t="shared" si="4"/>
        <v>IBA1CRD025006TRADICIONALNUTRESA</v>
      </c>
      <c r="B284" s="126" t="s">
        <v>8</v>
      </c>
      <c r="C284" s="126">
        <v>9311</v>
      </c>
      <c r="D284" s="126" t="s">
        <v>140</v>
      </c>
      <c r="E284" s="126" t="s">
        <v>177</v>
      </c>
      <c r="F284" s="127">
        <v>44545</v>
      </c>
      <c r="G284" s="126" t="s">
        <v>175</v>
      </c>
      <c r="H284" s="126" t="s">
        <v>176</v>
      </c>
      <c r="I284" s="126">
        <v>1</v>
      </c>
      <c r="J284" s="126" t="s">
        <v>279</v>
      </c>
      <c r="K284" s="126" t="s">
        <v>280</v>
      </c>
      <c r="L284" s="126" t="s">
        <v>1782</v>
      </c>
      <c r="M284" s="126">
        <v>0</v>
      </c>
      <c r="N284" s="126">
        <v>348650871</v>
      </c>
      <c r="O284" s="126" t="s">
        <v>782</v>
      </c>
      <c r="P284" s="126" t="s">
        <v>171</v>
      </c>
      <c r="Q284" s="126" t="s">
        <v>579</v>
      </c>
      <c r="R284" s="126" t="s">
        <v>579</v>
      </c>
      <c r="S284" s="126" t="s">
        <v>1266</v>
      </c>
      <c r="T284" s="126" t="s">
        <v>160</v>
      </c>
      <c r="U284" s="126"/>
      <c r="V284" s="128">
        <v>47000000</v>
      </c>
      <c r="W284" s="128">
        <v>47000000</v>
      </c>
      <c r="X284" s="126" t="s">
        <v>1209</v>
      </c>
      <c r="Y284" s="126">
        <v>0</v>
      </c>
      <c r="Z284" s="126">
        <v>0</v>
      </c>
      <c r="AA284" s="126" t="s">
        <v>2</v>
      </c>
      <c r="AB284" s="126" t="s">
        <v>140</v>
      </c>
      <c r="AC284" s="126" t="s">
        <v>162</v>
      </c>
      <c r="AD284" s="126"/>
      <c r="AE284" s="126"/>
      <c r="AF284" s="126"/>
      <c r="AG284" s="126"/>
      <c r="AH284" s="126" t="s">
        <v>280</v>
      </c>
      <c r="AI284" s="126" t="s">
        <v>1783</v>
      </c>
    </row>
    <row r="285" spans="1:35" ht="195" x14ac:dyDescent="0.25">
      <c r="A285" s="46" t="str">
        <f t="shared" si="4"/>
        <v>IBA1CRD018765CADENASBPO</v>
      </c>
      <c r="B285" s="126" t="s">
        <v>8</v>
      </c>
      <c r="C285" s="126">
        <v>9312</v>
      </c>
      <c r="D285" s="126" t="s">
        <v>140</v>
      </c>
      <c r="E285" s="126" t="s">
        <v>177</v>
      </c>
      <c r="F285" s="127">
        <v>44545</v>
      </c>
      <c r="G285" s="126" t="s">
        <v>175</v>
      </c>
      <c r="H285" s="126" t="s">
        <v>176</v>
      </c>
      <c r="I285" s="126">
        <v>1</v>
      </c>
      <c r="J285" s="126" t="s">
        <v>184</v>
      </c>
      <c r="K285" s="126" t="s">
        <v>280</v>
      </c>
      <c r="L285" s="126" t="s">
        <v>1784</v>
      </c>
      <c r="M285" s="126">
        <v>0</v>
      </c>
      <c r="N285" s="126">
        <v>0</v>
      </c>
      <c r="O285" s="126" t="s">
        <v>783</v>
      </c>
      <c r="P285" s="126" t="s">
        <v>168</v>
      </c>
      <c r="Q285" s="126" t="s">
        <v>401</v>
      </c>
      <c r="R285" s="126" t="s">
        <v>401</v>
      </c>
      <c r="S285" s="126" t="s">
        <v>402</v>
      </c>
      <c r="T285" s="126" t="s">
        <v>160</v>
      </c>
      <c r="U285" s="126" t="s">
        <v>401</v>
      </c>
      <c r="V285" s="128">
        <v>100000000</v>
      </c>
      <c r="W285" s="128">
        <v>100000000</v>
      </c>
      <c r="X285" s="126" t="s">
        <v>1209</v>
      </c>
      <c r="Y285" s="126">
        <v>0</v>
      </c>
      <c r="Z285" s="126">
        <v>0</v>
      </c>
      <c r="AA285" s="126" t="s">
        <v>1</v>
      </c>
      <c r="AB285" s="126" t="s">
        <v>161</v>
      </c>
      <c r="AC285" s="126" t="s">
        <v>162</v>
      </c>
      <c r="AD285" s="126"/>
      <c r="AE285" s="126"/>
      <c r="AF285" s="126"/>
      <c r="AG285" s="126"/>
      <c r="AH285" s="126" t="s">
        <v>280</v>
      </c>
      <c r="AI285" s="126" t="s">
        <v>1785</v>
      </c>
    </row>
    <row r="286" spans="1:35" ht="120" x14ac:dyDescent="0.25">
      <c r="A286" s="46" t="str">
        <f t="shared" si="4"/>
        <v>IBA1ACT000225AUTOSERVICIONUTRESA</v>
      </c>
      <c r="B286" s="126" t="s">
        <v>8</v>
      </c>
      <c r="C286" s="126">
        <v>9319</v>
      </c>
      <c r="D286" s="126" t="s">
        <v>140</v>
      </c>
      <c r="E286" s="126" t="s">
        <v>177</v>
      </c>
      <c r="F286" s="127">
        <v>44546</v>
      </c>
      <c r="G286" s="126" t="s">
        <v>175</v>
      </c>
      <c r="H286" s="126" t="s">
        <v>176</v>
      </c>
      <c r="I286" s="126">
        <v>1</v>
      </c>
      <c r="J286" s="126" t="s">
        <v>184</v>
      </c>
      <c r="K286" s="126" t="s">
        <v>280</v>
      </c>
      <c r="L286" s="126" t="s">
        <v>1786</v>
      </c>
      <c r="M286" s="126">
        <v>0</v>
      </c>
      <c r="N286" s="126">
        <v>0</v>
      </c>
      <c r="O286" s="126" t="s">
        <v>784</v>
      </c>
      <c r="P286" s="126" t="s">
        <v>170</v>
      </c>
      <c r="Q286" s="126" t="s">
        <v>136</v>
      </c>
      <c r="R286" s="126" t="s">
        <v>136</v>
      </c>
      <c r="S286" s="126" t="s">
        <v>173</v>
      </c>
      <c r="T286" s="126" t="s">
        <v>160</v>
      </c>
      <c r="U286" s="126" t="s">
        <v>136</v>
      </c>
      <c r="V286" s="128">
        <v>1000000</v>
      </c>
      <c r="W286" s="128">
        <v>1000000</v>
      </c>
      <c r="X286" s="126" t="s">
        <v>1209</v>
      </c>
      <c r="Y286" s="126">
        <v>129622</v>
      </c>
      <c r="Z286" s="126">
        <v>0</v>
      </c>
      <c r="AA286" s="126" t="s">
        <v>0</v>
      </c>
      <c r="AB286" s="126" t="s">
        <v>140</v>
      </c>
      <c r="AC286" s="126" t="s">
        <v>165</v>
      </c>
      <c r="AD286" s="126"/>
      <c r="AE286" s="126"/>
      <c r="AF286" s="126"/>
      <c r="AG286" s="126"/>
      <c r="AH286" s="126" t="s">
        <v>280</v>
      </c>
      <c r="AI286" s="126" t="s">
        <v>1787</v>
      </c>
    </row>
    <row r="287" spans="1:35" ht="75" x14ac:dyDescent="0.25">
      <c r="A287" s="46" t="str">
        <f t="shared" si="4"/>
        <v>IBA1ACT000454CADENASNUTRESA</v>
      </c>
      <c r="B287" s="126" t="s">
        <v>8</v>
      </c>
      <c r="C287" s="126">
        <v>9320</v>
      </c>
      <c r="D287" s="126" t="s">
        <v>140</v>
      </c>
      <c r="E287" s="126" t="s">
        <v>177</v>
      </c>
      <c r="F287" s="127">
        <v>44546</v>
      </c>
      <c r="G287" s="126" t="s">
        <v>175</v>
      </c>
      <c r="H287" s="126" t="s">
        <v>176</v>
      </c>
      <c r="I287" s="126">
        <v>1</v>
      </c>
      <c r="J287" s="126" t="s">
        <v>184</v>
      </c>
      <c r="K287" s="126" t="s">
        <v>280</v>
      </c>
      <c r="L287" s="126" t="s">
        <v>1788</v>
      </c>
      <c r="M287" s="126">
        <v>0</v>
      </c>
      <c r="N287" s="126">
        <v>0</v>
      </c>
      <c r="O287" s="126" t="s">
        <v>785</v>
      </c>
      <c r="P287" s="126" t="s">
        <v>170</v>
      </c>
      <c r="Q287" s="126" t="s">
        <v>786</v>
      </c>
      <c r="R287" s="126" t="s">
        <v>786</v>
      </c>
      <c r="S287" s="126" t="s">
        <v>787</v>
      </c>
      <c r="T287" s="126" t="s">
        <v>160</v>
      </c>
      <c r="U287" s="126"/>
      <c r="V287" s="128">
        <v>1000000</v>
      </c>
      <c r="W287" s="128">
        <v>1000000</v>
      </c>
      <c r="X287" s="126" t="s">
        <v>1209</v>
      </c>
      <c r="Y287" s="126">
        <v>139336</v>
      </c>
      <c r="Z287" s="126">
        <v>0</v>
      </c>
      <c r="AA287" s="126" t="s">
        <v>1</v>
      </c>
      <c r="AB287" s="126" t="s">
        <v>140</v>
      </c>
      <c r="AC287" s="126" t="s">
        <v>162</v>
      </c>
      <c r="AD287" s="126"/>
      <c r="AE287" s="126"/>
      <c r="AF287" s="126"/>
      <c r="AG287" s="126"/>
      <c r="AH287" s="126" t="s">
        <v>280</v>
      </c>
      <c r="AI287" s="126" t="s">
        <v>1789</v>
      </c>
    </row>
    <row r="288" spans="1:35" ht="75" x14ac:dyDescent="0.25">
      <c r="A288" s="46" t="str">
        <f t="shared" si="4"/>
        <v>IBA1ACT000454CADENASNUTRESA</v>
      </c>
      <c r="B288" s="126" t="s">
        <v>8</v>
      </c>
      <c r="C288" s="126">
        <v>9320</v>
      </c>
      <c r="D288" s="126" t="s">
        <v>140</v>
      </c>
      <c r="E288" s="126" t="s">
        <v>177</v>
      </c>
      <c r="F288" s="127">
        <v>44546</v>
      </c>
      <c r="G288" s="126" t="s">
        <v>175</v>
      </c>
      <c r="H288" s="126" t="s">
        <v>176</v>
      </c>
      <c r="I288" s="126">
        <v>1</v>
      </c>
      <c r="J288" s="126" t="s">
        <v>184</v>
      </c>
      <c r="K288" s="126" t="s">
        <v>280</v>
      </c>
      <c r="L288" s="126" t="s">
        <v>1788</v>
      </c>
      <c r="M288" s="126">
        <v>0</v>
      </c>
      <c r="N288" s="126">
        <v>0</v>
      </c>
      <c r="O288" s="126" t="s">
        <v>785</v>
      </c>
      <c r="P288" s="126" t="s">
        <v>170</v>
      </c>
      <c r="Q288" s="126" t="s">
        <v>786</v>
      </c>
      <c r="R288" s="126" t="s">
        <v>786</v>
      </c>
      <c r="S288" s="126" t="s">
        <v>787</v>
      </c>
      <c r="T288" s="126" t="s">
        <v>160</v>
      </c>
      <c r="U288" s="126"/>
      <c r="V288" s="128">
        <v>1000000</v>
      </c>
      <c r="W288" s="128">
        <v>1000000</v>
      </c>
      <c r="X288" s="126" t="s">
        <v>1209</v>
      </c>
      <c r="Y288" s="126">
        <v>139337</v>
      </c>
      <c r="Z288" s="126">
        <v>0</v>
      </c>
      <c r="AA288" s="126" t="s">
        <v>1</v>
      </c>
      <c r="AB288" s="126" t="s">
        <v>140</v>
      </c>
      <c r="AC288" s="126" t="s">
        <v>162</v>
      </c>
      <c r="AD288" s="126"/>
      <c r="AE288" s="126"/>
      <c r="AF288" s="126"/>
      <c r="AG288" s="126"/>
      <c r="AH288" s="126" t="s">
        <v>280</v>
      </c>
      <c r="AI288" s="126" t="s">
        <v>1790</v>
      </c>
    </row>
    <row r="289" spans="1:35" ht="180" x14ac:dyDescent="0.25">
      <c r="A289" s="46" t="str">
        <f t="shared" si="4"/>
        <v>IBA1ACT000441AUTOSERVICIONUTRESA</v>
      </c>
      <c r="B289" s="126" t="s">
        <v>8</v>
      </c>
      <c r="C289" s="126">
        <v>9321</v>
      </c>
      <c r="D289" s="126" t="s">
        <v>140</v>
      </c>
      <c r="E289" s="126" t="s">
        <v>177</v>
      </c>
      <c r="F289" s="127">
        <v>44546</v>
      </c>
      <c r="G289" s="126" t="s">
        <v>175</v>
      </c>
      <c r="H289" s="126" t="s">
        <v>176</v>
      </c>
      <c r="I289" s="126">
        <v>1</v>
      </c>
      <c r="J289" s="126" t="s">
        <v>184</v>
      </c>
      <c r="K289" s="126" t="s">
        <v>280</v>
      </c>
      <c r="L289" s="126" t="s">
        <v>1791</v>
      </c>
      <c r="M289" s="126">
        <v>0</v>
      </c>
      <c r="N289" s="126">
        <v>0</v>
      </c>
      <c r="O289" s="126" t="s">
        <v>1792</v>
      </c>
      <c r="P289" s="126" t="s">
        <v>170</v>
      </c>
      <c r="Q289" s="126" t="s">
        <v>231</v>
      </c>
      <c r="R289" s="126" t="s">
        <v>231</v>
      </c>
      <c r="S289" s="126" t="s">
        <v>282</v>
      </c>
      <c r="T289" s="126" t="s">
        <v>160</v>
      </c>
      <c r="U289" s="126"/>
      <c r="V289" s="128">
        <v>1000000</v>
      </c>
      <c r="W289" s="128">
        <v>1000000</v>
      </c>
      <c r="X289" s="126" t="s">
        <v>1209</v>
      </c>
      <c r="Y289" s="126">
        <v>119158</v>
      </c>
      <c r="Z289" s="126">
        <v>0</v>
      </c>
      <c r="AA289" s="126" t="s">
        <v>0</v>
      </c>
      <c r="AB289" s="126" t="s">
        <v>140</v>
      </c>
      <c r="AC289" s="126" t="s">
        <v>213</v>
      </c>
      <c r="AD289" s="126"/>
      <c r="AE289" s="126"/>
      <c r="AF289" s="126"/>
      <c r="AG289" s="126"/>
      <c r="AH289" s="126" t="s">
        <v>280</v>
      </c>
      <c r="AI289" s="126" t="s">
        <v>1793</v>
      </c>
    </row>
    <row r="290" spans="1:35" ht="90" x14ac:dyDescent="0.25">
      <c r="A290" s="46" t="str">
        <f t="shared" si="4"/>
        <v>IBA1ACT000444TRADICIONALNUTRESA</v>
      </c>
      <c r="B290" s="126" t="s">
        <v>8</v>
      </c>
      <c r="C290" s="126">
        <v>9327</v>
      </c>
      <c r="D290" s="126" t="s">
        <v>140</v>
      </c>
      <c r="E290" s="126" t="s">
        <v>177</v>
      </c>
      <c r="F290" s="127">
        <v>44547</v>
      </c>
      <c r="G290" s="126" t="s">
        <v>175</v>
      </c>
      <c r="H290" s="126" t="s">
        <v>176</v>
      </c>
      <c r="I290" s="126">
        <v>1</v>
      </c>
      <c r="J290" s="126" t="s">
        <v>360</v>
      </c>
      <c r="K290" s="126" t="s">
        <v>280</v>
      </c>
      <c r="L290" s="126" t="s">
        <v>1794</v>
      </c>
      <c r="M290" s="126">
        <v>0</v>
      </c>
      <c r="N290" s="126">
        <v>14114214977</v>
      </c>
      <c r="O290" s="126" t="s">
        <v>1795</v>
      </c>
      <c r="P290" s="126" t="s">
        <v>170</v>
      </c>
      <c r="Q290" s="126" t="s">
        <v>716</v>
      </c>
      <c r="R290" s="126" t="s">
        <v>716</v>
      </c>
      <c r="S290" s="126" t="s">
        <v>717</v>
      </c>
      <c r="T290" s="126" t="s">
        <v>160</v>
      </c>
      <c r="U290" s="126"/>
      <c r="V290" s="128">
        <v>1000000</v>
      </c>
      <c r="W290" s="128">
        <v>1000000</v>
      </c>
      <c r="X290" s="126" t="s">
        <v>1209</v>
      </c>
      <c r="Y290" s="126">
        <v>142507</v>
      </c>
      <c r="Z290" s="126">
        <v>0</v>
      </c>
      <c r="AA290" s="126" t="s">
        <v>2</v>
      </c>
      <c r="AB290" s="126" t="s">
        <v>140</v>
      </c>
      <c r="AC290" s="126" t="s">
        <v>213</v>
      </c>
      <c r="AD290" s="126"/>
      <c r="AE290" s="126"/>
      <c r="AF290" s="126"/>
      <c r="AG290" s="126"/>
      <c r="AH290" s="126" t="s">
        <v>280</v>
      </c>
      <c r="AI290" s="126" t="s">
        <v>1796</v>
      </c>
    </row>
    <row r="291" spans="1:35" ht="90" x14ac:dyDescent="0.25">
      <c r="A291" s="46" t="str">
        <f t="shared" si="4"/>
        <v>IBA1ACT000444TRADICIONALNUTRESA</v>
      </c>
      <c r="B291" s="126" t="s">
        <v>8</v>
      </c>
      <c r="C291" s="126">
        <v>9327</v>
      </c>
      <c r="D291" s="126" t="s">
        <v>140</v>
      </c>
      <c r="E291" s="126" t="s">
        <v>177</v>
      </c>
      <c r="F291" s="127">
        <v>44547</v>
      </c>
      <c r="G291" s="126" t="s">
        <v>175</v>
      </c>
      <c r="H291" s="126" t="s">
        <v>176</v>
      </c>
      <c r="I291" s="126">
        <v>1</v>
      </c>
      <c r="J291" s="126" t="s">
        <v>360</v>
      </c>
      <c r="K291" s="126" t="s">
        <v>280</v>
      </c>
      <c r="L291" s="126" t="s">
        <v>1794</v>
      </c>
      <c r="M291" s="126">
        <v>0</v>
      </c>
      <c r="N291" s="126">
        <v>14114214977</v>
      </c>
      <c r="O291" s="126" t="s">
        <v>1795</v>
      </c>
      <c r="P291" s="126" t="s">
        <v>170</v>
      </c>
      <c r="Q291" s="126" t="s">
        <v>716</v>
      </c>
      <c r="R291" s="126" t="s">
        <v>716</v>
      </c>
      <c r="S291" s="126" t="s">
        <v>717</v>
      </c>
      <c r="T291" s="126" t="s">
        <v>160</v>
      </c>
      <c r="U291" s="126"/>
      <c r="V291" s="128">
        <v>1000000</v>
      </c>
      <c r="W291" s="128">
        <v>1000000</v>
      </c>
      <c r="X291" s="126" t="s">
        <v>1209</v>
      </c>
      <c r="Y291" s="126">
        <v>142505</v>
      </c>
      <c r="Z291" s="126">
        <v>0</v>
      </c>
      <c r="AA291" s="126" t="s">
        <v>2</v>
      </c>
      <c r="AB291" s="126" t="s">
        <v>140</v>
      </c>
      <c r="AC291" s="126" t="s">
        <v>213</v>
      </c>
      <c r="AD291" s="126"/>
      <c r="AE291" s="126"/>
      <c r="AF291" s="126"/>
      <c r="AG291" s="126"/>
      <c r="AH291" s="126" t="s">
        <v>280</v>
      </c>
      <c r="AI291" s="126" t="s">
        <v>1797</v>
      </c>
    </row>
    <row r="292" spans="1:35" ht="75" x14ac:dyDescent="0.25">
      <c r="A292" s="46" t="str">
        <f t="shared" si="4"/>
        <v>IBA1CRD025021AUTOSERVICIONUTRESA</v>
      </c>
      <c r="B292" s="126" t="s">
        <v>8</v>
      </c>
      <c r="C292" s="126">
        <v>9328</v>
      </c>
      <c r="D292" s="126" t="s">
        <v>140</v>
      </c>
      <c r="E292" s="126" t="s">
        <v>177</v>
      </c>
      <c r="F292" s="127">
        <v>44547</v>
      </c>
      <c r="G292" s="126" t="s">
        <v>175</v>
      </c>
      <c r="H292" s="126" t="s">
        <v>176</v>
      </c>
      <c r="I292" s="126">
        <v>1</v>
      </c>
      <c r="J292" s="126" t="s">
        <v>279</v>
      </c>
      <c r="K292" s="126" t="s">
        <v>280</v>
      </c>
      <c r="L292" s="126" t="s">
        <v>1798</v>
      </c>
      <c r="M292" s="126">
        <v>0</v>
      </c>
      <c r="N292" s="126">
        <v>134624526</v>
      </c>
      <c r="O292" s="126" t="s">
        <v>1799</v>
      </c>
      <c r="P292" s="126" t="s">
        <v>171</v>
      </c>
      <c r="Q292" s="126" t="s">
        <v>815</v>
      </c>
      <c r="R292" s="126" t="s">
        <v>815</v>
      </c>
      <c r="S292" s="126" t="s">
        <v>816</v>
      </c>
      <c r="T292" s="126" t="s">
        <v>160</v>
      </c>
      <c r="U292" s="126"/>
      <c r="V292" s="128">
        <v>100000000</v>
      </c>
      <c r="W292" s="128">
        <v>100000000</v>
      </c>
      <c r="X292" s="126" t="s">
        <v>1209</v>
      </c>
      <c r="Y292" s="126">
        <v>0</v>
      </c>
      <c r="Z292" s="126">
        <v>0</v>
      </c>
      <c r="AA292" s="126" t="s">
        <v>0</v>
      </c>
      <c r="AB292" s="126" t="s">
        <v>140</v>
      </c>
      <c r="AC292" s="126" t="s">
        <v>162</v>
      </c>
      <c r="AD292" s="126"/>
      <c r="AE292" s="126"/>
      <c r="AF292" s="126"/>
      <c r="AG292" s="126"/>
      <c r="AH292" s="126" t="s">
        <v>280</v>
      </c>
      <c r="AI292" s="126" t="s">
        <v>1800</v>
      </c>
    </row>
    <row r="293" spans="1:35" ht="90" x14ac:dyDescent="0.25">
      <c r="A293" s="46" t="str">
        <f t="shared" si="4"/>
        <v>IBA1CRD021225TRADICIONALNUTRESA</v>
      </c>
      <c r="B293" s="126" t="s">
        <v>8</v>
      </c>
      <c r="C293" s="126">
        <v>9332</v>
      </c>
      <c r="D293" s="126" t="s">
        <v>140</v>
      </c>
      <c r="E293" s="126" t="s">
        <v>177</v>
      </c>
      <c r="F293" s="127">
        <v>44548</v>
      </c>
      <c r="G293" s="126" t="s">
        <v>175</v>
      </c>
      <c r="H293" s="126" t="s">
        <v>176</v>
      </c>
      <c r="I293" s="126">
        <v>1</v>
      </c>
      <c r="J293" s="126" t="s">
        <v>184</v>
      </c>
      <c r="K293" s="126" t="s">
        <v>280</v>
      </c>
      <c r="L293" s="126" t="s">
        <v>1801</v>
      </c>
      <c r="M293" s="126">
        <v>0</v>
      </c>
      <c r="N293" s="126">
        <v>0</v>
      </c>
      <c r="O293" s="126" t="s">
        <v>1802</v>
      </c>
      <c r="P293" s="126" t="s">
        <v>172</v>
      </c>
      <c r="Q293" s="126" t="s">
        <v>1803</v>
      </c>
      <c r="R293" s="126" t="s">
        <v>1803</v>
      </c>
      <c r="S293" s="126" t="s">
        <v>1804</v>
      </c>
      <c r="T293" s="126" t="s">
        <v>160</v>
      </c>
      <c r="U293" s="126"/>
      <c r="V293" s="128">
        <v>25000000</v>
      </c>
      <c r="W293" s="128">
        <v>25000000</v>
      </c>
      <c r="X293" s="126" t="s">
        <v>1209</v>
      </c>
      <c r="Y293" s="126">
        <v>0</v>
      </c>
      <c r="Z293" s="126" t="s">
        <v>369</v>
      </c>
      <c r="AA293" s="126" t="s">
        <v>2</v>
      </c>
      <c r="AB293" s="126" t="s">
        <v>140</v>
      </c>
      <c r="AC293" s="126" t="s">
        <v>162</v>
      </c>
      <c r="AD293" s="127">
        <v>44800</v>
      </c>
      <c r="AE293" s="126"/>
      <c r="AF293" s="127">
        <v>44800</v>
      </c>
      <c r="AG293" s="126"/>
      <c r="AH293" s="126" t="s">
        <v>280</v>
      </c>
      <c r="AI293" s="126" t="s">
        <v>1805</v>
      </c>
    </row>
    <row r="294" spans="1:35" ht="90" x14ac:dyDescent="0.25">
      <c r="A294" s="46" t="str">
        <f t="shared" si="4"/>
        <v>IBA1CRD020036TRADICIONALNUTRESA</v>
      </c>
      <c r="B294" s="126" t="s">
        <v>8</v>
      </c>
      <c r="C294" s="126">
        <v>9332</v>
      </c>
      <c r="D294" s="126" t="s">
        <v>140</v>
      </c>
      <c r="E294" s="126" t="s">
        <v>177</v>
      </c>
      <c r="F294" s="127">
        <v>44548</v>
      </c>
      <c r="G294" s="126" t="s">
        <v>175</v>
      </c>
      <c r="H294" s="126" t="s">
        <v>176</v>
      </c>
      <c r="I294" s="126">
        <v>1</v>
      </c>
      <c r="J294" s="126" t="s">
        <v>184</v>
      </c>
      <c r="K294" s="126" t="s">
        <v>280</v>
      </c>
      <c r="L294" s="126" t="s">
        <v>1801</v>
      </c>
      <c r="M294" s="126">
        <v>0</v>
      </c>
      <c r="N294" s="126">
        <v>0</v>
      </c>
      <c r="O294" s="126" t="s">
        <v>1802</v>
      </c>
      <c r="P294" s="126" t="s">
        <v>172</v>
      </c>
      <c r="Q294" s="126" t="s">
        <v>1806</v>
      </c>
      <c r="R294" s="126" t="s">
        <v>1806</v>
      </c>
      <c r="S294" s="126" t="s">
        <v>1807</v>
      </c>
      <c r="T294" s="126" t="s">
        <v>160</v>
      </c>
      <c r="U294" s="126"/>
      <c r="V294" s="128">
        <v>25000000</v>
      </c>
      <c r="W294" s="128">
        <v>25000000</v>
      </c>
      <c r="X294" s="126" t="s">
        <v>1209</v>
      </c>
      <c r="Y294" s="126">
        <v>0</v>
      </c>
      <c r="Z294" s="126" t="s">
        <v>1808</v>
      </c>
      <c r="AA294" s="126" t="s">
        <v>2</v>
      </c>
      <c r="AB294" s="126" t="s">
        <v>140</v>
      </c>
      <c r="AC294" s="126" t="s">
        <v>162</v>
      </c>
      <c r="AD294" s="127">
        <v>44889</v>
      </c>
      <c r="AE294" s="126"/>
      <c r="AF294" s="127">
        <v>44889</v>
      </c>
      <c r="AG294" s="126"/>
      <c r="AH294" s="126" t="s">
        <v>280</v>
      </c>
      <c r="AI294" s="126" t="s">
        <v>1809</v>
      </c>
    </row>
    <row r="295" spans="1:35" ht="90" x14ac:dyDescent="0.25">
      <c r="A295" s="46" t="str">
        <f t="shared" si="4"/>
        <v>IBA1CRD017903TRADICIONALNUTRESA</v>
      </c>
      <c r="B295" s="126" t="s">
        <v>8</v>
      </c>
      <c r="C295" s="126">
        <v>9332</v>
      </c>
      <c r="D295" s="126" t="s">
        <v>140</v>
      </c>
      <c r="E295" s="126" t="s">
        <v>177</v>
      </c>
      <c r="F295" s="127">
        <v>44548</v>
      </c>
      <c r="G295" s="126" t="s">
        <v>175</v>
      </c>
      <c r="H295" s="126" t="s">
        <v>176</v>
      </c>
      <c r="I295" s="126">
        <v>1</v>
      </c>
      <c r="J295" s="126" t="s">
        <v>184</v>
      </c>
      <c r="K295" s="126" t="s">
        <v>280</v>
      </c>
      <c r="L295" s="126" t="s">
        <v>1801</v>
      </c>
      <c r="M295" s="126">
        <v>0</v>
      </c>
      <c r="N295" s="126">
        <v>0</v>
      </c>
      <c r="O295" s="126" t="s">
        <v>1802</v>
      </c>
      <c r="P295" s="126" t="s">
        <v>172</v>
      </c>
      <c r="Q295" s="126" t="s">
        <v>1810</v>
      </c>
      <c r="R295" s="126" t="s">
        <v>1810</v>
      </c>
      <c r="S295" s="126" t="s">
        <v>1811</v>
      </c>
      <c r="T295" s="126" t="s">
        <v>160</v>
      </c>
      <c r="U295" s="126"/>
      <c r="V295" s="128">
        <v>5000000</v>
      </c>
      <c r="W295" s="128">
        <v>5000000</v>
      </c>
      <c r="X295" s="126" t="s">
        <v>1209</v>
      </c>
      <c r="Y295" s="126">
        <v>0</v>
      </c>
      <c r="Z295" s="126" t="s">
        <v>1812</v>
      </c>
      <c r="AA295" s="126" t="s">
        <v>2</v>
      </c>
      <c r="AB295" s="126" t="s">
        <v>140</v>
      </c>
      <c r="AC295" s="126" t="s">
        <v>162</v>
      </c>
      <c r="AD295" s="127">
        <v>45113</v>
      </c>
      <c r="AE295" s="126"/>
      <c r="AF295" s="127">
        <v>45113</v>
      </c>
      <c r="AG295" s="126"/>
      <c r="AH295" s="126" t="s">
        <v>280</v>
      </c>
      <c r="AI295" s="126" t="s">
        <v>1813</v>
      </c>
    </row>
    <row r="296" spans="1:35" ht="90" x14ac:dyDescent="0.25">
      <c r="A296" s="46" t="str">
        <f t="shared" si="4"/>
        <v>IBA1CRD015545TRADICIONALNUTRESA</v>
      </c>
      <c r="B296" s="126" t="s">
        <v>8</v>
      </c>
      <c r="C296" s="126">
        <v>9332</v>
      </c>
      <c r="D296" s="126" t="s">
        <v>140</v>
      </c>
      <c r="E296" s="126" t="s">
        <v>177</v>
      </c>
      <c r="F296" s="127">
        <v>44548</v>
      </c>
      <c r="G296" s="126" t="s">
        <v>175</v>
      </c>
      <c r="H296" s="126" t="s">
        <v>176</v>
      </c>
      <c r="I296" s="126">
        <v>1</v>
      </c>
      <c r="J296" s="126" t="s">
        <v>184</v>
      </c>
      <c r="K296" s="126" t="s">
        <v>280</v>
      </c>
      <c r="L296" s="126" t="s">
        <v>1801</v>
      </c>
      <c r="M296" s="126">
        <v>0</v>
      </c>
      <c r="N296" s="126">
        <v>0</v>
      </c>
      <c r="O296" s="126" t="s">
        <v>1802</v>
      </c>
      <c r="P296" s="126" t="s">
        <v>172</v>
      </c>
      <c r="Q296" s="126" t="s">
        <v>1814</v>
      </c>
      <c r="R296" s="126" t="s">
        <v>1814</v>
      </c>
      <c r="S296" s="126" t="s">
        <v>1815</v>
      </c>
      <c r="T296" s="126" t="s">
        <v>160</v>
      </c>
      <c r="U296" s="126"/>
      <c r="V296" s="128">
        <v>25000000</v>
      </c>
      <c r="W296" s="128">
        <v>25000000</v>
      </c>
      <c r="X296" s="126" t="s">
        <v>1209</v>
      </c>
      <c r="Y296" s="126">
        <v>0</v>
      </c>
      <c r="Z296" s="126" t="s">
        <v>1816</v>
      </c>
      <c r="AA296" s="126" t="s">
        <v>2</v>
      </c>
      <c r="AB296" s="126" t="s">
        <v>140</v>
      </c>
      <c r="AC296" s="126" t="s">
        <v>162</v>
      </c>
      <c r="AD296" s="127">
        <v>45271</v>
      </c>
      <c r="AE296" s="126"/>
      <c r="AF296" s="127">
        <v>45271</v>
      </c>
      <c r="AG296" s="126"/>
      <c r="AH296" s="126" t="s">
        <v>280</v>
      </c>
      <c r="AI296" s="126" t="s">
        <v>1817</v>
      </c>
    </row>
    <row r="297" spans="1:35" ht="90" x14ac:dyDescent="0.25">
      <c r="A297" s="46" t="str">
        <f t="shared" si="4"/>
        <v>IBA1CRD012719TRADICIONALNUTRESA</v>
      </c>
      <c r="B297" s="126" t="s">
        <v>8</v>
      </c>
      <c r="C297" s="126">
        <v>9332</v>
      </c>
      <c r="D297" s="126" t="s">
        <v>140</v>
      </c>
      <c r="E297" s="126" t="s">
        <v>177</v>
      </c>
      <c r="F297" s="127">
        <v>44548</v>
      </c>
      <c r="G297" s="126" t="s">
        <v>175</v>
      </c>
      <c r="H297" s="126" t="s">
        <v>176</v>
      </c>
      <c r="I297" s="126">
        <v>1</v>
      </c>
      <c r="J297" s="126" t="s">
        <v>184</v>
      </c>
      <c r="K297" s="126" t="s">
        <v>280</v>
      </c>
      <c r="L297" s="126" t="s">
        <v>1801</v>
      </c>
      <c r="M297" s="126">
        <v>0</v>
      </c>
      <c r="N297" s="126">
        <v>0</v>
      </c>
      <c r="O297" s="126" t="s">
        <v>1802</v>
      </c>
      <c r="P297" s="126" t="s">
        <v>172</v>
      </c>
      <c r="Q297" s="126" t="s">
        <v>533</v>
      </c>
      <c r="R297" s="126" t="s">
        <v>533</v>
      </c>
      <c r="S297" s="126" t="s">
        <v>534</v>
      </c>
      <c r="T297" s="126" t="s">
        <v>160</v>
      </c>
      <c r="U297" s="126"/>
      <c r="V297" s="128">
        <v>25000000</v>
      </c>
      <c r="W297" s="128">
        <v>25000000</v>
      </c>
      <c r="X297" s="126" t="s">
        <v>1209</v>
      </c>
      <c r="Y297" s="126">
        <v>0</v>
      </c>
      <c r="Z297" s="126" t="s">
        <v>1818</v>
      </c>
      <c r="AA297" s="126" t="s">
        <v>2</v>
      </c>
      <c r="AB297" s="126" t="s">
        <v>140</v>
      </c>
      <c r="AC297" s="126" t="s">
        <v>162</v>
      </c>
      <c r="AD297" s="127">
        <v>44815</v>
      </c>
      <c r="AE297" s="126"/>
      <c r="AF297" s="127">
        <v>44815</v>
      </c>
      <c r="AG297" s="126"/>
      <c r="AH297" s="126" t="s">
        <v>280</v>
      </c>
      <c r="AI297" s="126" t="s">
        <v>1819</v>
      </c>
    </row>
    <row r="298" spans="1:35" ht="90" x14ac:dyDescent="0.25">
      <c r="A298" s="46" t="str">
        <f t="shared" si="4"/>
        <v>IBA1CRD022526TRADICIONALNUTRESA</v>
      </c>
      <c r="B298" s="126" t="s">
        <v>8</v>
      </c>
      <c r="C298" s="126">
        <v>9332</v>
      </c>
      <c r="D298" s="126" t="s">
        <v>140</v>
      </c>
      <c r="E298" s="126" t="s">
        <v>177</v>
      </c>
      <c r="F298" s="127">
        <v>44548</v>
      </c>
      <c r="G298" s="126" t="s">
        <v>175</v>
      </c>
      <c r="H298" s="126" t="s">
        <v>176</v>
      </c>
      <c r="I298" s="126">
        <v>1</v>
      </c>
      <c r="J298" s="126" t="s">
        <v>184</v>
      </c>
      <c r="K298" s="126" t="s">
        <v>280</v>
      </c>
      <c r="L298" s="126" t="s">
        <v>1801</v>
      </c>
      <c r="M298" s="126">
        <v>0</v>
      </c>
      <c r="N298" s="126">
        <v>0</v>
      </c>
      <c r="O298" s="126" t="s">
        <v>1802</v>
      </c>
      <c r="P298" s="126" t="s">
        <v>172</v>
      </c>
      <c r="Q298" s="126" t="s">
        <v>1820</v>
      </c>
      <c r="R298" s="126" t="s">
        <v>1820</v>
      </c>
      <c r="S298" s="126" t="s">
        <v>1821</v>
      </c>
      <c r="T298" s="126" t="s">
        <v>160</v>
      </c>
      <c r="U298" s="126"/>
      <c r="V298" s="128">
        <v>25000000</v>
      </c>
      <c r="W298" s="128">
        <v>25000000</v>
      </c>
      <c r="X298" s="126" t="s">
        <v>1209</v>
      </c>
      <c r="Y298" s="126">
        <v>0</v>
      </c>
      <c r="Z298" s="126" t="s">
        <v>1822</v>
      </c>
      <c r="AA298" s="126" t="s">
        <v>2</v>
      </c>
      <c r="AB298" s="126" t="s">
        <v>140</v>
      </c>
      <c r="AC298" s="126" t="s">
        <v>162</v>
      </c>
      <c r="AD298" s="127">
        <v>45071</v>
      </c>
      <c r="AE298" s="126"/>
      <c r="AF298" s="127">
        <v>45071</v>
      </c>
      <c r="AG298" s="126"/>
      <c r="AH298" s="126" t="s">
        <v>280</v>
      </c>
      <c r="AI298" s="126" t="s">
        <v>1823</v>
      </c>
    </row>
    <row r="299" spans="1:35" ht="90" x14ac:dyDescent="0.25">
      <c r="A299" s="46" t="str">
        <f t="shared" si="4"/>
        <v>IBA1CRD012718TRADICIONALNUTRESA</v>
      </c>
      <c r="B299" s="126" t="s">
        <v>8</v>
      </c>
      <c r="C299" s="126">
        <v>9332</v>
      </c>
      <c r="D299" s="126" t="s">
        <v>140</v>
      </c>
      <c r="E299" s="126" t="s">
        <v>177</v>
      </c>
      <c r="F299" s="127">
        <v>44548</v>
      </c>
      <c r="G299" s="126" t="s">
        <v>175</v>
      </c>
      <c r="H299" s="126" t="s">
        <v>176</v>
      </c>
      <c r="I299" s="126">
        <v>1</v>
      </c>
      <c r="J299" s="126" t="s">
        <v>184</v>
      </c>
      <c r="K299" s="126" t="s">
        <v>280</v>
      </c>
      <c r="L299" s="126" t="s">
        <v>1801</v>
      </c>
      <c r="M299" s="126">
        <v>0</v>
      </c>
      <c r="N299" s="126">
        <v>0</v>
      </c>
      <c r="O299" s="126" t="s">
        <v>1802</v>
      </c>
      <c r="P299" s="126" t="s">
        <v>172</v>
      </c>
      <c r="Q299" s="126" t="s">
        <v>802</v>
      </c>
      <c r="R299" s="126" t="s">
        <v>802</v>
      </c>
      <c r="S299" s="126" t="s">
        <v>1824</v>
      </c>
      <c r="T299" s="126" t="s">
        <v>163</v>
      </c>
      <c r="U299" s="126"/>
      <c r="V299" s="128">
        <v>240000000</v>
      </c>
      <c r="W299" s="128">
        <v>240000000</v>
      </c>
      <c r="X299" s="126" t="s">
        <v>1209</v>
      </c>
      <c r="Y299" s="126">
        <v>0</v>
      </c>
      <c r="Z299" s="126" t="s">
        <v>1825</v>
      </c>
      <c r="AA299" s="126" t="s">
        <v>2</v>
      </c>
      <c r="AB299" s="126" t="s">
        <v>140</v>
      </c>
      <c r="AC299" s="126" t="s">
        <v>162</v>
      </c>
      <c r="AD299" s="127">
        <v>44631</v>
      </c>
      <c r="AE299" s="126"/>
      <c r="AF299" s="127">
        <v>44631</v>
      </c>
      <c r="AG299" s="126"/>
      <c r="AH299" s="126" t="s">
        <v>280</v>
      </c>
      <c r="AI299" s="126" t="s">
        <v>1826</v>
      </c>
    </row>
    <row r="300" spans="1:35" ht="90" x14ac:dyDescent="0.25">
      <c r="A300" s="46" t="str">
        <f t="shared" si="4"/>
        <v>IBA1CRD012660TRADICIONALNUTRESA</v>
      </c>
      <c r="B300" s="126" t="s">
        <v>8</v>
      </c>
      <c r="C300" s="126">
        <v>9332</v>
      </c>
      <c r="D300" s="126" t="s">
        <v>140</v>
      </c>
      <c r="E300" s="126" t="s">
        <v>177</v>
      </c>
      <c r="F300" s="127">
        <v>44548</v>
      </c>
      <c r="G300" s="126" t="s">
        <v>175</v>
      </c>
      <c r="H300" s="126" t="s">
        <v>176</v>
      </c>
      <c r="I300" s="126">
        <v>1</v>
      </c>
      <c r="J300" s="126" t="s">
        <v>184</v>
      </c>
      <c r="K300" s="126" t="s">
        <v>280</v>
      </c>
      <c r="L300" s="126" t="s">
        <v>1801</v>
      </c>
      <c r="M300" s="126">
        <v>0</v>
      </c>
      <c r="N300" s="126">
        <v>0</v>
      </c>
      <c r="O300" s="126" t="s">
        <v>1802</v>
      </c>
      <c r="P300" s="126" t="s">
        <v>172</v>
      </c>
      <c r="Q300" s="126" t="s">
        <v>1827</v>
      </c>
      <c r="R300" s="126" t="s">
        <v>1827</v>
      </c>
      <c r="S300" s="126" t="s">
        <v>1828</v>
      </c>
      <c r="T300" s="126" t="s">
        <v>160</v>
      </c>
      <c r="U300" s="126"/>
      <c r="V300" s="128">
        <v>25000000</v>
      </c>
      <c r="W300" s="128">
        <v>25000000</v>
      </c>
      <c r="X300" s="126" t="s">
        <v>1209</v>
      </c>
      <c r="Y300" s="126">
        <v>0</v>
      </c>
      <c r="Z300" s="126" t="s">
        <v>1818</v>
      </c>
      <c r="AA300" s="126" t="s">
        <v>2</v>
      </c>
      <c r="AB300" s="126" t="s">
        <v>140</v>
      </c>
      <c r="AC300" s="126" t="s">
        <v>162</v>
      </c>
      <c r="AD300" s="127">
        <v>44815</v>
      </c>
      <c r="AE300" s="126"/>
      <c r="AF300" s="127">
        <v>44815</v>
      </c>
      <c r="AG300" s="126"/>
      <c r="AH300" s="126" t="s">
        <v>280</v>
      </c>
      <c r="AI300" s="126" t="s">
        <v>1829</v>
      </c>
    </row>
    <row r="301" spans="1:35" ht="90" x14ac:dyDescent="0.25">
      <c r="A301" s="46" t="str">
        <f t="shared" si="4"/>
        <v>IBA1CRD012466TRADICIONALNUTRESA</v>
      </c>
      <c r="B301" s="126" t="s">
        <v>8</v>
      </c>
      <c r="C301" s="126">
        <v>9332</v>
      </c>
      <c r="D301" s="126" t="s">
        <v>140</v>
      </c>
      <c r="E301" s="126" t="s">
        <v>177</v>
      </c>
      <c r="F301" s="127">
        <v>44548</v>
      </c>
      <c r="G301" s="126" t="s">
        <v>175</v>
      </c>
      <c r="H301" s="126" t="s">
        <v>176</v>
      </c>
      <c r="I301" s="126">
        <v>1</v>
      </c>
      <c r="J301" s="126" t="s">
        <v>184</v>
      </c>
      <c r="K301" s="126" t="s">
        <v>280</v>
      </c>
      <c r="L301" s="126" t="s">
        <v>1801</v>
      </c>
      <c r="M301" s="126">
        <v>0</v>
      </c>
      <c r="N301" s="126">
        <v>0</v>
      </c>
      <c r="O301" s="126" t="s">
        <v>1802</v>
      </c>
      <c r="P301" s="126" t="s">
        <v>172</v>
      </c>
      <c r="Q301" s="126" t="s">
        <v>520</v>
      </c>
      <c r="R301" s="126" t="s">
        <v>520</v>
      </c>
      <c r="S301" s="126" t="s">
        <v>521</v>
      </c>
      <c r="T301" s="126" t="s">
        <v>160</v>
      </c>
      <c r="U301" s="126"/>
      <c r="V301" s="128">
        <v>25000000</v>
      </c>
      <c r="W301" s="128">
        <v>25000000</v>
      </c>
      <c r="X301" s="126" t="s">
        <v>1209</v>
      </c>
      <c r="Y301" s="126">
        <v>0</v>
      </c>
      <c r="Z301" s="126" t="s">
        <v>1830</v>
      </c>
      <c r="AA301" s="126" t="s">
        <v>2</v>
      </c>
      <c r="AB301" s="126" t="s">
        <v>140</v>
      </c>
      <c r="AC301" s="126" t="s">
        <v>162</v>
      </c>
      <c r="AD301" s="127">
        <v>45265</v>
      </c>
      <c r="AE301" s="126"/>
      <c r="AF301" s="127">
        <v>45265</v>
      </c>
      <c r="AG301" s="126"/>
      <c r="AH301" s="126" t="s">
        <v>280</v>
      </c>
      <c r="AI301" s="126" t="s">
        <v>1831</v>
      </c>
    </row>
    <row r="302" spans="1:35" ht="90" x14ac:dyDescent="0.25">
      <c r="A302" s="46" t="str">
        <f t="shared" si="4"/>
        <v>IBA1CRD010924TRADICIONALNUTRESA</v>
      </c>
      <c r="B302" s="126" t="s">
        <v>8</v>
      </c>
      <c r="C302" s="126">
        <v>9332</v>
      </c>
      <c r="D302" s="126" t="s">
        <v>140</v>
      </c>
      <c r="E302" s="126" t="s">
        <v>177</v>
      </c>
      <c r="F302" s="127">
        <v>44548</v>
      </c>
      <c r="G302" s="126" t="s">
        <v>175</v>
      </c>
      <c r="H302" s="126" t="s">
        <v>176</v>
      </c>
      <c r="I302" s="126">
        <v>1</v>
      </c>
      <c r="J302" s="126" t="s">
        <v>184</v>
      </c>
      <c r="K302" s="126" t="s">
        <v>280</v>
      </c>
      <c r="L302" s="126" t="s">
        <v>1801</v>
      </c>
      <c r="M302" s="126">
        <v>0</v>
      </c>
      <c r="N302" s="126">
        <v>0</v>
      </c>
      <c r="O302" s="126" t="s">
        <v>1802</v>
      </c>
      <c r="P302" s="126" t="s">
        <v>172</v>
      </c>
      <c r="Q302" s="126" t="s">
        <v>351</v>
      </c>
      <c r="R302" s="126" t="s">
        <v>351</v>
      </c>
      <c r="S302" s="126" t="s">
        <v>352</v>
      </c>
      <c r="T302" s="126" t="s">
        <v>160</v>
      </c>
      <c r="U302" s="126"/>
      <c r="V302" s="128">
        <v>25000000</v>
      </c>
      <c r="W302" s="128">
        <v>25000000</v>
      </c>
      <c r="X302" s="126" t="s">
        <v>1209</v>
      </c>
      <c r="Y302" s="126">
        <v>0</v>
      </c>
      <c r="Z302" s="126" t="s">
        <v>1832</v>
      </c>
      <c r="AA302" s="126" t="s">
        <v>2</v>
      </c>
      <c r="AB302" s="126" t="s">
        <v>140</v>
      </c>
      <c r="AC302" s="126" t="s">
        <v>162</v>
      </c>
      <c r="AD302" s="127">
        <v>45064</v>
      </c>
      <c r="AE302" s="126"/>
      <c r="AF302" s="127">
        <v>45064</v>
      </c>
      <c r="AG302" s="126"/>
      <c r="AH302" s="126" t="s">
        <v>280</v>
      </c>
      <c r="AI302" s="126" t="s">
        <v>1833</v>
      </c>
    </row>
    <row r="303" spans="1:35" ht="90" x14ac:dyDescent="0.25">
      <c r="A303" s="46" t="str">
        <f t="shared" si="4"/>
        <v>IBA1CRD010050TRADICIONALNUTRESA</v>
      </c>
      <c r="B303" s="126" t="s">
        <v>8</v>
      </c>
      <c r="C303" s="126">
        <v>9332</v>
      </c>
      <c r="D303" s="126" t="s">
        <v>140</v>
      </c>
      <c r="E303" s="126" t="s">
        <v>177</v>
      </c>
      <c r="F303" s="127">
        <v>44548</v>
      </c>
      <c r="G303" s="126" t="s">
        <v>175</v>
      </c>
      <c r="H303" s="126" t="s">
        <v>176</v>
      </c>
      <c r="I303" s="126">
        <v>1</v>
      </c>
      <c r="J303" s="126" t="s">
        <v>184</v>
      </c>
      <c r="K303" s="126" t="s">
        <v>280</v>
      </c>
      <c r="L303" s="126" t="s">
        <v>1801</v>
      </c>
      <c r="M303" s="126">
        <v>0</v>
      </c>
      <c r="N303" s="126">
        <v>0</v>
      </c>
      <c r="O303" s="126" t="s">
        <v>1802</v>
      </c>
      <c r="P303" s="126" t="s">
        <v>172</v>
      </c>
      <c r="Q303" s="126" t="s">
        <v>1834</v>
      </c>
      <c r="R303" s="126" t="s">
        <v>1834</v>
      </c>
      <c r="S303" s="126" t="s">
        <v>1835</v>
      </c>
      <c r="T303" s="126" t="s">
        <v>160</v>
      </c>
      <c r="U303" s="126"/>
      <c r="V303" s="128">
        <v>25000000</v>
      </c>
      <c r="W303" s="128">
        <v>25000000</v>
      </c>
      <c r="X303" s="126" t="s">
        <v>1209</v>
      </c>
      <c r="Y303" s="126">
        <v>0</v>
      </c>
      <c r="Z303" s="126" t="s">
        <v>1836</v>
      </c>
      <c r="AA303" s="126" t="s">
        <v>2</v>
      </c>
      <c r="AB303" s="126" t="s">
        <v>140</v>
      </c>
      <c r="AC303" s="126" t="s">
        <v>162</v>
      </c>
      <c r="AD303" s="127">
        <v>45247</v>
      </c>
      <c r="AE303" s="126"/>
      <c r="AF303" s="127">
        <v>45247</v>
      </c>
      <c r="AG303" s="126"/>
      <c r="AH303" s="126" t="s">
        <v>280</v>
      </c>
      <c r="AI303" s="126" t="s">
        <v>1837</v>
      </c>
    </row>
    <row r="304" spans="1:35" ht="90" x14ac:dyDescent="0.25">
      <c r="A304" s="46" t="str">
        <f t="shared" si="4"/>
        <v>IBA1CRD009297TRADICIONALNUTRESA</v>
      </c>
      <c r="B304" s="126" t="s">
        <v>8</v>
      </c>
      <c r="C304" s="126">
        <v>9332</v>
      </c>
      <c r="D304" s="126" t="s">
        <v>140</v>
      </c>
      <c r="E304" s="126" t="s">
        <v>177</v>
      </c>
      <c r="F304" s="127">
        <v>44548</v>
      </c>
      <c r="G304" s="126" t="s">
        <v>175</v>
      </c>
      <c r="H304" s="126" t="s">
        <v>176</v>
      </c>
      <c r="I304" s="126">
        <v>1</v>
      </c>
      <c r="J304" s="126" t="s">
        <v>184</v>
      </c>
      <c r="K304" s="126" t="s">
        <v>280</v>
      </c>
      <c r="L304" s="126" t="s">
        <v>1801</v>
      </c>
      <c r="M304" s="126">
        <v>0</v>
      </c>
      <c r="N304" s="126">
        <v>0</v>
      </c>
      <c r="O304" s="126" t="s">
        <v>1802</v>
      </c>
      <c r="P304" s="126" t="s">
        <v>172</v>
      </c>
      <c r="Q304" s="126" t="s">
        <v>353</v>
      </c>
      <c r="R304" s="126" t="s">
        <v>353</v>
      </c>
      <c r="S304" s="126" t="s">
        <v>354</v>
      </c>
      <c r="T304" s="126" t="s">
        <v>160</v>
      </c>
      <c r="U304" s="126"/>
      <c r="V304" s="128">
        <v>25000000</v>
      </c>
      <c r="W304" s="128">
        <v>25000000</v>
      </c>
      <c r="X304" s="126" t="s">
        <v>1209</v>
      </c>
      <c r="Y304" s="126">
        <v>0</v>
      </c>
      <c r="Z304" s="126" t="s">
        <v>1838</v>
      </c>
      <c r="AA304" s="126" t="s">
        <v>2</v>
      </c>
      <c r="AB304" s="126" t="s">
        <v>140</v>
      </c>
      <c r="AC304" s="126" t="s">
        <v>162</v>
      </c>
      <c r="AD304" s="127">
        <v>44783</v>
      </c>
      <c r="AE304" s="126"/>
      <c r="AF304" s="127">
        <v>44783</v>
      </c>
      <c r="AG304" s="126"/>
      <c r="AH304" s="126" t="s">
        <v>280</v>
      </c>
      <c r="AI304" s="126" t="s">
        <v>1839</v>
      </c>
    </row>
    <row r="305" spans="1:35" ht="90" x14ac:dyDescent="0.25">
      <c r="A305" s="46" t="str">
        <f t="shared" si="4"/>
        <v>IBA1CRD003938TRADICIONALNUTRESA</v>
      </c>
      <c r="B305" s="126" t="s">
        <v>8</v>
      </c>
      <c r="C305" s="126">
        <v>9332</v>
      </c>
      <c r="D305" s="126" t="s">
        <v>140</v>
      </c>
      <c r="E305" s="126" t="s">
        <v>177</v>
      </c>
      <c r="F305" s="127">
        <v>44548</v>
      </c>
      <c r="G305" s="126" t="s">
        <v>175</v>
      </c>
      <c r="H305" s="126" t="s">
        <v>176</v>
      </c>
      <c r="I305" s="126">
        <v>1</v>
      </c>
      <c r="J305" s="126" t="s">
        <v>184</v>
      </c>
      <c r="K305" s="126" t="s">
        <v>280</v>
      </c>
      <c r="L305" s="126" t="s">
        <v>1801</v>
      </c>
      <c r="M305" s="126">
        <v>0</v>
      </c>
      <c r="N305" s="126">
        <v>0</v>
      </c>
      <c r="O305" s="126" t="s">
        <v>1802</v>
      </c>
      <c r="P305" s="126" t="s">
        <v>172</v>
      </c>
      <c r="Q305" s="126" t="s">
        <v>1840</v>
      </c>
      <c r="R305" s="126" t="s">
        <v>1840</v>
      </c>
      <c r="S305" s="126" t="s">
        <v>1841</v>
      </c>
      <c r="T305" s="126" t="s">
        <v>160</v>
      </c>
      <c r="U305" s="126"/>
      <c r="V305" s="128">
        <v>5000000</v>
      </c>
      <c r="W305" s="128">
        <v>5000000</v>
      </c>
      <c r="X305" s="126" t="s">
        <v>1209</v>
      </c>
      <c r="Y305" s="126">
        <v>0</v>
      </c>
      <c r="Z305" s="126" t="s">
        <v>1842</v>
      </c>
      <c r="AA305" s="126" t="s">
        <v>2</v>
      </c>
      <c r="AB305" s="126" t="s">
        <v>140</v>
      </c>
      <c r="AC305" s="126" t="s">
        <v>162</v>
      </c>
      <c r="AD305" s="127">
        <v>45190</v>
      </c>
      <c r="AE305" s="126"/>
      <c r="AF305" s="127">
        <v>45190</v>
      </c>
      <c r="AG305" s="126"/>
      <c r="AH305" s="126" t="s">
        <v>280</v>
      </c>
      <c r="AI305" s="126" t="s">
        <v>1843</v>
      </c>
    </row>
    <row r="306" spans="1:35" ht="90" x14ac:dyDescent="0.25">
      <c r="A306" s="46" t="str">
        <f t="shared" si="4"/>
        <v>IBA1CRD003573TRADICIONALNUTRESA</v>
      </c>
      <c r="B306" s="126" t="s">
        <v>8</v>
      </c>
      <c r="C306" s="126">
        <v>9332</v>
      </c>
      <c r="D306" s="126" t="s">
        <v>140</v>
      </c>
      <c r="E306" s="126" t="s">
        <v>177</v>
      </c>
      <c r="F306" s="127">
        <v>44548</v>
      </c>
      <c r="G306" s="126" t="s">
        <v>175</v>
      </c>
      <c r="H306" s="126" t="s">
        <v>176</v>
      </c>
      <c r="I306" s="126">
        <v>1</v>
      </c>
      <c r="J306" s="126" t="s">
        <v>184</v>
      </c>
      <c r="K306" s="126" t="s">
        <v>280</v>
      </c>
      <c r="L306" s="126" t="s">
        <v>1801</v>
      </c>
      <c r="M306" s="126">
        <v>0</v>
      </c>
      <c r="N306" s="126">
        <v>0</v>
      </c>
      <c r="O306" s="126" t="s">
        <v>1802</v>
      </c>
      <c r="P306" s="126" t="s">
        <v>172</v>
      </c>
      <c r="Q306" s="126" t="s">
        <v>1844</v>
      </c>
      <c r="R306" s="126" t="s">
        <v>1844</v>
      </c>
      <c r="S306" s="126" t="s">
        <v>1845</v>
      </c>
      <c r="T306" s="126" t="s">
        <v>160</v>
      </c>
      <c r="U306" s="126"/>
      <c r="V306" s="128">
        <v>25000000</v>
      </c>
      <c r="W306" s="128">
        <v>25000000</v>
      </c>
      <c r="X306" s="126" t="s">
        <v>1209</v>
      </c>
      <c r="Y306" s="126">
        <v>0</v>
      </c>
      <c r="Z306" s="126" t="s">
        <v>1846</v>
      </c>
      <c r="AA306" s="126" t="s">
        <v>2</v>
      </c>
      <c r="AB306" s="126" t="s">
        <v>140</v>
      </c>
      <c r="AC306" s="126" t="s">
        <v>162</v>
      </c>
      <c r="AD306" s="127">
        <v>44826</v>
      </c>
      <c r="AE306" s="126"/>
      <c r="AF306" s="127">
        <v>44826</v>
      </c>
      <c r="AG306" s="126"/>
      <c r="AH306" s="126" t="s">
        <v>280</v>
      </c>
      <c r="AI306" s="126" t="s">
        <v>1847</v>
      </c>
    </row>
    <row r="307" spans="1:35" ht="90" x14ac:dyDescent="0.25">
      <c r="A307" s="46" t="str">
        <f t="shared" si="4"/>
        <v>IBA1CRD000698TRADICIONALNUTRESA</v>
      </c>
      <c r="B307" s="126" t="s">
        <v>8</v>
      </c>
      <c r="C307" s="126">
        <v>9332</v>
      </c>
      <c r="D307" s="126" t="s">
        <v>140</v>
      </c>
      <c r="E307" s="126" t="s">
        <v>177</v>
      </c>
      <c r="F307" s="127">
        <v>44548</v>
      </c>
      <c r="G307" s="126" t="s">
        <v>175</v>
      </c>
      <c r="H307" s="126" t="s">
        <v>176</v>
      </c>
      <c r="I307" s="126">
        <v>1</v>
      </c>
      <c r="J307" s="126" t="s">
        <v>184</v>
      </c>
      <c r="K307" s="126" t="s">
        <v>280</v>
      </c>
      <c r="L307" s="126" t="s">
        <v>1801</v>
      </c>
      <c r="M307" s="126">
        <v>0</v>
      </c>
      <c r="N307" s="126">
        <v>0</v>
      </c>
      <c r="O307" s="126" t="s">
        <v>1802</v>
      </c>
      <c r="P307" s="126" t="s">
        <v>172</v>
      </c>
      <c r="Q307" s="126" t="s">
        <v>326</v>
      </c>
      <c r="R307" s="126" t="s">
        <v>326</v>
      </c>
      <c r="S307" s="126" t="s">
        <v>327</v>
      </c>
      <c r="T307" s="126" t="s">
        <v>160</v>
      </c>
      <c r="U307" s="126"/>
      <c r="V307" s="128">
        <v>25000000</v>
      </c>
      <c r="W307" s="128">
        <v>25000000</v>
      </c>
      <c r="X307" s="126" t="s">
        <v>1209</v>
      </c>
      <c r="Y307" s="126">
        <v>0</v>
      </c>
      <c r="Z307" s="126" t="s">
        <v>1848</v>
      </c>
      <c r="AA307" s="126" t="s">
        <v>2</v>
      </c>
      <c r="AB307" s="126" t="s">
        <v>140</v>
      </c>
      <c r="AC307" s="126" t="s">
        <v>162</v>
      </c>
      <c r="AD307" s="127">
        <v>45232</v>
      </c>
      <c r="AE307" s="126"/>
      <c r="AF307" s="127">
        <v>45232</v>
      </c>
      <c r="AG307" s="126"/>
      <c r="AH307" s="126" t="s">
        <v>280</v>
      </c>
      <c r="AI307" s="126" t="s">
        <v>1849</v>
      </c>
    </row>
    <row r="308" spans="1:35" ht="90" x14ac:dyDescent="0.25">
      <c r="A308" s="46" t="str">
        <f t="shared" si="4"/>
        <v>IBA1CRD023690TRADICIONALNUTRESA</v>
      </c>
      <c r="B308" s="126" t="s">
        <v>8</v>
      </c>
      <c r="C308" s="126">
        <v>9332</v>
      </c>
      <c r="D308" s="126" t="s">
        <v>140</v>
      </c>
      <c r="E308" s="126" t="s">
        <v>177</v>
      </c>
      <c r="F308" s="127">
        <v>44548</v>
      </c>
      <c r="G308" s="126" t="s">
        <v>175</v>
      </c>
      <c r="H308" s="126" t="s">
        <v>176</v>
      </c>
      <c r="I308" s="126">
        <v>1</v>
      </c>
      <c r="J308" s="126" t="s">
        <v>184</v>
      </c>
      <c r="K308" s="126" t="s">
        <v>280</v>
      </c>
      <c r="L308" s="126" t="s">
        <v>1801</v>
      </c>
      <c r="M308" s="126">
        <v>0</v>
      </c>
      <c r="N308" s="126">
        <v>0</v>
      </c>
      <c r="O308" s="126" t="s">
        <v>1802</v>
      </c>
      <c r="P308" s="126" t="s">
        <v>172</v>
      </c>
      <c r="Q308" s="126" t="s">
        <v>372</v>
      </c>
      <c r="R308" s="126" t="s">
        <v>372</v>
      </c>
      <c r="S308" s="126" t="s">
        <v>373</v>
      </c>
      <c r="T308" s="126" t="s">
        <v>160</v>
      </c>
      <c r="U308" s="126"/>
      <c r="V308" s="128">
        <v>25000000</v>
      </c>
      <c r="W308" s="128">
        <v>25000000</v>
      </c>
      <c r="X308" s="126" t="s">
        <v>1209</v>
      </c>
      <c r="Y308" s="126">
        <v>0</v>
      </c>
      <c r="Z308" s="126" t="s">
        <v>1850</v>
      </c>
      <c r="AA308" s="126" t="s">
        <v>2</v>
      </c>
      <c r="AB308" s="126" t="s">
        <v>140</v>
      </c>
      <c r="AC308" s="126" t="s">
        <v>162</v>
      </c>
      <c r="AD308" s="127">
        <v>45880</v>
      </c>
      <c r="AE308" s="126"/>
      <c r="AF308" s="127">
        <v>45880</v>
      </c>
      <c r="AG308" s="126"/>
      <c r="AH308" s="126" t="s">
        <v>280</v>
      </c>
      <c r="AI308" s="126" t="s">
        <v>1851</v>
      </c>
    </row>
    <row r="309" spans="1:35" ht="90" x14ac:dyDescent="0.25">
      <c r="A309" s="46" t="str">
        <f t="shared" si="4"/>
        <v>IBA1CRD002384TRADICIONALNUTRESA</v>
      </c>
      <c r="B309" s="126" t="s">
        <v>8</v>
      </c>
      <c r="C309" s="126">
        <v>9332</v>
      </c>
      <c r="D309" s="126" t="s">
        <v>140</v>
      </c>
      <c r="E309" s="126" t="s">
        <v>177</v>
      </c>
      <c r="F309" s="127">
        <v>44548</v>
      </c>
      <c r="G309" s="126" t="s">
        <v>175</v>
      </c>
      <c r="H309" s="126" t="s">
        <v>176</v>
      </c>
      <c r="I309" s="126">
        <v>1</v>
      </c>
      <c r="J309" s="126" t="s">
        <v>184</v>
      </c>
      <c r="K309" s="126" t="s">
        <v>280</v>
      </c>
      <c r="L309" s="126" t="s">
        <v>1801</v>
      </c>
      <c r="M309" s="126">
        <v>0</v>
      </c>
      <c r="N309" s="126">
        <v>0</v>
      </c>
      <c r="O309" s="126" t="s">
        <v>1802</v>
      </c>
      <c r="P309" s="126" t="s">
        <v>172</v>
      </c>
      <c r="Q309" s="126" t="s">
        <v>361</v>
      </c>
      <c r="R309" s="126" t="s">
        <v>361</v>
      </c>
      <c r="S309" s="126" t="s">
        <v>362</v>
      </c>
      <c r="T309" s="126" t="s">
        <v>160</v>
      </c>
      <c r="U309" s="126"/>
      <c r="V309" s="128">
        <v>25000000</v>
      </c>
      <c r="W309" s="128">
        <v>25000000</v>
      </c>
      <c r="X309" s="126" t="s">
        <v>1209</v>
      </c>
      <c r="Y309" s="126">
        <v>0</v>
      </c>
      <c r="Z309" s="126" t="s">
        <v>1818</v>
      </c>
      <c r="AA309" s="126" t="s">
        <v>2</v>
      </c>
      <c r="AB309" s="126" t="s">
        <v>140</v>
      </c>
      <c r="AC309" s="126" t="s">
        <v>162</v>
      </c>
      <c r="AD309" s="127">
        <v>44815</v>
      </c>
      <c r="AE309" s="126"/>
      <c r="AF309" s="127">
        <v>44815</v>
      </c>
      <c r="AG309" s="126"/>
      <c r="AH309" s="126" t="s">
        <v>280</v>
      </c>
      <c r="AI309" s="126" t="s">
        <v>1852</v>
      </c>
    </row>
    <row r="310" spans="1:35" ht="90" x14ac:dyDescent="0.25">
      <c r="A310" s="46" t="str">
        <f t="shared" si="4"/>
        <v>IBA1CRD001544TRADICIONALNUTRESA</v>
      </c>
      <c r="B310" s="126" t="s">
        <v>8</v>
      </c>
      <c r="C310" s="126">
        <v>9332</v>
      </c>
      <c r="D310" s="126" t="s">
        <v>140</v>
      </c>
      <c r="E310" s="126" t="s">
        <v>177</v>
      </c>
      <c r="F310" s="127">
        <v>44548</v>
      </c>
      <c r="G310" s="126" t="s">
        <v>175</v>
      </c>
      <c r="H310" s="126" t="s">
        <v>176</v>
      </c>
      <c r="I310" s="126">
        <v>1</v>
      </c>
      <c r="J310" s="126" t="s">
        <v>184</v>
      </c>
      <c r="K310" s="126" t="s">
        <v>280</v>
      </c>
      <c r="L310" s="126" t="s">
        <v>1801</v>
      </c>
      <c r="M310" s="126">
        <v>0</v>
      </c>
      <c r="N310" s="126">
        <v>0</v>
      </c>
      <c r="O310" s="126" t="s">
        <v>1802</v>
      </c>
      <c r="P310" s="126" t="s">
        <v>172</v>
      </c>
      <c r="Q310" s="126" t="s">
        <v>1853</v>
      </c>
      <c r="R310" s="126" t="s">
        <v>1853</v>
      </c>
      <c r="S310" s="126" t="s">
        <v>1854</v>
      </c>
      <c r="T310" s="126" t="s">
        <v>160</v>
      </c>
      <c r="U310" s="126"/>
      <c r="V310" s="128">
        <v>5000000</v>
      </c>
      <c r="W310" s="128">
        <v>5000000</v>
      </c>
      <c r="X310" s="126" t="s">
        <v>1209</v>
      </c>
      <c r="Y310" s="126">
        <v>0</v>
      </c>
      <c r="Z310" s="126" t="s">
        <v>1855</v>
      </c>
      <c r="AA310" s="126" t="s">
        <v>2</v>
      </c>
      <c r="AB310" s="126" t="s">
        <v>140</v>
      </c>
      <c r="AC310" s="126" t="s">
        <v>162</v>
      </c>
      <c r="AD310" s="127">
        <v>45081</v>
      </c>
      <c r="AE310" s="126"/>
      <c r="AF310" s="127">
        <v>45081</v>
      </c>
      <c r="AG310" s="126"/>
      <c r="AH310" s="126" t="s">
        <v>280</v>
      </c>
      <c r="AI310" s="126" t="s">
        <v>1856</v>
      </c>
    </row>
    <row r="311" spans="1:35" ht="90" x14ac:dyDescent="0.25">
      <c r="A311" s="46" t="str">
        <f t="shared" si="4"/>
        <v>IBA1CRD024366TRADICIONALNUTRESA</v>
      </c>
      <c r="B311" s="126" t="s">
        <v>8</v>
      </c>
      <c r="C311" s="126">
        <v>9332</v>
      </c>
      <c r="D311" s="126" t="s">
        <v>140</v>
      </c>
      <c r="E311" s="126" t="s">
        <v>177</v>
      </c>
      <c r="F311" s="127">
        <v>44548</v>
      </c>
      <c r="G311" s="126" t="s">
        <v>175</v>
      </c>
      <c r="H311" s="126" t="s">
        <v>176</v>
      </c>
      <c r="I311" s="126">
        <v>1</v>
      </c>
      <c r="J311" s="126" t="s">
        <v>184</v>
      </c>
      <c r="K311" s="126" t="s">
        <v>280</v>
      </c>
      <c r="L311" s="126" t="s">
        <v>1801</v>
      </c>
      <c r="M311" s="126">
        <v>0</v>
      </c>
      <c r="N311" s="126">
        <v>0</v>
      </c>
      <c r="O311" s="126" t="s">
        <v>1802</v>
      </c>
      <c r="P311" s="126" t="s">
        <v>172</v>
      </c>
      <c r="Q311" s="126" t="s">
        <v>319</v>
      </c>
      <c r="R311" s="126" t="s">
        <v>319</v>
      </c>
      <c r="S311" s="126" t="s">
        <v>342</v>
      </c>
      <c r="T311" s="126" t="s">
        <v>160</v>
      </c>
      <c r="U311" s="126"/>
      <c r="V311" s="128">
        <v>5000000</v>
      </c>
      <c r="W311" s="128">
        <v>5000000</v>
      </c>
      <c r="X311" s="126" t="s">
        <v>1209</v>
      </c>
      <c r="Y311" s="126">
        <v>0</v>
      </c>
      <c r="Z311" s="126" t="s">
        <v>1857</v>
      </c>
      <c r="AA311" s="126" t="s">
        <v>2</v>
      </c>
      <c r="AB311" s="126" t="s">
        <v>140</v>
      </c>
      <c r="AC311" s="126" t="s">
        <v>162</v>
      </c>
      <c r="AD311" s="127">
        <v>44878</v>
      </c>
      <c r="AE311" s="126"/>
      <c r="AF311" s="127">
        <v>44878</v>
      </c>
      <c r="AG311" s="126"/>
      <c r="AH311" s="126" t="s">
        <v>280</v>
      </c>
      <c r="AI311" s="126" t="s">
        <v>1858</v>
      </c>
    </row>
    <row r="312" spans="1:35" ht="90" x14ac:dyDescent="0.25">
      <c r="A312" s="46" t="str">
        <f t="shared" si="4"/>
        <v>IBA1CRD023781TRADICIONALNUTRESA</v>
      </c>
      <c r="B312" s="126" t="s">
        <v>8</v>
      </c>
      <c r="C312" s="126">
        <v>9332</v>
      </c>
      <c r="D312" s="126" t="s">
        <v>140</v>
      </c>
      <c r="E312" s="126" t="s">
        <v>177</v>
      </c>
      <c r="F312" s="127">
        <v>44548</v>
      </c>
      <c r="G312" s="126" t="s">
        <v>175</v>
      </c>
      <c r="H312" s="126" t="s">
        <v>176</v>
      </c>
      <c r="I312" s="126">
        <v>1</v>
      </c>
      <c r="J312" s="126" t="s">
        <v>184</v>
      </c>
      <c r="K312" s="126" t="s">
        <v>280</v>
      </c>
      <c r="L312" s="126" t="s">
        <v>1801</v>
      </c>
      <c r="M312" s="126">
        <v>0</v>
      </c>
      <c r="N312" s="126">
        <v>0</v>
      </c>
      <c r="O312" s="126" t="s">
        <v>1802</v>
      </c>
      <c r="P312" s="126" t="s">
        <v>172</v>
      </c>
      <c r="Q312" s="126" t="s">
        <v>1859</v>
      </c>
      <c r="R312" s="126" t="s">
        <v>1859</v>
      </c>
      <c r="S312" s="126" t="s">
        <v>1860</v>
      </c>
      <c r="T312" s="126" t="s">
        <v>160</v>
      </c>
      <c r="U312" s="126"/>
      <c r="V312" s="128">
        <v>5000000</v>
      </c>
      <c r="W312" s="128">
        <v>5000000</v>
      </c>
      <c r="X312" s="126" t="s">
        <v>1209</v>
      </c>
      <c r="Y312" s="126">
        <v>0</v>
      </c>
      <c r="Z312" s="126" t="s">
        <v>1861</v>
      </c>
      <c r="AA312" s="126" t="s">
        <v>2</v>
      </c>
      <c r="AB312" s="126" t="s">
        <v>140</v>
      </c>
      <c r="AC312" s="126" t="s">
        <v>162</v>
      </c>
      <c r="AD312" s="127">
        <v>44880</v>
      </c>
      <c r="AE312" s="126"/>
      <c r="AF312" s="127">
        <v>44880</v>
      </c>
      <c r="AG312" s="126"/>
      <c r="AH312" s="126" t="s">
        <v>280</v>
      </c>
      <c r="AI312" s="126" t="s">
        <v>1862</v>
      </c>
    </row>
    <row r="313" spans="1:35" ht="90" x14ac:dyDescent="0.25">
      <c r="A313" s="46" t="str">
        <f t="shared" si="4"/>
        <v>IBA1CRD001182TRADICIONALNUTRESA</v>
      </c>
      <c r="B313" s="126" t="s">
        <v>8</v>
      </c>
      <c r="C313" s="126">
        <v>9332</v>
      </c>
      <c r="D313" s="126" t="s">
        <v>140</v>
      </c>
      <c r="E313" s="126" t="s">
        <v>177</v>
      </c>
      <c r="F313" s="127">
        <v>44548</v>
      </c>
      <c r="G313" s="126" t="s">
        <v>175</v>
      </c>
      <c r="H313" s="126" t="s">
        <v>176</v>
      </c>
      <c r="I313" s="126">
        <v>1</v>
      </c>
      <c r="J313" s="126" t="s">
        <v>184</v>
      </c>
      <c r="K313" s="126" t="s">
        <v>280</v>
      </c>
      <c r="L313" s="126" t="s">
        <v>1801</v>
      </c>
      <c r="M313" s="126">
        <v>0</v>
      </c>
      <c r="N313" s="126">
        <v>0</v>
      </c>
      <c r="O313" s="126" t="s">
        <v>1802</v>
      </c>
      <c r="P313" s="126" t="s">
        <v>172</v>
      </c>
      <c r="Q313" s="126" t="s">
        <v>365</v>
      </c>
      <c r="R313" s="126" t="s">
        <v>365</v>
      </c>
      <c r="S313" s="126" t="s">
        <v>366</v>
      </c>
      <c r="T313" s="126" t="s">
        <v>160</v>
      </c>
      <c r="U313" s="126"/>
      <c r="V313" s="128">
        <v>25000000</v>
      </c>
      <c r="W313" s="128">
        <v>25000000</v>
      </c>
      <c r="X313" s="126" t="s">
        <v>1209</v>
      </c>
      <c r="Y313" s="126">
        <v>0</v>
      </c>
      <c r="Z313" s="126" t="s">
        <v>1863</v>
      </c>
      <c r="AA313" s="126" t="s">
        <v>2</v>
      </c>
      <c r="AB313" s="126" t="s">
        <v>140</v>
      </c>
      <c r="AC313" s="126" t="s">
        <v>162</v>
      </c>
      <c r="AD313" s="127">
        <v>45068</v>
      </c>
      <c r="AE313" s="126"/>
      <c r="AF313" s="127">
        <v>45068</v>
      </c>
      <c r="AG313" s="126"/>
      <c r="AH313" s="126" t="s">
        <v>280</v>
      </c>
      <c r="AI313" s="126" t="s">
        <v>1864</v>
      </c>
    </row>
    <row r="314" spans="1:35" ht="105" x14ac:dyDescent="0.25">
      <c r="A314" s="46" t="str">
        <f t="shared" si="4"/>
        <v>IBA1CRD004411TRADICIONALNUTRESA</v>
      </c>
      <c r="B314" s="126" t="s">
        <v>8</v>
      </c>
      <c r="C314" s="126">
        <v>9334</v>
      </c>
      <c r="D314" s="126" t="s">
        <v>140</v>
      </c>
      <c r="E314" s="126" t="s">
        <v>177</v>
      </c>
      <c r="F314" s="127">
        <v>44550</v>
      </c>
      <c r="G314" s="126" t="s">
        <v>175</v>
      </c>
      <c r="H314" s="126" t="s">
        <v>176</v>
      </c>
      <c r="I314" s="126">
        <v>1</v>
      </c>
      <c r="J314" s="126" t="s">
        <v>360</v>
      </c>
      <c r="K314" s="126" t="s">
        <v>280</v>
      </c>
      <c r="L314" s="126" t="s">
        <v>1865</v>
      </c>
      <c r="M314" s="126">
        <v>0</v>
      </c>
      <c r="N314" s="126">
        <v>124010489527</v>
      </c>
      <c r="O314" s="126" t="s">
        <v>1866</v>
      </c>
      <c r="P314" s="126" t="s">
        <v>170</v>
      </c>
      <c r="Q314" s="126" t="s">
        <v>1867</v>
      </c>
      <c r="R314" s="126" t="s">
        <v>1867</v>
      </c>
      <c r="S314" s="126" t="s">
        <v>1868</v>
      </c>
      <c r="T314" s="126" t="s">
        <v>160</v>
      </c>
      <c r="U314" s="126"/>
      <c r="V314" s="128">
        <v>1000000</v>
      </c>
      <c r="W314" s="128">
        <v>1000000</v>
      </c>
      <c r="X314" s="126" t="s">
        <v>1209</v>
      </c>
      <c r="Y314" s="126">
        <v>0</v>
      </c>
      <c r="Z314" s="126">
        <v>0</v>
      </c>
      <c r="AA314" s="126" t="s">
        <v>2</v>
      </c>
      <c r="AB314" s="126" t="s">
        <v>140</v>
      </c>
      <c r="AC314" s="126" t="s">
        <v>218</v>
      </c>
      <c r="AD314" s="126"/>
      <c r="AE314" s="126"/>
      <c r="AF314" s="126"/>
      <c r="AG314" s="126"/>
      <c r="AH314" s="126" t="s">
        <v>280</v>
      </c>
      <c r="AI314" s="126" t="s">
        <v>1869</v>
      </c>
    </row>
    <row r="315" spans="1:35" ht="105" x14ac:dyDescent="0.25">
      <c r="A315" s="46" t="str">
        <f t="shared" si="4"/>
        <v>IBA1ACT000225AUTOSERVICIONUTRESA</v>
      </c>
      <c r="B315" s="126" t="s">
        <v>8</v>
      </c>
      <c r="C315" s="126">
        <v>9334</v>
      </c>
      <c r="D315" s="126" t="s">
        <v>140</v>
      </c>
      <c r="E315" s="126" t="s">
        <v>177</v>
      </c>
      <c r="F315" s="127">
        <v>44550</v>
      </c>
      <c r="G315" s="126" t="s">
        <v>175</v>
      </c>
      <c r="H315" s="126" t="s">
        <v>176</v>
      </c>
      <c r="I315" s="126">
        <v>1</v>
      </c>
      <c r="J315" s="126" t="s">
        <v>360</v>
      </c>
      <c r="K315" s="126" t="s">
        <v>280</v>
      </c>
      <c r="L315" s="126" t="s">
        <v>1865</v>
      </c>
      <c r="M315" s="126">
        <v>0</v>
      </c>
      <c r="N315" s="126">
        <v>124010489527</v>
      </c>
      <c r="O315" s="126" t="s">
        <v>1866</v>
      </c>
      <c r="P315" s="126" t="s">
        <v>170</v>
      </c>
      <c r="Q315" s="126" t="s">
        <v>136</v>
      </c>
      <c r="R315" s="126" t="s">
        <v>136</v>
      </c>
      <c r="S315" s="126" t="s">
        <v>173</v>
      </c>
      <c r="T315" s="126" t="s">
        <v>160</v>
      </c>
      <c r="U315" s="126" t="s">
        <v>136</v>
      </c>
      <c r="V315" s="128">
        <v>1000000</v>
      </c>
      <c r="W315" s="128">
        <v>1000000</v>
      </c>
      <c r="X315" s="126" t="s">
        <v>1209</v>
      </c>
      <c r="Y315" s="126">
        <v>129623</v>
      </c>
      <c r="Z315" s="126">
        <v>0</v>
      </c>
      <c r="AA315" s="126" t="s">
        <v>0</v>
      </c>
      <c r="AB315" s="126" t="s">
        <v>140</v>
      </c>
      <c r="AC315" s="126" t="s">
        <v>218</v>
      </c>
      <c r="AD315" s="126"/>
      <c r="AE315" s="126"/>
      <c r="AF315" s="126"/>
      <c r="AG315" s="126"/>
      <c r="AH315" s="126" t="s">
        <v>280</v>
      </c>
      <c r="AI315" s="126" t="s">
        <v>1870</v>
      </c>
    </row>
    <row r="316" spans="1:35" ht="105" x14ac:dyDescent="0.25">
      <c r="A316" s="46" t="str">
        <f t="shared" si="4"/>
        <v>IBA1ACT000071TRADICIONALNUTRESA</v>
      </c>
      <c r="B316" s="126" t="s">
        <v>8</v>
      </c>
      <c r="C316" s="126">
        <v>9334</v>
      </c>
      <c r="D316" s="126" t="s">
        <v>140</v>
      </c>
      <c r="E316" s="126" t="s">
        <v>177</v>
      </c>
      <c r="F316" s="127">
        <v>44550</v>
      </c>
      <c r="G316" s="126" t="s">
        <v>175</v>
      </c>
      <c r="H316" s="126" t="s">
        <v>176</v>
      </c>
      <c r="I316" s="126">
        <v>1</v>
      </c>
      <c r="J316" s="126" t="s">
        <v>360</v>
      </c>
      <c r="K316" s="126" t="s">
        <v>280</v>
      </c>
      <c r="L316" s="126" t="s">
        <v>1865</v>
      </c>
      <c r="M316" s="126">
        <v>0</v>
      </c>
      <c r="N316" s="126">
        <v>124010489527</v>
      </c>
      <c r="O316" s="126" t="s">
        <v>1866</v>
      </c>
      <c r="P316" s="126" t="s">
        <v>170</v>
      </c>
      <c r="Q316" s="126" t="s">
        <v>340</v>
      </c>
      <c r="R316" s="126" t="s">
        <v>340</v>
      </c>
      <c r="S316" s="126" t="s">
        <v>341</v>
      </c>
      <c r="T316" s="126" t="s">
        <v>160</v>
      </c>
      <c r="U316" s="126"/>
      <c r="V316" s="128">
        <v>1000000</v>
      </c>
      <c r="W316" s="128">
        <v>1000000</v>
      </c>
      <c r="X316" s="126" t="s">
        <v>1209</v>
      </c>
      <c r="Y316" s="126">
        <v>117637</v>
      </c>
      <c r="Z316" s="126">
        <v>0</v>
      </c>
      <c r="AA316" s="126" t="s">
        <v>2</v>
      </c>
      <c r="AB316" s="126" t="s">
        <v>140</v>
      </c>
      <c r="AC316" s="126" t="s">
        <v>218</v>
      </c>
      <c r="AD316" s="126"/>
      <c r="AE316" s="126"/>
      <c r="AF316" s="126"/>
      <c r="AG316" s="126"/>
      <c r="AH316" s="126" t="s">
        <v>280</v>
      </c>
      <c r="AI316" s="126" t="s">
        <v>1871</v>
      </c>
    </row>
    <row r="317" spans="1:35" ht="180" x14ac:dyDescent="0.25">
      <c r="A317" s="46" t="str">
        <f t="shared" si="4"/>
        <v>IBA1CRD024979CADENASNUTRESA</v>
      </c>
      <c r="B317" s="126" t="s">
        <v>8</v>
      </c>
      <c r="C317" s="126">
        <v>9335</v>
      </c>
      <c r="D317" s="126" t="s">
        <v>140</v>
      </c>
      <c r="E317" s="126" t="s">
        <v>177</v>
      </c>
      <c r="F317" s="127">
        <v>44550</v>
      </c>
      <c r="G317" s="126" t="s">
        <v>175</v>
      </c>
      <c r="H317" s="126" t="s">
        <v>176</v>
      </c>
      <c r="I317" s="126">
        <v>1</v>
      </c>
      <c r="J317" s="126" t="s">
        <v>184</v>
      </c>
      <c r="K317" s="126" t="s">
        <v>280</v>
      </c>
      <c r="L317" s="126" t="s">
        <v>1872</v>
      </c>
      <c r="M317" s="126">
        <v>0</v>
      </c>
      <c r="N317" s="126">
        <v>0</v>
      </c>
      <c r="O317" s="126" t="s">
        <v>1873</v>
      </c>
      <c r="P317" s="126" t="s">
        <v>170</v>
      </c>
      <c r="Q317" s="126" t="s">
        <v>1874</v>
      </c>
      <c r="R317" s="126" t="s">
        <v>1874</v>
      </c>
      <c r="S317" s="126" t="s">
        <v>1875</v>
      </c>
      <c r="T317" s="126" t="s">
        <v>160</v>
      </c>
      <c r="U317" s="126"/>
      <c r="V317" s="128">
        <v>1000000</v>
      </c>
      <c r="W317" s="128">
        <v>1000000</v>
      </c>
      <c r="X317" s="126" t="s">
        <v>1209</v>
      </c>
      <c r="Y317" s="126">
        <v>0</v>
      </c>
      <c r="Z317" s="126">
        <v>0</v>
      </c>
      <c r="AA317" s="126" t="s">
        <v>1</v>
      </c>
      <c r="AB317" s="126" t="s">
        <v>140</v>
      </c>
      <c r="AC317" s="126" t="s">
        <v>213</v>
      </c>
      <c r="AD317" s="126"/>
      <c r="AE317" s="126"/>
      <c r="AF317" s="126"/>
      <c r="AG317" s="126"/>
      <c r="AH317" s="126" t="s">
        <v>280</v>
      </c>
      <c r="AI317" s="126" t="s">
        <v>1876</v>
      </c>
    </row>
    <row r="318" spans="1:35" ht="75" x14ac:dyDescent="0.25">
      <c r="A318" s="46" t="str">
        <f t="shared" si="4"/>
        <v>IBA1CRD025040AUTOSERVICIONUTRESA</v>
      </c>
      <c r="B318" s="126" t="s">
        <v>8</v>
      </c>
      <c r="C318" s="126">
        <v>9337</v>
      </c>
      <c r="D318" s="126" t="s">
        <v>140</v>
      </c>
      <c r="E318" s="126" t="s">
        <v>177</v>
      </c>
      <c r="F318" s="127">
        <v>44550</v>
      </c>
      <c r="G318" s="126" t="s">
        <v>175</v>
      </c>
      <c r="H318" s="126" t="s">
        <v>176</v>
      </c>
      <c r="I318" s="126">
        <v>1</v>
      </c>
      <c r="J318" s="126" t="s">
        <v>360</v>
      </c>
      <c r="K318" s="126" t="s">
        <v>280</v>
      </c>
      <c r="L318" s="126" t="s">
        <v>1877</v>
      </c>
      <c r="M318" s="126">
        <v>0</v>
      </c>
      <c r="N318" s="126">
        <v>14114370006</v>
      </c>
      <c r="O318" s="126" t="s">
        <v>1878</v>
      </c>
      <c r="P318" s="126" t="s">
        <v>170</v>
      </c>
      <c r="Q318" s="126" t="s">
        <v>1461</v>
      </c>
      <c r="R318" s="126" t="s">
        <v>1461</v>
      </c>
      <c r="S318" s="126" t="s">
        <v>1462</v>
      </c>
      <c r="T318" s="126" t="s">
        <v>160</v>
      </c>
      <c r="U318" s="126"/>
      <c r="V318" s="128">
        <v>3000000</v>
      </c>
      <c r="W318" s="128">
        <v>3000000</v>
      </c>
      <c r="X318" s="126" t="s">
        <v>1209</v>
      </c>
      <c r="Y318" s="126">
        <v>0</v>
      </c>
      <c r="Z318" s="126">
        <v>0</v>
      </c>
      <c r="AA318" s="126" t="s">
        <v>0</v>
      </c>
      <c r="AB318" s="126" t="s">
        <v>140</v>
      </c>
      <c r="AC318" s="126" t="s">
        <v>162</v>
      </c>
      <c r="AD318" s="126"/>
      <c r="AE318" s="126"/>
      <c r="AF318" s="126"/>
      <c r="AG318" s="126"/>
      <c r="AH318" s="126" t="s">
        <v>280</v>
      </c>
      <c r="AI318" s="126" t="s">
        <v>1879</v>
      </c>
    </row>
    <row r="319" spans="1:35" ht="75" x14ac:dyDescent="0.25">
      <c r="A319" s="46" t="str">
        <f t="shared" si="4"/>
        <v>IBA1CRD025040TRADICIONALNUTRESA</v>
      </c>
      <c r="B319" s="126" t="s">
        <v>8</v>
      </c>
      <c r="C319" s="126">
        <v>9337</v>
      </c>
      <c r="D319" s="126" t="s">
        <v>140</v>
      </c>
      <c r="E319" s="126" t="s">
        <v>177</v>
      </c>
      <c r="F319" s="127">
        <v>44550</v>
      </c>
      <c r="G319" s="126" t="s">
        <v>175</v>
      </c>
      <c r="H319" s="126" t="s">
        <v>176</v>
      </c>
      <c r="I319" s="126">
        <v>1</v>
      </c>
      <c r="J319" s="126" t="s">
        <v>360</v>
      </c>
      <c r="K319" s="126" t="s">
        <v>280</v>
      </c>
      <c r="L319" s="126" t="s">
        <v>1877</v>
      </c>
      <c r="M319" s="126">
        <v>0</v>
      </c>
      <c r="N319" s="126">
        <v>14114370006</v>
      </c>
      <c r="O319" s="126" t="s">
        <v>1878</v>
      </c>
      <c r="P319" s="126" t="s">
        <v>170</v>
      </c>
      <c r="Q319" s="126" t="s">
        <v>1461</v>
      </c>
      <c r="R319" s="126" t="s">
        <v>1461</v>
      </c>
      <c r="S319" s="126" t="s">
        <v>1462</v>
      </c>
      <c r="T319" s="126" t="s">
        <v>160</v>
      </c>
      <c r="U319" s="126"/>
      <c r="V319" s="128">
        <v>5000000</v>
      </c>
      <c r="W319" s="128">
        <v>5000000</v>
      </c>
      <c r="X319" s="126" t="s">
        <v>1209</v>
      </c>
      <c r="Y319" s="126">
        <v>0</v>
      </c>
      <c r="Z319" s="126">
        <v>0</v>
      </c>
      <c r="AA319" s="126" t="s">
        <v>2</v>
      </c>
      <c r="AB319" s="126" t="s">
        <v>140</v>
      </c>
      <c r="AC319" s="126" t="s">
        <v>162</v>
      </c>
      <c r="AD319" s="126"/>
      <c r="AE319" s="126"/>
      <c r="AF319" s="126"/>
      <c r="AG319" s="126"/>
      <c r="AH319" s="126" t="s">
        <v>280</v>
      </c>
      <c r="AI319" s="126" t="s">
        <v>1880</v>
      </c>
    </row>
    <row r="320" spans="1:35" ht="75" x14ac:dyDescent="0.25">
      <c r="A320" s="46" t="str">
        <f t="shared" si="4"/>
        <v>IBA1CRD025041TRADICIONALNUTRESA</v>
      </c>
      <c r="B320" s="126" t="s">
        <v>8</v>
      </c>
      <c r="C320" s="126">
        <v>9337</v>
      </c>
      <c r="D320" s="126" t="s">
        <v>140</v>
      </c>
      <c r="E320" s="126" t="s">
        <v>177</v>
      </c>
      <c r="F320" s="127">
        <v>44550</v>
      </c>
      <c r="G320" s="126" t="s">
        <v>175</v>
      </c>
      <c r="H320" s="126" t="s">
        <v>176</v>
      </c>
      <c r="I320" s="126">
        <v>1</v>
      </c>
      <c r="J320" s="126" t="s">
        <v>360</v>
      </c>
      <c r="K320" s="126" t="s">
        <v>280</v>
      </c>
      <c r="L320" s="126" t="s">
        <v>1877</v>
      </c>
      <c r="M320" s="126">
        <v>0</v>
      </c>
      <c r="N320" s="126">
        <v>14114370006</v>
      </c>
      <c r="O320" s="126" t="s">
        <v>1878</v>
      </c>
      <c r="P320" s="126" t="s">
        <v>170</v>
      </c>
      <c r="Q320" s="126" t="s">
        <v>1327</v>
      </c>
      <c r="R320" s="126" t="s">
        <v>1327</v>
      </c>
      <c r="S320" s="126" t="s">
        <v>1328</v>
      </c>
      <c r="T320" s="126" t="s">
        <v>160</v>
      </c>
      <c r="U320" s="126"/>
      <c r="V320" s="128">
        <v>29000000</v>
      </c>
      <c r="W320" s="128">
        <v>29000000</v>
      </c>
      <c r="X320" s="126" t="s">
        <v>1209</v>
      </c>
      <c r="Y320" s="126">
        <v>0</v>
      </c>
      <c r="Z320" s="126">
        <v>0</v>
      </c>
      <c r="AA320" s="126" t="s">
        <v>2</v>
      </c>
      <c r="AB320" s="126" t="s">
        <v>140</v>
      </c>
      <c r="AC320" s="126" t="s">
        <v>162</v>
      </c>
      <c r="AD320" s="126"/>
      <c r="AE320" s="126"/>
      <c r="AF320" s="126"/>
      <c r="AG320" s="126"/>
      <c r="AH320" s="126" t="s">
        <v>280</v>
      </c>
      <c r="AI320" s="126" t="s">
        <v>1881</v>
      </c>
    </row>
    <row r="321" spans="1:35" ht="75" x14ac:dyDescent="0.25">
      <c r="A321" s="46" t="str">
        <f t="shared" si="4"/>
        <v>IBA1CRD025041AUTOSERVICIONUTRESA</v>
      </c>
      <c r="B321" s="126" t="s">
        <v>8</v>
      </c>
      <c r="C321" s="126">
        <v>9337</v>
      </c>
      <c r="D321" s="126" t="s">
        <v>140</v>
      </c>
      <c r="E321" s="126" t="s">
        <v>177</v>
      </c>
      <c r="F321" s="127">
        <v>44550</v>
      </c>
      <c r="G321" s="126" t="s">
        <v>175</v>
      </c>
      <c r="H321" s="126" t="s">
        <v>176</v>
      </c>
      <c r="I321" s="126">
        <v>1</v>
      </c>
      <c r="J321" s="126" t="s">
        <v>360</v>
      </c>
      <c r="K321" s="126" t="s">
        <v>280</v>
      </c>
      <c r="L321" s="126" t="s">
        <v>1877</v>
      </c>
      <c r="M321" s="126">
        <v>0</v>
      </c>
      <c r="N321" s="126">
        <v>14114370006</v>
      </c>
      <c r="O321" s="126" t="s">
        <v>1878</v>
      </c>
      <c r="P321" s="126" t="s">
        <v>170</v>
      </c>
      <c r="Q321" s="126" t="s">
        <v>1327</v>
      </c>
      <c r="R321" s="126" t="s">
        <v>1327</v>
      </c>
      <c r="S321" s="126" t="s">
        <v>1328</v>
      </c>
      <c r="T321" s="126" t="s">
        <v>160</v>
      </c>
      <c r="U321" s="126"/>
      <c r="V321" s="128">
        <v>49000000</v>
      </c>
      <c r="W321" s="128">
        <v>49000000</v>
      </c>
      <c r="X321" s="126" t="s">
        <v>1209</v>
      </c>
      <c r="Y321" s="126">
        <v>0</v>
      </c>
      <c r="Z321" s="126">
        <v>0</v>
      </c>
      <c r="AA321" s="126" t="s">
        <v>0</v>
      </c>
      <c r="AB321" s="126" t="s">
        <v>140</v>
      </c>
      <c r="AC321" s="126" t="s">
        <v>162</v>
      </c>
      <c r="AD321" s="126"/>
      <c r="AE321" s="126"/>
      <c r="AF321" s="126"/>
      <c r="AG321" s="126"/>
      <c r="AH321" s="126" t="s">
        <v>280</v>
      </c>
      <c r="AI321" s="126" t="s">
        <v>1882</v>
      </c>
    </row>
    <row r="322" spans="1:35" ht="90" x14ac:dyDescent="0.25">
      <c r="A322" s="46" t="str">
        <f t="shared" si="4"/>
        <v>IBA1CRD023414CADENASNUTRESA</v>
      </c>
      <c r="B322" s="126" t="s">
        <v>8</v>
      </c>
      <c r="C322" s="126">
        <v>9342</v>
      </c>
      <c r="D322" s="126" t="s">
        <v>140</v>
      </c>
      <c r="E322" s="126" t="s">
        <v>177</v>
      </c>
      <c r="F322" s="127">
        <v>44552</v>
      </c>
      <c r="G322" s="126" t="s">
        <v>175</v>
      </c>
      <c r="H322" s="126" t="s">
        <v>176</v>
      </c>
      <c r="I322" s="126">
        <v>1</v>
      </c>
      <c r="J322" s="126" t="s">
        <v>360</v>
      </c>
      <c r="K322" s="126" t="s">
        <v>1883</v>
      </c>
      <c r="L322" s="126" t="s">
        <v>1884</v>
      </c>
      <c r="M322" s="126">
        <v>0</v>
      </c>
      <c r="N322" s="126">
        <v>36001861404</v>
      </c>
      <c r="O322" s="126" t="s">
        <v>1885</v>
      </c>
      <c r="P322" s="126" t="s">
        <v>171</v>
      </c>
      <c r="Q322" s="126" t="s">
        <v>1886</v>
      </c>
      <c r="R322" s="126" t="s">
        <v>1886</v>
      </c>
      <c r="S322" s="126" t="s">
        <v>1887</v>
      </c>
      <c r="T322" s="126" t="s">
        <v>160</v>
      </c>
      <c r="U322" s="126"/>
      <c r="V322" s="128">
        <v>1000000</v>
      </c>
      <c r="W322" s="128">
        <v>1000000</v>
      </c>
      <c r="X322" s="126" t="s">
        <v>1209</v>
      </c>
      <c r="Y322" s="126">
        <v>0</v>
      </c>
      <c r="Z322" s="126">
        <v>0</v>
      </c>
      <c r="AA322" s="126" t="s">
        <v>1</v>
      </c>
      <c r="AB322" s="126" t="s">
        <v>140</v>
      </c>
      <c r="AC322" s="126" t="s">
        <v>162</v>
      </c>
      <c r="AD322" s="126"/>
      <c r="AE322" s="126"/>
      <c r="AF322" s="126"/>
      <c r="AG322" s="126"/>
      <c r="AH322" s="126" t="s">
        <v>1883</v>
      </c>
      <c r="AI322" s="126" t="s">
        <v>1888</v>
      </c>
    </row>
    <row r="323" spans="1:35" ht="75" x14ac:dyDescent="0.25">
      <c r="A323" s="46" t="str">
        <f t="shared" ref="A323:A386" si="5">+CONCATENATE(B323,Q323,AA323,AB323)</f>
        <v>IBA1CRD025023AUTOSERVICIONUTRESA</v>
      </c>
      <c r="B323" s="126" t="s">
        <v>8</v>
      </c>
      <c r="C323" s="126">
        <v>9343</v>
      </c>
      <c r="D323" s="126" t="s">
        <v>140</v>
      </c>
      <c r="E323" s="126" t="s">
        <v>177</v>
      </c>
      <c r="F323" s="127">
        <v>44552</v>
      </c>
      <c r="G323" s="126" t="s">
        <v>175</v>
      </c>
      <c r="H323" s="126" t="s">
        <v>176</v>
      </c>
      <c r="I323" s="126">
        <v>1</v>
      </c>
      <c r="J323" s="126" t="s">
        <v>184</v>
      </c>
      <c r="K323" s="126" t="s">
        <v>1883</v>
      </c>
      <c r="L323" s="126" t="s">
        <v>1889</v>
      </c>
      <c r="M323" s="126">
        <v>0</v>
      </c>
      <c r="N323" s="126">
        <v>300002755097</v>
      </c>
      <c r="O323" s="126" t="s">
        <v>1890</v>
      </c>
      <c r="P323" s="126" t="s">
        <v>170</v>
      </c>
      <c r="Q323" s="126" t="s">
        <v>765</v>
      </c>
      <c r="R323" s="126" t="s">
        <v>765</v>
      </c>
      <c r="S323" s="126" t="s">
        <v>766</v>
      </c>
      <c r="T323" s="126" t="s">
        <v>160</v>
      </c>
      <c r="U323" s="126"/>
      <c r="V323" s="128">
        <v>15000000</v>
      </c>
      <c r="W323" s="128">
        <v>15000000</v>
      </c>
      <c r="X323" s="126" t="s">
        <v>1209</v>
      </c>
      <c r="Y323" s="126">
        <v>0</v>
      </c>
      <c r="Z323" s="126">
        <v>0</v>
      </c>
      <c r="AA323" s="126" t="s">
        <v>0</v>
      </c>
      <c r="AB323" s="126" t="s">
        <v>140</v>
      </c>
      <c r="AC323" s="126" t="s">
        <v>162</v>
      </c>
      <c r="AD323" s="126"/>
      <c r="AE323" s="126"/>
      <c r="AF323" s="126"/>
      <c r="AG323" s="126"/>
      <c r="AH323" s="126" t="s">
        <v>1883</v>
      </c>
      <c r="AI323" s="126" t="s">
        <v>1891</v>
      </c>
    </row>
    <row r="324" spans="1:35" ht="105" x14ac:dyDescent="0.25">
      <c r="A324" s="46" t="str">
        <f t="shared" si="5"/>
        <v>MEDECRD019238CADENASBPO</v>
      </c>
      <c r="B324" s="126" t="s">
        <v>9</v>
      </c>
      <c r="C324" s="126">
        <v>50415</v>
      </c>
      <c r="D324" s="126" t="s">
        <v>140</v>
      </c>
      <c r="E324" s="126" t="s">
        <v>177</v>
      </c>
      <c r="F324" s="127">
        <v>44527</v>
      </c>
      <c r="G324" s="126" t="s">
        <v>175</v>
      </c>
      <c r="H324" s="126" t="s">
        <v>176</v>
      </c>
      <c r="I324" s="126">
        <v>1</v>
      </c>
      <c r="J324" s="126" t="s">
        <v>183</v>
      </c>
      <c r="K324" s="126" t="s">
        <v>316</v>
      </c>
      <c r="L324" s="126" t="s">
        <v>1892</v>
      </c>
      <c r="M324" s="126">
        <v>1</v>
      </c>
      <c r="N324" s="126">
        <v>7418</v>
      </c>
      <c r="O324" s="126" t="s">
        <v>1893</v>
      </c>
      <c r="P324" s="126" t="s">
        <v>169</v>
      </c>
      <c r="Q324" s="126" t="s">
        <v>182</v>
      </c>
      <c r="R324" s="126" t="s">
        <v>182</v>
      </c>
      <c r="S324" s="126" t="s">
        <v>206</v>
      </c>
      <c r="T324" s="126" t="s">
        <v>160</v>
      </c>
      <c r="U324" s="126"/>
      <c r="V324" s="128">
        <v>1000000</v>
      </c>
      <c r="W324" s="128">
        <v>1000000</v>
      </c>
      <c r="X324" s="126" t="s">
        <v>1209</v>
      </c>
      <c r="Y324" s="126">
        <v>0</v>
      </c>
      <c r="Z324" s="126">
        <v>0</v>
      </c>
      <c r="AA324" s="126" t="s">
        <v>1</v>
      </c>
      <c r="AB324" s="126" t="s">
        <v>161</v>
      </c>
      <c r="AC324" s="126" t="s">
        <v>162</v>
      </c>
      <c r="AD324" s="126"/>
      <c r="AE324" s="126"/>
      <c r="AF324" s="126"/>
      <c r="AG324" s="126"/>
      <c r="AH324" s="126" t="s">
        <v>316</v>
      </c>
      <c r="AI324" s="126" t="s">
        <v>1894</v>
      </c>
    </row>
    <row r="325" spans="1:35" ht="120" x14ac:dyDescent="0.25">
      <c r="A325" s="46" t="str">
        <f t="shared" si="5"/>
        <v>MEDECRD019238AUTOSERVICIOBPO</v>
      </c>
      <c r="B325" s="126" t="s">
        <v>9</v>
      </c>
      <c r="C325" s="126">
        <v>50416</v>
      </c>
      <c r="D325" s="126" t="s">
        <v>140</v>
      </c>
      <c r="E325" s="126" t="s">
        <v>177</v>
      </c>
      <c r="F325" s="127">
        <v>44527</v>
      </c>
      <c r="G325" s="126" t="s">
        <v>175</v>
      </c>
      <c r="H325" s="126" t="s">
        <v>176</v>
      </c>
      <c r="I325" s="126">
        <v>1</v>
      </c>
      <c r="J325" s="126" t="s">
        <v>184</v>
      </c>
      <c r="K325" s="126" t="s">
        <v>316</v>
      </c>
      <c r="L325" s="126" t="s">
        <v>1895</v>
      </c>
      <c r="M325" s="126">
        <v>1</v>
      </c>
      <c r="N325" s="126">
        <v>7420</v>
      </c>
      <c r="O325" s="126" t="s">
        <v>1896</v>
      </c>
      <c r="P325" s="126" t="s">
        <v>169</v>
      </c>
      <c r="Q325" s="126" t="s">
        <v>182</v>
      </c>
      <c r="R325" s="126" t="s">
        <v>182</v>
      </c>
      <c r="S325" s="126" t="s">
        <v>206</v>
      </c>
      <c r="T325" s="126" t="s">
        <v>160</v>
      </c>
      <c r="U325" s="126"/>
      <c r="V325" s="128">
        <v>1000000</v>
      </c>
      <c r="W325" s="128">
        <v>1000000</v>
      </c>
      <c r="X325" s="126" t="s">
        <v>1209</v>
      </c>
      <c r="Y325" s="126">
        <v>0</v>
      </c>
      <c r="Z325" s="126">
        <v>0</v>
      </c>
      <c r="AA325" s="126" t="s">
        <v>0</v>
      </c>
      <c r="AB325" s="126" t="s">
        <v>161</v>
      </c>
      <c r="AC325" s="126" t="s">
        <v>162</v>
      </c>
      <c r="AD325" s="126"/>
      <c r="AE325" s="126"/>
      <c r="AF325" s="126"/>
      <c r="AG325" s="126"/>
      <c r="AH325" s="126" t="s">
        <v>316</v>
      </c>
      <c r="AI325" s="126" t="s">
        <v>1897</v>
      </c>
    </row>
    <row r="326" spans="1:35" ht="180" x14ac:dyDescent="0.25">
      <c r="A326" s="46" t="str">
        <f t="shared" si="5"/>
        <v>MEDEACT000436AUTOSERVICIOBPO</v>
      </c>
      <c r="B326" s="126" t="s">
        <v>9</v>
      </c>
      <c r="C326" s="126">
        <v>50433</v>
      </c>
      <c r="D326" s="126" t="s">
        <v>140</v>
      </c>
      <c r="E326" s="126" t="s">
        <v>177</v>
      </c>
      <c r="F326" s="127">
        <v>44527</v>
      </c>
      <c r="G326" s="126" t="s">
        <v>175</v>
      </c>
      <c r="H326" s="126" t="s">
        <v>176</v>
      </c>
      <c r="I326" s="126">
        <v>1</v>
      </c>
      <c r="J326" s="126" t="s">
        <v>184</v>
      </c>
      <c r="K326" s="126" t="s">
        <v>316</v>
      </c>
      <c r="L326" s="126" t="s">
        <v>1898</v>
      </c>
      <c r="M326" s="126">
        <v>1</v>
      </c>
      <c r="N326" s="126">
        <v>7422</v>
      </c>
      <c r="O326" s="126" t="s">
        <v>624</v>
      </c>
      <c r="P326" s="126" t="s">
        <v>170</v>
      </c>
      <c r="Q326" s="126" t="s">
        <v>349</v>
      </c>
      <c r="R326" s="126" t="s">
        <v>349</v>
      </c>
      <c r="S326" s="126" t="s">
        <v>350</v>
      </c>
      <c r="T326" s="126" t="s">
        <v>160</v>
      </c>
      <c r="U326" s="126"/>
      <c r="V326" s="128">
        <v>1000000</v>
      </c>
      <c r="W326" s="128">
        <v>1000000</v>
      </c>
      <c r="X326" s="126" t="s">
        <v>1209</v>
      </c>
      <c r="Y326" s="126">
        <v>122434</v>
      </c>
      <c r="Z326" s="126">
        <v>0</v>
      </c>
      <c r="AA326" s="126" t="s">
        <v>0</v>
      </c>
      <c r="AB326" s="126" t="s">
        <v>161</v>
      </c>
      <c r="AC326" s="126" t="s">
        <v>165</v>
      </c>
      <c r="AD326" s="126"/>
      <c r="AE326" s="126"/>
      <c r="AF326" s="126"/>
      <c r="AG326" s="126"/>
      <c r="AH326" s="126" t="s">
        <v>316</v>
      </c>
      <c r="AI326" s="126" t="s">
        <v>1899</v>
      </c>
    </row>
    <row r="327" spans="1:35" ht="150" x14ac:dyDescent="0.25">
      <c r="A327" s="46" t="str">
        <f t="shared" si="5"/>
        <v>MEDECRD019238AUTOSERVICIOBPO</v>
      </c>
      <c r="B327" s="126" t="s">
        <v>9</v>
      </c>
      <c r="C327" s="126">
        <v>50434</v>
      </c>
      <c r="D327" s="126" t="s">
        <v>140</v>
      </c>
      <c r="E327" s="126" t="s">
        <v>177</v>
      </c>
      <c r="F327" s="127">
        <v>44527</v>
      </c>
      <c r="G327" s="126" t="s">
        <v>175</v>
      </c>
      <c r="H327" s="126" t="s">
        <v>176</v>
      </c>
      <c r="I327" s="126">
        <v>1</v>
      </c>
      <c r="J327" s="126" t="s">
        <v>184</v>
      </c>
      <c r="K327" s="126" t="s">
        <v>316</v>
      </c>
      <c r="L327" s="126" t="s">
        <v>1900</v>
      </c>
      <c r="M327" s="126">
        <v>1</v>
      </c>
      <c r="N327" s="126">
        <v>7419</v>
      </c>
      <c r="O327" s="126" t="s">
        <v>1901</v>
      </c>
      <c r="P327" s="126" t="s">
        <v>169</v>
      </c>
      <c r="Q327" s="126" t="s">
        <v>182</v>
      </c>
      <c r="R327" s="126" t="s">
        <v>182</v>
      </c>
      <c r="S327" s="126" t="s">
        <v>206</v>
      </c>
      <c r="T327" s="126" t="s">
        <v>160</v>
      </c>
      <c r="U327" s="126"/>
      <c r="V327" s="128">
        <v>1000000</v>
      </c>
      <c r="W327" s="128">
        <v>1000000</v>
      </c>
      <c r="X327" s="126" t="s">
        <v>1209</v>
      </c>
      <c r="Y327" s="126">
        <v>0</v>
      </c>
      <c r="Z327" s="126">
        <v>0</v>
      </c>
      <c r="AA327" s="126" t="s">
        <v>0</v>
      </c>
      <c r="AB327" s="126" t="s">
        <v>161</v>
      </c>
      <c r="AC327" s="126" t="s">
        <v>162</v>
      </c>
      <c r="AD327" s="126"/>
      <c r="AE327" s="126"/>
      <c r="AF327" s="126"/>
      <c r="AG327" s="126"/>
      <c r="AH327" s="126" t="s">
        <v>316</v>
      </c>
      <c r="AI327" s="126" t="s">
        <v>1902</v>
      </c>
    </row>
    <row r="328" spans="1:35" ht="165" x14ac:dyDescent="0.25">
      <c r="A328" s="46" t="str">
        <f t="shared" si="5"/>
        <v>MEDECRD024388AUTOSERVICIONUTRESA</v>
      </c>
      <c r="B328" s="126" t="s">
        <v>9</v>
      </c>
      <c r="C328" s="126">
        <v>50436</v>
      </c>
      <c r="D328" s="126" t="s">
        <v>140</v>
      </c>
      <c r="E328" s="126" t="s">
        <v>177</v>
      </c>
      <c r="F328" s="127">
        <v>44529</v>
      </c>
      <c r="G328" s="126" t="s">
        <v>175</v>
      </c>
      <c r="H328" s="126" t="s">
        <v>176</v>
      </c>
      <c r="I328" s="126">
        <v>1</v>
      </c>
      <c r="J328" s="126" t="s">
        <v>184</v>
      </c>
      <c r="K328" s="126" t="s">
        <v>316</v>
      </c>
      <c r="L328" s="126" t="s">
        <v>1903</v>
      </c>
      <c r="M328" s="126">
        <v>1</v>
      </c>
      <c r="N328" s="126">
        <v>23304</v>
      </c>
      <c r="O328" s="126" t="s">
        <v>625</v>
      </c>
      <c r="P328" s="126" t="s">
        <v>171</v>
      </c>
      <c r="Q328" s="126" t="s">
        <v>626</v>
      </c>
      <c r="R328" s="126" t="s">
        <v>626</v>
      </c>
      <c r="S328" s="126" t="s">
        <v>627</v>
      </c>
      <c r="T328" s="126" t="s">
        <v>160</v>
      </c>
      <c r="U328" s="126"/>
      <c r="V328" s="128">
        <v>60000000</v>
      </c>
      <c r="W328" s="128">
        <v>60000000</v>
      </c>
      <c r="X328" s="126" t="s">
        <v>1209</v>
      </c>
      <c r="Y328" s="126">
        <v>0</v>
      </c>
      <c r="Z328" s="126">
        <v>0</v>
      </c>
      <c r="AA328" s="126" t="s">
        <v>0</v>
      </c>
      <c r="AB328" s="126" t="s">
        <v>140</v>
      </c>
      <c r="AC328" s="126" t="s">
        <v>162</v>
      </c>
      <c r="AD328" s="126"/>
      <c r="AE328" s="126"/>
      <c r="AF328" s="126"/>
      <c r="AG328" s="126"/>
      <c r="AH328" s="126" t="s">
        <v>316</v>
      </c>
      <c r="AI328" s="126" t="s">
        <v>1904</v>
      </c>
    </row>
    <row r="329" spans="1:35" ht="165" x14ac:dyDescent="0.25">
      <c r="A329" s="46" t="str">
        <f t="shared" si="5"/>
        <v>MEDECRD024387AUTOSERVICIONUTRESA</v>
      </c>
      <c r="B329" s="126" t="s">
        <v>9</v>
      </c>
      <c r="C329" s="126">
        <v>50437</v>
      </c>
      <c r="D329" s="126" t="s">
        <v>140</v>
      </c>
      <c r="E329" s="126" t="s">
        <v>177</v>
      </c>
      <c r="F329" s="127">
        <v>44529</v>
      </c>
      <c r="G329" s="126" t="s">
        <v>175</v>
      </c>
      <c r="H329" s="126" t="s">
        <v>176</v>
      </c>
      <c r="I329" s="126">
        <v>1</v>
      </c>
      <c r="J329" s="126" t="s">
        <v>184</v>
      </c>
      <c r="K329" s="126" t="s">
        <v>316</v>
      </c>
      <c r="L329" s="126" t="s">
        <v>1905</v>
      </c>
      <c r="M329" s="126">
        <v>1</v>
      </c>
      <c r="N329" s="126">
        <v>23305</v>
      </c>
      <c r="O329" s="126" t="s">
        <v>628</v>
      </c>
      <c r="P329" s="126" t="s">
        <v>171</v>
      </c>
      <c r="Q329" s="126" t="s">
        <v>629</v>
      </c>
      <c r="R329" s="126" t="s">
        <v>629</v>
      </c>
      <c r="S329" s="126" t="s">
        <v>630</v>
      </c>
      <c r="T329" s="126" t="s">
        <v>160</v>
      </c>
      <c r="U329" s="126"/>
      <c r="V329" s="128">
        <v>60000000</v>
      </c>
      <c r="W329" s="128">
        <v>60000000</v>
      </c>
      <c r="X329" s="126" t="s">
        <v>1209</v>
      </c>
      <c r="Y329" s="126">
        <v>0</v>
      </c>
      <c r="Z329" s="126">
        <v>0</v>
      </c>
      <c r="AA329" s="126" t="s">
        <v>0</v>
      </c>
      <c r="AB329" s="126" t="s">
        <v>140</v>
      </c>
      <c r="AC329" s="126" t="s">
        <v>162</v>
      </c>
      <c r="AD329" s="126"/>
      <c r="AE329" s="126"/>
      <c r="AF329" s="126"/>
      <c r="AG329" s="126"/>
      <c r="AH329" s="126" t="s">
        <v>316</v>
      </c>
      <c r="AI329" s="126" t="s">
        <v>1906</v>
      </c>
    </row>
    <row r="330" spans="1:35" ht="150" x14ac:dyDescent="0.25">
      <c r="A330" s="46" t="str">
        <f t="shared" si="5"/>
        <v>MEDECRD024953CADENASNUTRESA</v>
      </c>
      <c r="B330" s="126" t="s">
        <v>9</v>
      </c>
      <c r="C330" s="126">
        <v>50485</v>
      </c>
      <c r="D330" s="126" t="s">
        <v>140</v>
      </c>
      <c r="E330" s="126" t="s">
        <v>177</v>
      </c>
      <c r="F330" s="127">
        <v>44530</v>
      </c>
      <c r="G330" s="126" t="s">
        <v>175</v>
      </c>
      <c r="H330" s="126" t="s">
        <v>176</v>
      </c>
      <c r="I330" s="126">
        <v>1</v>
      </c>
      <c r="J330" s="126" t="s">
        <v>184</v>
      </c>
      <c r="K330" s="126" t="s">
        <v>316</v>
      </c>
      <c r="L330" s="126" t="s">
        <v>1907</v>
      </c>
      <c r="M330" s="126">
        <v>1</v>
      </c>
      <c r="N330" s="126">
        <v>140967</v>
      </c>
      <c r="O330" s="126" t="s">
        <v>1908</v>
      </c>
      <c r="P330" s="126" t="s">
        <v>170</v>
      </c>
      <c r="Q330" s="126" t="s">
        <v>450</v>
      </c>
      <c r="R330" s="126" t="s">
        <v>450</v>
      </c>
      <c r="S330" s="126" t="s">
        <v>451</v>
      </c>
      <c r="T330" s="126" t="s">
        <v>160</v>
      </c>
      <c r="U330" s="126"/>
      <c r="V330" s="128">
        <v>1000000</v>
      </c>
      <c r="W330" s="128">
        <v>1000000</v>
      </c>
      <c r="X330" s="126" t="s">
        <v>1209</v>
      </c>
      <c r="Y330" s="126">
        <v>0</v>
      </c>
      <c r="Z330" s="126">
        <v>0</v>
      </c>
      <c r="AA330" s="126" t="s">
        <v>1</v>
      </c>
      <c r="AB330" s="126" t="s">
        <v>140</v>
      </c>
      <c r="AC330" s="126" t="s">
        <v>162</v>
      </c>
      <c r="AD330" s="126"/>
      <c r="AE330" s="126"/>
      <c r="AF330" s="126"/>
      <c r="AG330" s="126"/>
      <c r="AH330" s="126" t="s">
        <v>316</v>
      </c>
      <c r="AI330" s="126" t="s">
        <v>1909</v>
      </c>
    </row>
    <row r="331" spans="1:35" ht="135" x14ac:dyDescent="0.25">
      <c r="A331" s="46" t="str">
        <f t="shared" si="5"/>
        <v>MEDEACT000377AUTOSERVICIONUTRESA</v>
      </c>
      <c r="B331" s="126" t="s">
        <v>9</v>
      </c>
      <c r="C331" s="126">
        <v>50496</v>
      </c>
      <c r="D331" s="126" t="s">
        <v>140</v>
      </c>
      <c r="E331" s="126" t="s">
        <v>177</v>
      </c>
      <c r="F331" s="127">
        <v>44530</v>
      </c>
      <c r="G331" s="126" t="s">
        <v>175</v>
      </c>
      <c r="H331" s="126" t="s">
        <v>176</v>
      </c>
      <c r="I331" s="126">
        <v>1</v>
      </c>
      <c r="J331" s="126" t="s">
        <v>183</v>
      </c>
      <c r="K331" s="126" t="s">
        <v>316</v>
      </c>
      <c r="L331" s="126" t="s">
        <v>1910</v>
      </c>
      <c r="M331" s="126">
        <v>1</v>
      </c>
      <c r="N331" s="126">
        <v>7442</v>
      </c>
      <c r="O331" s="126" t="s">
        <v>1911</v>
      </c>
      <c r="P331" s="126" t="s">
        <v>170</v>
      </c>
      <c r="Q331" s="126" t="s">
        <v>631</v>
      </c>
      <c r="R331" s="126" t="s">
        <v>631</v>
      </c>
      <c r="S331" s="126" t="s">
        <v>632</v>
      </c>
      <c r="T331" s="126" t="s">
        <v>160</v>
      </c>
      <c r="U331" s="126"/>
      <c r="V331" s="128">
        <v>1000000</v>
      </c>
      <c r="W331" s="128">
        <v>1000000</v>
      </c>
      <c r="X331" s="126" t="s">
        <v>1209</v>
      </c>
      <c r="Y331" s="126">
        <v>90733</v>
      </c>
      <c r="Z331" s="126">
        <v>0</v>
      </c>
      <c r="AA331" s="126" t="s">
        <v>0</v>
      </c>
      <c r="AB331" s="126" t="s">
        <v>140</v>
      </c>
      <c r="AC331" s="126" t="s">
        <v>218</v>
      </c>
      <c r="AD331" s="126"/>
      <c r="AE331" s="126"/>
      <c r="AF331" s="126"/>
      <c r="AG331" s="126"/>
      <c r="AH331" s="126" t="s">
        <v>316</v>
      </c>
      <c r="AI331" s="126" t="s">
        <v>1912</v>
      </c>
    </row>
    <row r="332" spans="1:35" ht="135" x14ac:dyDescent="0.25">
      <c r="A332" s="46" t="str">
        <f t="shared" si="5"/>
        <v>MEDEACT000436AUTOSERVICIOBPO</v>
      </c>
      <c r="B332" s="126" t="s">
        <v>9</v>
      </c>
      <c r="C332" s="126">
        <v>50497</v>
      </c>
      <c r="D332" s="126" t="s">
        <v>140</v>
      </c>
      <c r="E332" s="126" t="s">
        <v>177</v>
      </c>
      <c r="F332" s="127">
        <v>44530</v>
      </c>
      <c r="G332" s="126" t="s">
        <v>175</v>
      </c>
      <c r="H332" s="126" t="s">
        <v>176</v>
      </c>
      <c r="I332" s="126">
        <v>1</v>
      </c>
      <c r="J332" s="126" t="s">
        <v>183</v>
      </c>
      <c r="K332" s="126" t="s">
        <v>316</v>
      </c>
      <c r="L332" s="126" t="s">
        <v>1913</v>
      </c>
      <c r="M332" s="126">
        <v>1</v>
      </c>
      <c r="N332" s="126">
        <v>7437</v>
      </c>
      <c r="O332" s="126" t="s">
        <v>633</v>
      </c>
      <c r="P332" s="126" t="s">
        <v>170</v>
      </c>
      <c r="Q332" s="126" t="s">
        <v>349</v>
      </c>
      <c r="R332" s="126" t="s">
        <v>349</v>
      </c>
      <c r="S332" s="126" t="s">
        <v>350</v>
      </c>
      <c r="T332" s="126" t="s">
        <v>160</v>
      </c>
      <c r="U332" s="126"/>
      <c r="V332" s="128">
        <v>1000000</v>
      </c>
      <c r="W332" s="128">
        <v>1000000</v>
      </c>
      <c r="X332" s="126" t="s">
        <v>1209</v>
      </c>
      <c r="Y332" s="126">
        <v>122435</v>
      </c>
      <c r="Z332" s="126">
        <v>0</v>
      </c>
      <c r="AA332" s="126" t="s">
        <v>0</v>
      </c>
      <c r="AB332" s="126" t="s">
        <v>161</v>
      </c>
      <c r="AC332" s="126" t="s">
        <v>162</v>
      </c>
      <c r="AD332" s="126"/>
      <c r="AE332" s="126"/>
      <c r="AF332" s="126"/>
      <c r="AG332" s="126"/>
      <c r="AH332" s="126" t="s">
        <v>316</v>
      </c>
      <c r="AI332" s="126" t="s">
        <v>1914</v>
      </c>
    </row>
    <row r="333" spans="1:35" ht="165" x14ac:dyDescent="0.25">
      <c r="A333" s="46" t="str">
        <f t="shared" si="5"/>
        <v>MEDECRD024844CADENASBPO</v>
      </c>
      <c r="B333" s="126" t="s">
        <v>9</v>
      </c>
      <c r="C333" s="126">
        <v>50509</v>
      </c>
      <c r="D333" s="126" t="s">
        <v>140</v>
      </c>
      <c r="E333" s="126" t="s">
        <v>177</v>
      </c>
      <c r="F333" s="127">
        <v>44531</v>
      </c>
      <c r="G333" s="126" t="s">
        <v>175</v>
      </c>
      <c r="H333" s="126" t="s">
        <v>176</v>
      </c>
      <c r="I333" s="126">
        <v>1</v>
      </c>
      <c r="J333" s="126" t="s">
        <v>184</v>
      </c>
      <c r="K333" s="126" t="s">
        <v>316</v>
      </c>
      <c r="L333" s="126" t="s">
        <v>1915</v>
      </c>
      <c r="M333" s="126">
        <v>1</v>
      </c>
      <c r="N333" s="126">
        <v>23505</v>
      </c>
      <c r="O333" s="126" t="s">
        <v>634</v>
      </c>
      <c r="P333" s="126" t="s">
        <v>171</v>
      </c>
      <c r="Q333" s="126" t="s">
        <v>461</v>
      </c>
      <c r="R333" s="126" t="s">
        <v>461</v>
      </c>
      <c r="S333" s="126" t="s">
        <v>462</v>
      </c>
      <c r="T333" s="126" t="s">
        <v>160</v>
      </c>
      <c r="U333" s="126"/>
      <c r="V333" s="128">
        <v>1500000000</v>
      </c>
      <c r="W333" s="128">
        <v>1500000000</v>
      </c>
      <c r="X333" s="126" t="s">
        <v>1209</v>
      </c>
      <c r="Y333" s="126">
        <v>0</v>
      </c>
      <c r="Z333" s="126">
        <v>0</v>
      </c>
      <c r="AA333" s="126" t="s">
        <v>1</v>
      </c>
      <c r="AB333" s="126" t="s">
        <v>161</v>
      </c>
      <c r="AC333" s="126" t="s">
        <v>162</v>
      </c>
      <c r="AD333" s="126"/>
      <c r="AE333" s="126"/>
      <c r="AF333" s="126"/>
      <c r="AG333" s="126"/>
      <c r="AH333" s="126" t="s">
        <v>316</v>
      </c>
      <c r="AI333" s="126" t="s">
        <v>1916</v>
      </c>
    </row>
    <row r="334" spans="1:35" ht="165" x14ac:dyDescent="0.25">
      <c r="A334" s="46" t="str">
        <f t="shared" si="5"/>
        <v>MEDECRD024842CADENASBPO</v>
      </c>
      <c r="B334" s="126" t="s">
        <v>9</v>
      </c>
      <c r="C334" s="126">
        <v>50509</v>
      </c>
      <c r="D334" s="126" t="s">
        <v>140</v>
      </c>
      <c r="E334" s="126" t="s">
        <v>177</v>
      </c>
      <c r="F334" s="127">
        <v>44531</v>
      </c>
      <c r="G334" s="126" t="s">
        <v>175</v>
      </c>
      <c r="H334" s="126" t="s">
        <v>176</v>
      </c>
      <c r="I334" s="126">
        <v>1</v>
      </c>
      <c r="J334" s="126" t="s">
        <v>184</v>
      </c>
      <c r="K334" s="126" t="s">
        <v>316</v>
      </c>
      <c r="L334" s="126" t="s">
        <v>1915</v>
      </c>
      <c r="M334" s="126">
        <v>1</v>
      </c>
      <c r="N334" s="126">
        <v>23505</v>
      </c>
      <c r="O334" s="126" t="s">
        <v>634</v>
      </c>
      <c r="P334" s="126" t="s">
        <v>171</v>
      </c>
      <c r="Q334" s="126" t="s">
        <v>459</v>
      </c>
      <c r="R334" s="126" t="s">
        <v>459</v>
      </c>
      <c r="S334" s="126" t="s">
        <v>460</v>
      </c>
      <c r="T334" s="126" t="s">
        <v>160</v>
      </c>
      <c r="U334" s="126"/>
      <c r="V334" s="128">
        <v>1500000000</v>
      </c>
      <c r="W334" s="128">
        <v>1500000000</v>
      </c>
      <c r="X334" s="126" t="s">
        <v>1209</v>
      </c>
      <c r="Y334" s="126">
        <v>0</v>
      </c>
      <c r="Z334" s="126">
        <v>0</v>
      </c>
      <c r="AA334" s="126" t="s">
        <v>1</v>
      </c>
      <c r="AB334" s="126" t="s">
        <v>161</v>
      </c>
      <c r="AC334" s="126" t="s">
        <v>162</v>
      </c>
      <c r="AD334" s="126"/>
      <c r="AE334" s="126"/>
      <c r="AF334" s="126"/>
      <c r="AG334" s="126"/>
      <c r="AH334" s="126" t="s">
        <v>316</v>
      </c>
      <c r="AI334" s="126" t="s">
        <v>1917</v>
      </c>
    </row>
    <row r="335" spans="1:35" ht="165" x14ac:dyDescent="0.25">
      <c r="A335" s="46" t="str">
        <f t="shared" si="5"/>
        <v>MEDECRD024842AUTOSERVICIOBPO</v>
      </c>
      <c r="B335" s="126" t="s">
        <v>9</v>
      </c>
      <c r="C335" s="126">
        <v>50509</v>
      </c>
      <c r="D335" s="126" t="s">
        <v>140</v>
      </c>
      <c r="E335" s="126" t="s">
        <v>177</v>
      </c>
      <c r="F335" s="127">
        <v>44531</v>
      </c>
      <c r="G335" s="126" t="s">
        <v>175</v>
      </c>
      <c r="H335" s="126" t="s">
        <v>176</v>
      </c>
      <c r="I335" s="126">
        <v>1</v>
      </c>
      <c r="J335" s="126" t="s">
        <v>184</v>
      </c>
      <c r="K335" s="126" t="s">
        <v>316</v>
      </c>
      <c r="L335" s="126" t="s">
        <v>1915</v>
      </c>
      <c r="M335" s="126">
        <v>1</v>
      </c>
      <c r="N335" s="126">
        <v>23505</v>
      </c>
      <c r="O335" s="126" t="s">
        <v>634</v>
      </c>
      <c r="P335" s="126" t="s">
        <v>171</v>
      </c>
      <c r="Q335" s="126" t="s">
        <v>459</v>
      </c>
      <c r="R335" s="126" t="s">
        <v>459</v>
      </c>
      <c r="S335" s="126" t="s">
        <v>460</v>
      </c>
      <c r="T335" s="126" t="s">
        <v>160</v>
      </c>
      <c r="U335" s="126"/>
      <c r="V335" s="128">
        <v>1500000000</v>
      </c>
      <c r="W335" s="128">
        <v>1500000000</v>
      </c>
      <c r="X335" s="126" t="s">
        <v>1209</v>
      </c>
      <c r="Y335" s="126">
        <v>0</v>
      </c>
      <c r="Z335" s="126">
        <v>0</v>
      </c>
      <c r="AA335" s="126" t="s">
        <v>0</v>
      </c>
      <c r="AB335" s="126" t="s">
        <v>161</v>
      </c>
      <c r="AC335" s="126" t="s">
        <v>162</v>
      </c>
      <c r="AD335" s="126"/>
      <c r="AE335" s="126"/>
      <c r="AF335" s="126"/>
      <c r="AG335" s="126"/>
      <c r="AH335" s="126" t="s">
        <v>316</v>
      </c>
      <c r="AI335" s="126" t="s">
        <v>1918</v>
      </c>
    </row>
    <row r="336" spans="1:35" ht="165" x14ac:dyDescent="0.25">
      <c r="A336" s="46" t="str">
        <f t="shared" si="5"/>
        <v>MEDECRD024843CADENASBPO</v>
      </c>
      <c r="B336" s="126" t="s">
        <v>9</v>
      </c>
      <c r="C336" s="126">
        <v>50509</v>
      </c>
      <c r="D336" s="126" t="s">
        <v>140</v>
      </c>
      <c r="E336" s="126" t="s">
        <v>177</v>
      </c>
      <c r="F336" s="127">
        <v>44531</v>
      </c>
      <c r="G336" s="126" t="s">
        <v>175</v>
      </c>
      <c r="H336" s="126" t="s">
        <v>176</v>
      </c>
      <c r="I336" s="126">
        <v>1</v>
      </c>
      <c r="J336" s="126" t="s">
        <v>184</v>
      </c>
      <c r="K336" s="126" t="s">
        <v>316</v>
      </c>
      <c r="L336" s="126" t="s">
        <v>1915</v>
      </c>
      <c r="M336" s="126">
        <v>1</v>
      </c>
      <c r="N336" s="126">
        <v>23505</v>
      </c>
      <c r="O336" s="126" t="s">
        <v>634</v>
      </c>
      <c r="P336" s="126" t="s">
        <v>171</v>
      </c>
      <c r="Q336" s="126" t="s">
        <v>463</v>
      </c>
      <c r="R336" s="126" t="s">
        <v>463</v>
      </c>
      <c r="S336" s="126" t="s">
        <v>1214</v>
      </c>
      <c r="T336" s="126" t="s">
        <v>160</v>
      </c>
      <c r="U336" s="126"/>
      <c r="V336" s="128">
        <v>1500000000</v>
      </c>
      <c r="W336" s="128">
        <v>1500000000</v>
      </c>
      <c r="X336" s="126" t="s">
        <v>1209</v>
      </c>
      <c r="Y336" s="126">
        <v>0</v>
      </c>
      <c r="Z336" s="126">
        <v>0</v>
      </c>
      <c r="AA336" s="126" t="s">
        <v>1</v>
      </c>
      <c r="AB336" s="126" t="s">
        <v>161</v>
      </c>
      <c r="AC336" s="126" t="s">
        <v>162</v>
      </c>
      <c r="AD336" s="126"/>
      <c r="AE336" s="126"/>
      <c r="AF336" s="126"/>
      <c r="AG336" s="126"/>
      <c r="AH336" s="126" t="s">
        <v>316</v>
      </c>
      <c r="AI336" s="126" t="s">
        <v>1919</v>
      </c>
    </row>
    <row r="337" spans="1:35" ht="165" x14ac:dyDescent="0.25">
      <c r="A337" s="46" t="str">
        <f t="shared" si="5"/>
        <v>MEDECRD024845AUTOSERVICIOBPO</v>
      </c>
      <c r="B337" s="126" t="s">
        <v>9</v>
      </c>
      <c r="C337" s="126">
        <v>50509</v>
      </c>
      <c r="D337" s="126" t="s">
        <v>140</v>
      </c>
      <c r="E337" s="126" t="s">
        <v>177</v>
      </c>
      <c r="F337" s="127">
        <v>44531</v>
      </c>
      <c r="G337" s="126" t="s">
        <v>175</v>
      </c>
      <c r="H337" s="126" t="s">
        <v>176</v>
      </c>
      <c r="I337" s="126">
        <v>1</v>
      </c>
      <c r="J337" s="126" t="s">
        <v>184</v>
      </c>
      <c r="K337" s="126" t="s">
        <v>316</v>
      </c>
      <c r="L337" s="126" t="s">
        <v>1915</v>
      </c>
      <c r="M337" s="126">
        <v>1</v>
      </c>
      <c r="N337" s="126">
        <v>23505</v>
      </c>
      <c r="O337" s="126" t="s">
        <v>634</v>
      </c>
      <c r="P337" s="126" t="s">
        <v>171</v>
      </c>
      <c r="Q337" s="126" t="s">
        <v>464</v>
      </c>
      <c r="R337" s="126" t="s">
        <v>464</v>
      </c>
      <c r="S337" s="126" t="s">
        <v>465</v>
      </c>
      <c r="T337" s="126" t="s">
        <v>160</v>
      </c>
      <c r="U337" s="126"/>
      <c r="V337" s="128">
        <v>1500000000</v>
      </c>
      <c r="W337" s="128">
        <v>1500000000</v>
      </c>
      <c r="X337" s="126" t="s">
        <v>1209</v>
      </c>
      <c r="Y337" s="126">
        <v>0</v>
      </c>
      <c r="Z337" s="126">
        <v>0</v>
      </c>
      <c r="AA337" s="126" t="s">
        <v>0</v>
      </c>
      <c r="AB337" s="126" t="s">
        <v>161</v>
      </c>
      <c r="AC337" s="126" t="s">
        <v>162</v>
      </c>
      <c r="AD337" s="126"/>
      <c r="AE337" s="126"/>
      <c r="AF337" s="126"/>
      <c r="AG337" s="126"/>
      <c r="AH337" s="126" t="s">
        <v>316</v>
      </c>
      <c r="AI337" s="126" t="s">
        <v>1920</v>
      </c>
    </row>
    <row r="338" spans="1:35" ht="165" x14ac:dyDescent="0.25">
      <c r="A338" s="46" t="str">
        <f t="shared" si="5"/>
        <v>MEDECRD024845CADENASBPO</v>
      </c>
      <c r="B338" s="126" t="s">
        <v>9</v>
      </c>
      <c r="C338" s="126">
        <v>50509</v>
      </c>
      <c r="D338" s="126" t="s">
        <v>140</v>
      </c>
      <c r="E338" s="126" t="s">
        <v>177</v>
      </c>
      <c r="F338" s="127">
        <v>44531</v>
      </c>
      <c r="G338" s="126" t="s">
        <v>175</v>
      </c>
      <c r="H338" s="126" t="s">
        <v>176</v>
      </c>
      <c r="I338" s="126">
        <v>1</v>
      </c>
      <c r="J338" s="126" t="s">
        <v>184</v>
      </c>
      <c r="K338" s="126" t="s">
        <v>316</v>
      </c>
      <c r="L338" s="126" t="s">
        <v>1915</v>
      </c>
      <c r="M338" s="126">
        <v>1</v>
      </c>
      <c r="N338" s="126">
        <v>23505</v>
      </c>
      <c r="O338" s="126" t="s">
        <v>634</v>
      </c>
      <c r="P338" s="126" t="s">
        <v>171</v>
      </c>
      <c r="Q338" s="126" t="s">
        <v>464</v>
      </c>
      <c r="R338" s="126" t="s">
        <v>464</v>
      </c>
      <c r="S338" s="126" t="s">
        <v>465</v>
      </c>
      <c r="T338" s="126" t="s">
        <v>160</v>
      </c>
      <c r="U338" s="126"/>
      <c r="V338" s="128">
        <v>1500000000</v>
      </c>
      <c r="W338" s="128">
        <v>1500000000</v>
      </c>
      <c r="X338" s="126" t="s">
        <v>1209</v>
      </c>
      <c r="Y338" s="126">
        <v>0</v>
      </c>
      <c r="Z338" s="126">
        <v>0</v>
      </c>
      <c r="AA338" s="126" t="s">
        <v>1</v>
      </c>
      <c r="AB338" s="126" t="s">
        <v>161</v>
      </c>
      <c r="AC338" s="126" t="s">
        <v>162</v>
      </c>
      <c r="AD338" s="126"/>
      <c r="AE338" s="126"/>
      <c r="AF338" s="126"/>
      <c r="AG338" s="126"/>
      <c r="AH338" s="126" t="s">
        <v>316</v>
      </c>
      <c r="AI338" s="126" t="s">
        <v>1921</v>
      </c>
    </row>
    <row r="339" spans="1:35" ht="165" x14ac:dyDescent="0.25">
      <c r="A339" s="46" t="str">
        <f t="shared" si="5"/>
        <v>MEDECRD024844AUTOSERVICIOBPO</v>
      </c>
      <c r="B339" s="126" t="s">
        <v>9</v>
      </c>
      <c r="C339" s="126">
        <v>50509</v>
      </c>
      <c r="D339" s="126" t="s">
        <v>140</v>
      </c>
      <c r="E339" s="126" t="s">
        <v>177</v>
      </c>
      <c r="F339" s="127">
        <v>44531</v>
      </c>
      <c r="G339" s="126" t="s">
        <v>175</v>
      </c>
      <c r="H339" s="126" t="s">
        <v>176</v>
      </c>
      <c r="I339" s="126">
        <v>1</v>
      </c>
      <c r="J339" s="126" t="s">
        <v>184</v>
      </c>
      <c r="K339" s="126" t="s">
        <v>316</v>
      </c>
      <c r="L339" s="126" t="s">
        <v>1915</v>
      </c>
      <c r="M339" s="126">
        <v>1</v>
      </c>
      <c r="N339" s="126">
        <v>23505</v>
      </c>
      <c r="O339" s="126" t="s">
        <v>634</v>
      </c>
      <c r="P339" s="126" t="s">
        <v>171</v>
      </c>
      <c r="Q339" s="126" t="s">
        <v>461</v>
      </c>
      <c r="R339" s="126" t="s">
        <v>461</v>
      </c>
      <c r="S339" s="126" t="s">
        <v>462</v>
      </c>
      <c r="T339" s="126" t="s">
        <v>160</v>
      </c>
      <c r="U339" s="126"/>
      <c r="V339" s="128">
        <v>1500000000</v>
      </c>
      <c r="W339" s="128">
        <v>1500000000</v>
      </c>
      <c r="X339" s="126" t="s">
        <v>1209</v>
      </c>
      <c r="Y339" s="126">
        <v>0</v>
      </c>
      <c r="Z339" s="126">
        <v>0</v>
      </c>
      <c r="AA339" s="126" t="s">
        <v>0</v>
      </c>
      <c r="AB339" s="126" t="s">
        <v>161</v>
      </c>
      <c r="AC339" s="126" t="s">
        <v>162</v>
      </c>
      <c r="AD339" s="126"/>
      <c r="AE339" s="126"/>
      <c r="AF339" s="126"/>
      <c r="AG339" s="126"/>
      <c r="AH339" s="126" t="s">
        <v>316</v>
      </c>
      <c r="AI339" s="126" t="s">
        <v>1922</v>
      </c>
    </row>
    <row r="340" spans="1:35" ht="165" x14ac:dyDescent="0.25">
      <c r="A340" s="46" t="str">
        <f t="shared" si="5"/>
        <v>MEDECRD024843AUTOSERVICIOBPO</v>
      </c>
      <c r="B340" s="126" t="s">
        <v>9</v>
      </c>
      <c r="C340" s="126">
        <v>50509</v>
      </c>
      <c r="D340" s="126" t="s">
        <v>140</v>
      </c>
      <c r="E340" s="126" t="s">
        <v>177</v>
      </c>
      <c r="F340" s="127">
        <v>44531</v>
      </c>
      <c r="G340" s="126" t="s">
        <v>175</v>
      </c>
      <c r="H340" s="126" t="s">
        <v>176</v>
      </c>
      <c r="I340" s="126">
        <v>1</v>
      </c>
      <c r="J340" s="126" t="s">
        <v>184</v>
      </c>
      <c r="K340" s="126" t="s">
        <v>316</v>
      </c>
      <c r="L340" s="126" t="s">
        <v>1915</v>
      </c>
      <c r="M340" s="126">
        <v>1</v>
      </c>
      <c r="N340" s="126">
        <v>23505</v>
      </c>
      <c r="O340" s="126" t="s">
        <v>634</v>
      </c>
      <c r="P340" s="126" t="s">
        <v>171</v>
      </c>
      <c r="Q340" s="126" t="s">
        <v>463</v>
      </c>
      <c r="R340" s="126" t="s">
        <v>463</v>
      </c>
      <c r="S340" s="126" t="s">
        <v>1214</v>
      </c>
      <c r="T340" s="126" t="s">
        <v>160</v>
      </c>
      <c r="U340" s="126"/>
      <c r="V340" s="128">
        <v>1500000000</v>
      </c>
      <c r="W340" s="128">
        <v>1500000000</v>
      </c>
      <c r="X340" s="126" t="s">
        <v>1209</v>
      </c>
      <c r="Y340" s="126">
        <v>0</v>
      </c>
      <c r="Z340" s="126">
        <v>0</v>
      </c>
      <c r="AA340" s="126" t="s">
        <v>0</v>
      </c>
      <c r="AB340" s="126" t="s">
        <v>161</v>
      </c>
      <c r="AC340" s="126" t="s">
        <v>162</v>
      </c>
      <c r="AD340" s="126"/>
      <c r="AE340" s="126"/>
      <c r="AF340" s="126"/>
      <c r="AG340" s="126"/>
      <c r="AH340" s="126" t="s">
        <v>316</v>
      </c>
      <c r="AI340" s="126" t="s">
        <v>1923</v>
      </c>
    </row>
    <row r="341" spans="1:35" ht="165" x14ac:dyDescent="0.25">
      <c r="A341" s="46" t="str">
        <f t="shared" si="5"/>
        <v>MEDECRD022273AUTOSERVICIONUTRESA</v>
      </c>
      <c r="B341" s="126" t="s">
        <v>9</v>
      </c>
      <c r="C341" s="126">
        <v>50515</v>
      </c>
      <c r="D341" s="126" t="s">
        <v>140</v>
      </c>
      <c r="E341" s="126" t="s">
        <v>177</v>
      </c>
      <c r="F341" s="127">
        <v>44531</v>
      </c>
      <c r="G341" s="126" t="s">
        <v>175</v>
      </c>
      <c r="H341" s="126" t="s">
        <v>176</v>
      </c>
      <c r="I341" s="126">
        <v>1</v>
      </c>
      <c r="J341" s="126" t="s">
        <v>184</v>
      </c>
      <c r="K341" s="126" t="s">
        <v>316</v>
      </c>
      <c r="L341" s="126" t="s">
        <v>1924</v>
      </c>
      <c r="M341" s="126">
        <v>1</v>
      </c>
      <c r="N341" s="126">
        <v>7452</v>
      </c>
      <c r="O341" s="126" t="s">
        <v>1925</v>
      </c>
      <c r="P341" s="126" t="s">
        <v>170</v>
      </c>
      <c r="Q341" s="126" t="s">
        <v>250</v>
      </c>
      <c r="R341" s="126" t="s">
        <v>250</v>
      </c>
      <c r="S341" s="126" t="s">
        <v>255</v>
      </c>
      <c r="T341" s="126" t="s">
        <v>160</v>
      </c>
      <c r="U341" s="126"/>
      <c r="V341" s="128">
        <v>1000000</v>
      </c>
      <c r="W341" s="128">
        <v>1000000</v>
      </c>
      <c r="X341" s="126" t="s">
        <v>1209</v>
      </c>
      <c r="Y341" s="126">
        <v>0</v>
      </c>
      <c r="Z341" s="126">
        <v>0</v>
      </c>
      <c r="AA341" s="126" t="s">
        <v>0</v>
      </c>
      <c r="AB341" s="126" t="s">
        <v>140</v>
      </c>
      <c r="AC341" s="126" t="s">
        <v>218</v>
      </c>
      <c r="AD341" s="126"/>
      <c r="AE341" s="126"/>
      <c r="AF341" s="126"/>
      <c r="AG341" s="126"/>
      <c r="AH341" s="126" t="s">
        <v>316</v>
      </c>
      <c r="AI341" s="126" t="s">
        <v>1926</v>
      </c>
    </row>
    <row r="342" spans="1:35" ht="120" x14ac:dyDescent="0.25">
      <c r="A342" s="46" t="str">
        <f t="shared" si="5"/>
        <v>MEDEACT000007AUTOSERVICIONUTRESA</v>
      </c>
      <c r="B342" s="126" t="s">
        <v>9</v>
      </c>
      <c r="C342" s="126">
        <v>50518</v>
      </c>
      <c r="D342" s="126" t="s">
        <v>140</v>
      </c>
      <c r="E342" s="126" t="s">
        <v>177</v>
      </c>
      <c r="F342" s="127">
        <v>44531</v>
      </c>
      <c r="G342" s="126" t="s">
        <v>175</v>
      </c>
      <c r="H342" s="126" t="s">
        <v>176</v>
      </c>
      <c r="I342" s="126">
        <v>1</v>
      </c>
      <c r="J342" s="126" t="s">
        <v>183</v>
      </c>
      <c r="K342" s="126" t="s">
        <v>316</v>
      </c>
      <c r="L342" s="126" t="s">
        <v>1927</v>
      </c>
      <c r="M342" s="126">
        <v>1</v>
      </c>
      <c r="N342" s="126">
        <v>7432</v>
      </c>
      <c r="O342" s="126" t="s">
        <v>635</v>
      </c>
      <c r="P342" s="126" t="s">
        <v>170</v>
      </c>
      <c r="Q342" s="126" t="s">
        <v>636</v>
      </c>
      <c r="R342" s="126" t="s">
        <v>636</v>
      </c>
      <c r="S342" s="126" t="s">
        <v>637</v>
      </c>
      <c r="T342" s="126" t="s">
        <v>160</v>
      </c>
      <c r="U342" s="126"/>
      <c r="V342" s="128">
        <v>1000000</v>
      </c>
      <c r="W342" s="128">
        <v>1000000</v>
      </c>
      <c r="X342" s="126" t="s">
        <v>1209</v>
      </c>
      <c r="Y342" s="126">
        <v>84433</v>
      </c>
      <c r="Z342" s="126">
        <v>0</v>
      </c>
      <c r="AA342" s="126" t="s">
        <v>0</v>
      </c>
      <c r="AB342" s="126" t="s">
        <v>140</v>
      </c>
      <c r="AC342" s="126" t="s">
        <v>218</v>
      </c>
      <c r="AD342" s="126"/>
      <c r="AE342" s="126"/>
      <c r="AF342" s="126"/>
      <c r="AG342" s="126"/>
      <c r="AH342" s="126" t="s">
        <v>316</v>
      </c>
      <c r="AI342" s="126" t="s">
        <v>1928</v>
      </c>
    </row>
    <row r="343" spans="1:35" ht="120" x14ac:dyDescent="0.25">
      <c r="A343" s="46" t="str">
        <f t="shared" si="5"/>
        <v>MEDEACT000007AUTOSERVICIONUTRESA</v>
      </c>
      <c r="B343" s="126" t="s">
        <v>9</v>
      </c>
      <c r="C343" s="126">
        <v>50518</v>
      </c>
      <c r="D343" s="126" t="s">
        <v>140</v>
      </c>
      <c r="E343" s="126" t="s">
        <v>177</v>
      </c>
      <c r="F343" s="127">
        <v>44531</v>
      </c>
      <c r="G343" s="126" t="s">
        <v>175</v>
      </c>
      <c r="H343" s="126" t="s">
        <v>176</v>
      </c>
      <c r="I343" s="126">
        <v>1</v>
      </c>
      <c r="J343" s="126" t="s">
        <v>183</v>
      </c>
      <c r="K343" s="126" t="s">
        <v>316</v>
      </c>
      <c r="L343" s="126" t="s">
        <v>1927</v>
      </c>
      <c r="M343" s="126">
        <v>1</v>
      </c>
      <c r="N343" s="126">
        <v>7432</v>
      </c>
      <c r="O343" s="126" t="s">
        <v>635</v>
      </c>
      <c r="P343" s="126" t="s">
        <v>170</v>
      </c>
      <c r="Q343" s="126" t="s">
        <v>636</v>
      </c>
      <c r="R343" s="126" t="s">
        <v>636</v>
      </c>
      <c r="S343" s="126" t="s">
        <v>637</v>
      </c>
      <c r="T343" s="126" t="s">
        <v>160</v>
      </c>
      <c r="U343" s="126"/>
      <c r="V343" s="128">
        <v>1000000</v>
      </c>
      <c r="W343" s="128">
        <v>1000000</v>
      </c>
      <c r="X343" s="126" t="s">
        <v>1209</v>
      </c>
      <c r="Y343" s="126">
        <v>84432</v>
      </c>
      <c r="Z343" s="126">
        <v>0</v>
      </c>
      <c r="AA343" s="126" t="s">
        <v>0</v>
      </c>
      <c r="AB343" s="126" t="s">
        <v>140</v>
      </c>
      <c r="AC343" s="126" t="s">
        <v>218</v>
      </c>
      <c r="AD343" s="126"/>
      <c r="AE343" s="126"/>
      <c r="AF343" s="126"/>
      <c r="AG343" s="126"/>
      <c r="AH343" s="126" t="s">
        <v>316</v>
      </c>
      <c r="AI343" s="126" t="s">
        <v>1929</v>
      </c>
    </row>
    <row r="344" spans="1:35" ht="120" x14ac:dyDescent="0.25">
      <c r="A344" s="46" t="str">
        <f t="shared" si="5"/>
        <v>MEDEACT000007AUTOSERVICIONUTRESA</v>
      </c>
      <c r="B344" s="126" t="s">
        <v>9</v>
      </c>
      <c r="C344" s="126">
        <v>50518</v>
      </c>
      <c r="D344" s="126" t="s">
        <v>140</v>
      </c>
      <c r="E344" s="126" t="s">
        <v>177</v>
      </c>
      <c r="F344" s="127">
        <v>44531</v>
      </c>
      <c r="G344" s="126" t="s">
        <v>175</v>
      </c>
      <c r="H344" s="126" t="s">
        <v>176</v>
      </c>
      <c r="I344" s="126">
        <v>1</v>
      </c>
      <c r="J344" s="126" t="s">
        <v>183</v>
      </c>
      <c r="K344" s="126" t="s">
        <v>316</v>
      </c>
      <c r="L344" s="126" t="s">
        <v>1927</v>
      </c>
      <c r="M344" s="126">
        <v>1</v>
      </c>
      <c r="N344" s="126">
        <v>7432</v>
      </c>
      <c r="O344" s="126" t="s">
        <v>635</v>
      </c>
      <c r="P344" s="126" t="s">
        <v>170</v>
      </c>
      <c r="Q344" s="126" t="s">
        <v>636</v>
      </c>
      <c r="R344" s="126" t="s">
        <v>636</v>
      </c>
      <c r="S344" s="126" t="s">
        <v>637</v>
      </c>
      <c r="T344" s="126" t="s">
        <v>160</v>
      </c>
      <c r="U344" s="126"/>
      <c r="V344" s="128">
        <v>1000000</v>
      </c>
      <c r="W344" s="128">
        <v>1000000</v>
      </c>
      <c r="X344" s="126" t="s">
        <v>1209</v>
      </c>
      <c r="Y344" s="126">
        <v>84431</v>
      </c>
      <c r="Z344" s="126">
        <v>0</v>
      </c>
      <c r="AA344" s="126" t="s">
        <v>0</v>
      </c>
      <c r="AB344" s="126" t="s">
        <v>140</v>
      </c>
      <c r="AC344" s="126" t="s">
        <v>218</v>
      </c>
      <c r="AD344" s="126"/>
      <c r="AE344" s="126"/>
      <c r="AF344" s="126"/>
      <c r="AG344" s="126"/>
      <c r="AH344" s="126" t="s">
        <v>316</v>
      </c>
      <c r="AI344" s="126" t="s">
        <v>1930</v>
      </c>
    </row>
    <row r="345" spans="1:35" ht="270" x14ac:dyDescent="0.25">
      <c r="A345" s="46" t="str">
        <f t="shared" si="5"/>
        <v>MEDECRD022322AUTOSERVICIONUTRESA</v>
      </c>
      <c r="B345" s="126" t="s">
        <v>9</v>
      </c>
      <c r="C345" s="126">
        <v>50521</v>
      </c>
      <c r="D345" s="126" t="s">
        <v>140</v>
      </c>
      <c r="E345" s="126" t="s">
        <v>177</v>
      </c>
      <c r="F345" s="127">
        <v>44531</v>
      </c>
      <c r="G345" s="126" t="s">
        <v>175</v>
      </c>
      <c r="H345" s="126" t="s">
        <v>176</v>
      </c>
      <c r="I345" s="126">
        <v>1</v>
      </c>
      <c r="J345" s="126" t="s">
        <v>184</v>
      </c>
      <c r="K345" s="126" t="s">
        <v>316</v>
      </c>
      <c r="L345" s="126" t="s">
        <v>1931</v>
      </c>
      <c r="M345" s="126">
        <v>1</v>
      </c>
      <c r="N345" s="126">
        <v>74600</v>
      </c>
      <c r="O345" s="126" t="s">
        <v>638</v>
      </c>
      <c r="P345" s="126" t="s">
        <v>171</v>
      </c>
      <c r="Q345" s="126" t="s">
        <v>398</v>
      </c>
      <c r="R345" s="126" t="s">
        <v>398</v>
      </c>
      <c r="S345" s="126" t="s">
        <v>399</v>
      </c>
      <c r="T345" s="126" t="s">
        <v>163</v>
      </c>
      <c r="U345" s="126"/>
      <c r="V345" s="128">
        <v>37000000</v>
      </c>
      <c r="W345" s="128">
        <v>37000000</v>
      </c>
      <c r="X345" s="126" t="s">
        <v>1209</v>
      </c>
      <c r="Y345" s="126">
        <v>0</v>
      </c>
      <c r="Z345" s="126">
        <v>0</v>
      </c>
      <c r="AA345" s="126" t="s">
        <v>0</v>
      </c>
      <c r="AB345" s="126" t="s">
        <v>140</v>
      </c>
      <c r="AC345" s="126" t="s">
        <v>162</v>
      </c>
      <c r="AD345" s="126"/>
      <c r="AE345" s="126"/>
      <c r="AF345" s="126"/>
      <c r="AG345" s="126"/>
      <c r="AH345" s="126" t="s">
        <v>316</v>
      </c>
      <c r="AI345" s="126" t="s">
        <v>1932</v>
      </c>
    </row>
    <row r="346" spans="1:35" ht="270" x14ac:dyDescent="0.25">
      <c r="A346" s="46" t="str">
        <f t="shared" si="5"/>
        <v>MEDECRD022322AUTOSERVICIONUTRESA</v>
      </c>
      <c r="B346" s="126" t="s">
        <v>9</v>
      </c>
      <c r="C346" s="126">
        <v>50521</v>
      </c>
      <c r="D346" s="126" t="s">
        <v>140</v>
      </c>
      <c r="E346" s="126" t="s">
        <v>177</v>
      </c>
      <c r="F346" s="127">
        <v>44531</v>
      </c>
      <c r="G346" s="126" t="s">
        <v>175</v>
      </c>
      <c r="H346" s="126" t="s">
        <v>176</v>
      </c>
      <c r="I346" s="126">
        <v>1</v>
      </c>
      <c r="J346" s="126" t="s">
        <v>184</v>
      </c>
      <c r="K346" s="126" t="s">
        <v>316</v>
      </c>
      <c r="L346" s="126" t="s">
        <v>1931</v>
      </c>
      <c r="M346" s="126">
        <v>1</v>
      </c>
      <c r="N346" s="126">
        <v>74600</v>
      </c>
      <c r="O346" s="126" t="s">
        <v>638</v>
      </c>
      <c r="P346" s="126" t="s">
        <v>171</v>
      </c>
      <c r="Q346" s="126" t="s">
        <v>398</v>
      </c>
      <c r="R346" s="126" t="s">
        <v>398</v>
      </c>
      <c r="S346" s="126" t="s">
        <v>399</v>
      </c>
      <c r="T346" s="126" t="s">
        <v>163</v>
      </c>
      <c r="U346" s="126"/>
      <c r="V346" s="128">
        <v>1000000</v>
      </c>
      <c r="W346" s="128">
        <v>1000000</v>
      </c>
      <c r="X346" s="126" t="s">
        <v>1209</v>
      </c>
      <c r="Y346" s="126">
        <v>0</v>
      </c>
      <c r="Z346" s="126">
        <v>0</v>
      </c>
      <c r="AA346" s="126" t="s">
        <v>0</v>
      </c>
      <c r="AB346" s="126" t="s">
        <v>140</v>
      </c>
      <c r="AC346" s="126" t="s">
        <v>208</v>
      </c>
      <c r="AD346" s="126"/>
      <c r="AE346" s="126"/>
      <c r="AF346" s="126"/>
      <c r="AG346" s="126"/>
      <c r="AH346" s="126" t="s">
        <v>316</v>
      </c>
      <c r="AI346" s="126" t="s">
        <v>1933</v>
      </c>
    </row>
    <row r="347" spans="1:35" ht="165" x14ac:dyDescent="0.25">
      <c r="A347" s="46" t="str">
        <f t="shared" si="5"/>
        <v>MEDECRD025003CADENASBPO</v>
      </c>
      <c r="B347" s="126" t="s">
        <v>9</v>
      </c>
      <c r="C347" s="126">
        <v>50522</v>
      </c>
      <c r="D347" s="126" t="s">
        <v>140</v>
      </c>
      <c r="E347" s="126" t="s">
        <v>177</v>
      </c>
      <c r="F347" s="127">
        <v>44531</v>
      </c>
      <c r="G347" s="126" t="s">
        <v>175</v>
      </c>
      <c r="H347" s="126" t="s">
        <v>176</v>
      </c>
      <c r="I347" s="126">
        <v>1</v>
      </c>
      <c r="J347" s="126" t="s">
        <v>184</v>
      </c>
      <c r="K347" s="126" t="s">
        <v>316</v>
      </c>
      <c r="L347" s="126" t="s">
        <v>1934</v>
      </c>
      <c r="M347" s="126">
        <v>1</v>
      </c>
      <c r="N347" s="126">
        <v>30646</v>
      </c>
      <c r="O347" s="126" t="s">
        <v>1935</v>
      </c>
      <c r="P347" s="126" t="s">
        <v>171</v>
      </c>
      <c r="Q347" s="126" t="s">
        <v>469</v>
      </c>
      <c r="R347" s="126" t="s">
        <v>469</v>
      </c>
      <c r="S347" s="126" t="s">
        <v>1231</v>
      </c>
      <c r="T347" s="126" t="s">
        <v>160</v>
      </c>
      <c r="U347" s="126"/>
      <c r="V347" s="128">
        <v>80000000</v>
      </c>
      <c r="W347" s="128">
        <v>80000000</v>
      </c>
      <c r="X347" s="126" t="s">
        <v>1209</v>
      </c>
      <c r="Y347" s="126">
        <v>0</v>
      </c>
      <c r="Z347" s="126">
        <v>0</v>
      </c>
      <c r="AA347" s="126" t="s">
        <v>1</v>
      </c>
      <c r="AB347" s="126" t="s">
        <v>161</v>
      </c>
      <c r="AC347" s="126" t="s">
        <v>162</v>
      </c>
      <c r="AD347" s="126"/>
      <c r="AE347" s="126"/>
      <c r="AF347" s="126"/>
      <c r="AG347" s="126"/>
      <c r="AH347" s="126" t="s">
        <v>316</v>
      </c>
      <c r="AI347" s="126" t="s">
        <v>1936</v>
      </c>
    </row>
    <row r="348" spans="1:35" ht="165" x14ac:dyDescent="0.25">
      <c r="A348" s="46" t="str">
        <f t="shared" si="5"/>
        <v>MEDECRD014118CADENASBPO</v>
      </c>
      <c r="B348" s="126" t="s">
        <v>9</v>
      </c>
      <c r="C348" s="126">
        <v>50527</v>
      </c>
      <c r="D348" s="126" t="s">
        <v>140</v>
      </c>
      <c r="E348" s="126" t="s">
        <v>177</v>
      </c>
      <c r="F348" s="127">
        <v>44531</v>
      </c>
      <c r="G348" s="126" t="s">
        <v>175</v>
      </c>
      <c r="H348" s="126" t="s">
        <v>176</v>
      </c>
      <c r="I348" s="126">
        <v>1</v>
      </c>
      <c r="J348" s="126" t="s">
        <v>183</v>
      </c>
      <c r="K348" s="126" t="s">
        <v>316</v>
      </c>
      <c r="L348" s="126" t="s">
        <v>1937</v>
      </c>
      <c r="M348" s="126">
        <v>1</v>
      </c>
      <c r="N348" s="126">
        <v>7445</v>
      </c>
      <c r="O348" s="126" t="s">
        <v>1938</v>
      </c>
      <c r="P348" s="126" t="s">
        <v>172</v>
      </c>
      <c r="Q348" s="126" t="s">
        <v>312</v>
      </c>
      <c r="R348" s="126" t="s">
        <v>312</v>
      </c>
      <c r="S348" s="126" t="s">
        <v>313</v>
      </c>
      <c r="T348" s="126" t="s">
        <v>160</v>
      </c>
      <c r="U348" s="126"/>
      <c r="V348" s="128">
        <v>1000000</v>
      </c>
      <c r="W348" s="128">
        <v>1000000</v>
      </c>
      <c r="X348" s="126" t="s">
        <v>1209</v>
      </c>
      <c r="Y348" s="126">
        <v>0</v>
      </c>
      <c r="Z348" s="126" t="s">
        <v>379</v>
      </c>
      <c r="AA348" s="126" t="s">
        <v>1</v>
      </c>
      <c r="AB348" s="126" t="s">
        <v>161</v>
      </c>
      <c r="AC348" s="126" t="s">
        <v>208</v>
      </c>
      <c r="AD348" s="127">
        <v>44704</v>
      </c>
      <c r="AE348" s="126"/>
      <c r="AF348" s="127">
        <v>44704</v>
      </c>
      <c r="AG348" s="126"/>
      <c r="AH348" s="126" t="s">
        <v>316</v>
      </c>
      <c r="AI348" s="126" t="s">
        <v>1939</v>
      </c>
    </row>
    <row r="349" spans="1:35" ht="165" x14ac:dyDescent="0.25">
      <c r="A349" s="46" t="str">
        <f t="shared" si="5"/>
        <v>MEDECRD019868CADENASBPO</v>
      </c>
      <c r="B349" s="126" t="s">
        <v>9</v>
      </c>
      <c r="C349" s="126">
        <v>50527</v>
      </c>
      <c r="D349" s="126" t="s">
        <v>140</v>
      </c>
      <c r="E349" s="126" t="s">
        <v>177</v>
      </c>
      <c r="F349" s="127">
        <v>44531</v>
      </c>
      <c r="G349" s="126" t="s">
        <v>175</v>
      </c>
      <c r="H349" s="126" t="s">
        <v>176</v>
      </c>
      <c r="I349" s="126">
        <v>1</v>
      </c>
      <c r="J349" s="126" t="s">
        <v>183</v>
      </c>
      <c r="K349" s="126" t="s">
        <v>316</v>
      </c>
      <c r="L349" s="126" t="s">
        <v>1937</v>
      </c>
      <c r="M349" s="126">
        <v>1</v>
      </c>
      <c r="N349" s="126">
        <v>7445</v>
      </c>
      <c r="O349" s="126" t="s">
        <v>1938</v>
      </c>
      <c r="P349" s="126" t="s">
        <v>166</v>
      </c>
      <c r="Q349" s="126" t="s">
        <v>153</v>
      </c>
      <c r="R349" s="126" t="s">
        <v>153</v>
      </c>
      <c r="S349" s="126" t="s">
        <v>167</v>
      </c>
      <c r="T349" s="126" t="s">
        <v>160</v>
      </c>
      <c r="U349" s="126"/>
      <c r="V349" s="128">
        <v>1000000</v>
      </c>
      <c r="W349" s="128">
        <v>1000000</v>
      </c>
      <c r="X349" s="126" t="s">
        <v>1209</v>
      </c>
      <c r="Y349" s="126">
        <v>0</v>
      </c>
      <c r="Z349" s="126">
        <v>0</v>
      </c>
      <c r="AA349" s="126" t="s">
        <v>1</v>
      </c>
      <c r="AB349" s="126" t="s">
        <v>161</v>
      </c>
      <c r="AC349" s="126" t="s">
        <v>162</v>
      </c>
      <c r="AD349" s="126"/>
      <c r="AE349" s="126"/>
      <c r="AF349" s="126"/>
      <c r="AG349" s="126"/>
      <c r="AH349" s="126" t="s">
        <v>316</v>
      </c>
      <c r="AI349" s="126" t="s">
        <v>1940</v>
      </c>
    </row>
    <row r="350" spans="1:35" ht="165" x14ac:dyDescent="0.25">
      <c r="A350" s="46" t="str">
        <f t="shared" si="5"/>
        <v>MEDECRD014120CADENASBPO</v>
      </c>
      <c r="B350" s="126" t="s">
        <v>9</v>
      </c>
      <c r="C350" s="126">
        <v>50527</v>
      </c>
      <c r="D350" s="126" t="s">
        <v>140</v>
      </c>
      <c r="E350" s="126" t="s">
        <v>177</v>
      </c>
      <c r="F350" s="127">
        <v>44531</v>
      </c>
      <c r="G350" s="126" t="s">
        <v>175</v>
      </c>
      <c r="H350" s="126" t="s">
        <v>176</v>
      </c>
      <c r="I350" s="126">
        <v>1</v>
      </c>
      <c r="J350" s="126" t="s">
        <v>183</v>
      </c>
      <c r="K350" s="126" t="s">
        <v>316</v>
      </c>
      <c r="L350" s="126" t="s">
        <v>1937</v>
      </c>
      <c r="M350" s="126">
        <v>1</v>
      </c>
      <c r="N350" s="126">
        <v>7445</v>
      </c>
      <c r="O350" s="126" t="s">
        <v>1938</v>
      </c>
      <c r="P350" s="126" t="s">
        <v>172</v>
      </c>
      <c r="Q350" s="126" t="s">
        <v>224</v>
      </c>
      <c r="R350" s="126" t="s">
        <v>224</v>
      </c>
      <c r="S350" s="126" t="s">
        <v>225</v>
      </c>
      <c r="T350" s="126" t="s">
        <v>160</v>
      </c>
      <c r="U350" s="126"/>
      <c r="V350" s="128">
        <v>1000000</v>
      </c>
      <c r="W350" s="128">
        <v>1000000</v>
      </c>
      <c r="X350" s="126" t="s">
        <v>1209</v>
      </c>
      <c r="Y350" s="126">
        <v>0</v>
      </c>
      <c r="Z350" s="126" t="s">
        <v>233</v>
      </c>
      <c r="AA350" s="126" t="s">
        <v>1</v>
      </c>
      <c r="AB350" s="126" t="s">
        <v>161</v>
      </c>
      <c r="AC350" s="126" t="s">
        <v>208</v>
      </c>
      <c r="AD350" s="127">
        <v>44612</v>
      </c>
      <c r="AE350" s="126"/>
      <c r="AF350" s="127">
        <v>44612</v>
      </c>
      <c r="AG350" s="126"/>
      <c r="AH350" s="126" t="s">
        <v>316</v>
      </c>
      <c r="AI350" s="126" t="s">
        <v>1941</v>
      </c>
    </row>
    <row r="351" spans="1:35" ht="165" x14ac:dyDescent="0.25">
      <c r="A351" s="46" t="str">
        <f t="shared" si="5"/>
        <v>MEDECRD014424CADENASBPO</v>
      </c>
      <c r="B351" s="126" t="s">
        <v>9</v>
      </c>
      <c r="C351" s="126">
        <v>50527</v>
      </c>
      <c r="D351" s="126" t="s">
        <v>140</v>
      </c>
      <c r="E351" s="126" t="s">
        <v>177</v>
      </c>
      <c r="F351" s="127">
        <v>44531</v>
      </c>
      <c r="G351" s="126" t="s">
        <v>175</v>
      </c>
      <c r="H351" s="126" t="s">
        <v>176</v>
      </c>
      <c r="I351" s="126">
        <v>1</v>
      </c>
      <c r="J351" s="126" t="s">
        <v>183</v>
      </c>
      <c r="K351" s="126" t="s">
        <v>316</v>
      </c>
      <c r="L351" s="126" t="s">
        <v>1937</v>
      </c>
      <c r="M351" s="126">
        <v>1</v>
      </c>
      <c r="N351" s="126">
        <v>7445</v>
      </c>
      <c r="O351" s="126" t="s">
        <v>1938</v>
      </c>
      <c r="P351" s="126" t="s">
        <v>169</v>
      </c>
      <c r="Q351" s="126" t="s">
        <v>159</v>
      </c>
      <c r="R351" s="126" t="s">
        <v>159</v>
      </c>
      <c r="S351" s="126" t="s">
        <v>174</v>
      </c>
      <c r="T351" s="126" t="s">
        <v>160</v>
      </c>
      <c r="U351" s="126"/>
      <c r="V351" s="128">
        <v>1000000</v>
      </c>
      <c r="W351" s="128">
        <v>1000000</v>
      </c>
      <c r="X351" s="126" t="s">
        <v>1209</v>
      </c>
      <c r="Y351" s="126">
        <v>0</v>
      </c>
      <c r="Z351" s="126">
        <v>0</v>
      </c>
      <c r="AA351" s="126" t="s">
        <v>1</v>
      </c>
      <c r="AB351" s="126" t="s">
        <v>161</v>
      </c>
      <c r="AC351" s="126" t="s">
        <v>162</v>
      </c>
      <c r="AD351" s="126"/>
      <c r="AE351" s="126"/>
      <c r="AF351" s="126"/>
      <c r="AG351" s="126"/>
      <c r="AH351" s="126" t="s">
        <v>316</v>
      </c>
      <c r="AI351" s="126" t="s">
        <v>1942</v>
      </c>
    </row>
    <row r="352" spans="1:35" ht="165" x14ac:dyDescent="0.25">
      <c r="A352" s="46" t="str">
        <f t="shared" si="5"/>
        <v>MEDECRD014119CADENASBPO</v>
      </c>
      <c r="B352" s="126" t="s">
        <v>9</v>
      </c>
      <c r="C352" s="126">
        <v>50527</v>
      </c>
      <c r="D352" s="126" t="s">
        <v>140</v>
      </c>
      <c r="E352" s="126" t="s">
        <v>177</v>
      </c>
      <c r="F352" s="127">
        <v>44531</v>
      </c>
      <c r="G352" s="126" t="s">
        <v>175</v>
      </c>
      <c r="H352" s="126" t="s">
        <v>176</v>
      </c>
      <c r="I352" s="126">
        <v>1</v>
      </c>
      <c r="J352" s="126" t="s">
        <v>183</v>
      </c>
      <c r="K352" s="126" t="s">
        <v>316</v>
      </c>
      <c r="L352" s="126" t="s">
        <v>1937</v>
      </c>
      <c r="M352" s="126">
        <v>1</v>
      </c>
      <c r="N352" s="126">
        <v>7445</v>
      </c>
      <c r="O352" s="126" t="s">
        <v>1938</v>
      </c>
      <c r="P352" s="126" t="s">
        <v>172</v>
      </c>
      <c r="Q352" s="126" t="s">
        <v>141</v>
      </c>
      <c r="R352" s="126" t="s">
        <v>141</v>
      </c>
      <c r="S352" s="126" t="s">
        <v>214</v>
      </c>
      <c r="T352" s="126" t="s">
        <v>160</v>
      </c>
      <c r="U352" s="126"/>
      <c r="V352" s="128">
        <v>1000000</v>
      </c>
      <c r="W352" s="128">
        <v>1000000</v>
      </c>
      <c r="X352" s="126" t="s">
        <v>1209</v>
      </c>
      <c r="Y352" s="126">
        <v>0</v>
      </c>
      <c r="Z352" s="126" t="s">
        <v>233</v>
      </c>
      <c r="AA352" s="126" t="s">
        <v>1</v>
      </c>
      <c r="AB352" s="126" t="s">
        <v>161</v>
      </c>
      <c r="AC352" s="126" t="s">
        <v>208</v>
      </c>
      <c r="AD352" s="127">
        <v>44612</v>
      </c>
      <c r="AE352" s="126"/>
      <c r="AF352" s="127">
        <v>44612</v>
      </c>
      <c r="AG352" s="126"/>
      <c r="AH352" s="126" t="s">
        <v>316</v>
      </c>
      <c r="AI352" s="126" t="s">
        <v>1943</v>
      </c>
    </row>
    <row r="353" spans="1:35" ht="165" x14ac:dyDescent="0.25">
      <c r="A353" s="46" t="str">
        <f t="shared" si="5"/>
        <v>MEDECRD014116CADENASBPO</v>
      </c>
      <c r="B353" s="126" t="s">
        <v>9</v>
      </c>
      <c r="C353" s="126">
        <v>50527</v>
      </c>
      <c r="D353" s="126" t="s">
        <v>140</v>
      </c>
      <c r="E353" s="126" t="s">
        <v>177</v>
      </c>
      <c r="F353" s="127">
        <v>44531</v>
      </c>
      <c r="G353" s="126" t="s">
        <v>175</v>
      </c>
      <c r="H353" s="126" t="s">
        <v>176</v>
      </c>
      <c r="I353" s="126">
        <v>1</v>
      </c>
      <c r="J353" s="126" t="s">
        <v>183</v>
      </c>
      <c r="K353" s="126" t="s">
        <v>316</v>
      </c>
      <c r="L353" s="126" t="s">
        <v>1937</v>
      </c>
      <c r="M353" s="126">
        <v>1</v>
      </c>
      <c r="N353" s="126">
        <v>7445</v>
      </c>
      <c r="O353" s="126" t="s">
        <v>1938</v>
      </c>
      <c r="P353" s="126" t="s">
        <v>172</v>
      </c>
      <c r="Q353" s="126" t="s">
        <v>236</v>
      </c>
      <c r="R353" s="126" t="s">
        <v>236</v>
      </c>
      <c r="S353" s="126" t="s">
        <v>415</v>
      </c>
      <c r="T353" s="126" t="s">
        <v>160</v>
      </c>
      <c r="U353" s="126"/>
      <c r="V353" s="128">
        <v>1000000</v>
      </c>
      <c r="W353" s="128">
        <v>1000000</v>
      </c>
      <c r="X353" s="126" t="s">
        <v>1209</v>
      </c>
      <c r="Y353" s="126">
        <v>0</v>
      </c>
      <c r="Z353" s="126" t="s">
        <v>639</v>
      </c>
      <c r="AA353" s="126" t="s">
        <v>1</v>
      </c>
      <c r="AB353" s="126" t="s">
        <v>161</v>
      </c>
      <c r="AC353" s="126" t="s">
        <v>208</v>
      </c>
      <c r="AD353" s="127">
        <v>44826</v>
      </c>
      <c r="AE353" s="126"/>
      <c r="AF353" s="127">
        <v>44826</v>
      </c>
      <c r="AG353" s="126"/>
      <c r="AH353" s="126" t="s">
        <v>316</v>
      </c>
      <c r="AI353" s="126" t="s">
        <v>1944</v>
      </c>
    </row>
    <row r="354" spans="1:35" ht="165" x14ac:dyDescent="0.25">
      <c r="A354" s="46" t="str">
        <f t="shared" si="5"/>
        <v>MEDECRD024849AUTOSERVICIONUTRESA</v>
      </c>
      <c r="B354" s="126" t="s">
        <v>9</v>
      </c>
      <c r="C354" s="126">
        <v>50562</v>
      </c>
      <c r="D354" s="126" t="s">
        <v>140</v>
      </c>
      <c r="E354" s="126" t="s">
        <v>177</v>
      </c>
      <c r="F354" s="127">
        <v>44533</v>
      </c>
      <c r="G354" s="126" t="s">
        <v>175</v>
      </c>
      <c r="H354" s="126" t="s">
        <v>176</v>
      </c>
      <c r="I354" s="126">
        <v>1</v>
      </c>
      <c r="J354" s="126" t="s">
        <v>184</v>
      </c>
      <c r="K354" s="126" t="s">
        <v>316</v>
      </c>
      <c r="L354" s="126" t="s">
        <v>1945</v>
      </c>
      <c r="M354" s="126">
        <v>1</v>
      </c>
      <c r="N354" s="126">
        <v>83118</v>
      </c>
      <c r="O354" s="126" t="s">
        <v>640</v>
      </c>
      <c r="P354" s="126" t="s">
        <v>168</v>
      </c>
      <c r="Q354" s="126" t="s">
        <v>467</v>
      </c>
      <c r="R354" s="126" t="s">
        <v>467</v>
      </c>
      <c r="S354" s="126" t="s">
        <v>468</v>
      </c>
      <c r="T354" s="126" t="s">
        <v>160</v>
      </c>
      <c r="U354" s="126"/>
      <c r="V354" s="128">
        <v>25000000000</v>
      </c>
      <c r="W354" s="128">
        <v>25000000000</v>
      </c>
      <c r="X354" s="126" t="s">
        <v>1209</v>
      </c>
      <c r="Y354" s="126">
        <v>0</v>
      </c>
      <c r="Z354" s="126">
        <v>0</v>
      </c>
      <c r="AA354" s="126" t="s">
        <v>0</v>
      </c>
      <c r="AB354" s="126" t="s">
        <v>140</v>
      </c>
      <c r="AC354" s="126" t="s">
        <v>162</v>
      </c>
      <c r="AD354" s="126"/>
      <c r="AE354" s="126"/>
      <c r="AF354" s="126"/>
      <c r="AG354" s="126"/>
      <c r="AH354" s="126" t="s">
        <v>316</v>
      </c>
      <c r="AI354" s="126" t="s">
        <v>1946</v>
      </c>
    </row>
    <row r="355" spans="1:35" ht="165" x14ac:dyDescent="0.25">
      <c r="A355" s="46" t="str">
        <f t="shared" si="5"/>
        <v>MEDECRD024999CADENASNUTRESA</v>
      </c>
      <c r="B355" s="126" t="s">
        <v>9</v>
      </c>
      <c r="C355" s="126">
        <v>50563</v>
      </c>
      <c r="D355" s="126" t="s">
        <v>140</v>
      </c>
      <c r="E355" s="126" t="s">
        <v>177</v>
      </c>
      <c r="F355" s="127">
        <v>44533</v>
      </c>
      <c r="G355" s="126" t="s">
        <v>175</v>
      </c>
      <c r="H355" s="126" t="s">
        <v>176</v>
      </c>
      <c r="I355" s="126">
        <v>1</v>
      </c>
      <c r="J355" s="126" t="s">
        <v>184</v>
      </c>
      <c r="K355" s="126" t="s">
        <v>316</v>
      </c>
      <c r="L355" s="126" t="s">
        <v>1947</v>
      </c>
      <c r="M355" s="126">
        <v>1</v>
      </c>
      <c r="N355" s="126">
        <v>123</v>
      </c>
      <c r="O355" s="126" t="s">
        <v>641</v>
      </c>
      <c r="P355" s="126" t="s">
        <v>168</v>
      </c>
      <c r="Q355" s="126" t="s">
        <v>642</v>
      </c>
      <c r="R355" s="126" t="s">
        <v>642</v>
      </c>
      <c r="S355" s="126" t="s">
        <v>643</v>
      </c>
      <c r="T355" s="126" t="s">
        <v>160</v>
      </c>
      <c r="U355" s="126"/>
      <c r="V355" s="128">
        <v>20000000</v>
      </c>
      <c r="W355" s="128">
        <v>20000000</v>
      </c>
      <c r="X355" s="126" t="s">
        <v>1209</v>
      </c>
      <c r="Y355" s="126">
        <v>0</v>
      </c>
      <c r="Z355" s="126">
        <v>0</v>
      </c>
      <c r="AA355" s="126" t="s">
        <v>1</v>
      </c>
      <c r="AB355" s="126" t="s">
        <v>140</v>
      </c>
      <c r="AC355" s="126" t="s">
        <v>162</v>
      </c>
      <c r="AD355" s="126"/>
      <c r="AE355" s="126"/>
      <c r="AF355" s="126"/>
      <c r="AG355" s="126"/>
      <c r="AH355" s="126" t="s">
        <v>316</v>
      </c>
      <c r="AI355" s="126" t="s">
        <v>1948</v>
      </c>
    </row>
    <row r="356" spans="1:35" ht="90" x14ac:dyDescent="0.25">
      <c r="A356" s="46" t="str">
        <f t="shared" si="5"/>
        <v>MEDECRD012466CADENASNUTRESA</v>
      </c>
      <c r="B356" s="126" t="s">
        <v>9</v>
      </c>
      <c r="C356" s="126">
        <v>50564</v>
      </c>
      <c r="D356" s="126" t="s">
        <v>140</v>
      </c>
      <c r="E356" s="126" t="s">
        <v>177</v>
      </c>
      <c r="F356" s="127">
        <v>44533</v>
      </c>
      <c r="G356" s="126" t="s">
        <v>175</v>
      </c>
      <c r="H356" s="126" t="s">
        <v>176</v>
      </c>
      <c r="I356" s="126">
        <v>1</v>
      </c>
      <c r="J356" s="126" t="s">
        <v>184</v>
      </c>
      <c r="K356" s="126" t="s">
        <v>316</v>
      </c>
      <c r="L356" s="126" t="s">
        <v>1949</v>
      </c>
      <c r="M356" s="126">
        <v>1</v>
      </c>
      <c r="N356" s="126">
        <v>7455</v>
      </c>
      <c r="O356" s="126" t="s">
        <v>1950</v>
      </c>
      <c r="P356" s="126" t="s">
        <v>172</v>
      </c>
      <c r="Q356" s="126" t="s">
        <v>520</v>
      </c>
      <c r="R356" s="126" t="s">
        <v>520</v>
      </c>
      <c r="S356" s="126" t="s">
        <v>521</v>
      </c>
      <c r="T356" s="126" t="s">
        <v>160</v>
      </c>
      <c r="U356" s="126"/>
      <c r="V356" s="128">
        <v>4000000</v>
      </c>
      <c r="W356" s="128">
        <v>4000000</v>
      </c>
      <c r="X356" s="126" t="s">
        <v>1209</v>
      </c>
      <c r="Y356" s="126">
        <v>0</v>
      </c>
      <c r="Z356" s="126" t="s">
        <v>647</v>
      </c>
      <c r="AA356" s="126" t="s">
        <v>1</v>
      </c>
      <c r="AB356" s="126" t="s">
        <v>140</v>
      </c>
      <c r="AC356" s="126" t="s">
        <v>162</v>
      </c>
      <c r="AD356" s="127">
        <v>45257</v>
      </c>
      <c r="AE356" s="126"/>
      <c r="AF356" s="127">
        <v>45257</v>
      </c>
      <c r="AG356" s="126"/>
      <c r="AH356" s="126" t="s">
        <v>316</v>
      </c>
      <c r="AI356" s="126" t="s">
        <v>1951</v>
      </c>
    </row>
    <row r="357" spans="1:35" ht="90" x14ac:dyDescent="0.25">
      <c r="A357" s="46" t="str">
        <f t="shared" si="5"/>
        <v>MEDECRD023444CADENASNUTRESA</v>
      </c>
      <c r="B357" s="126" t="s">
        <v>9</v>
      </c>
      <c r="C357" s="126">
        <v>50564</v>
      </c>
      <c r="D357" s="126" t="s">
        <v>140</v>
      </c>
      <c r="E357" s="126" t="s">
        <v>177</v>
      </c>
      <c r="F357" s="127">
        <v>44533</v>
      </c>
      <c r="G357" s="126" t="s">
        <v>175</v>
      </c>
      <c r="H357" s="126" t="s">
        <v>176</v>
      </c>
      <c r="I357" s="126">
        <v>1</v>
      </c>
      <c r="J357" s="126" t="s">
        <v>184</v>
      </c>
      <c r="K357" s="126" t="s">
        <v>316</v>
      </c>
      <c r="L357" s="126" t="s">
        <v>1949</v>
      </c>
      <c r="M357" s="126">
        <v>1</v>
      </c>
      <c r="N357" s="126">
        <v>7455</v>
      </c>
      <c r="O357" s="126" t="s">
        <v>1950</v>
      </c>
      <c r="P357" s="126" t="s">
        <v>172</v>
      </c>
      <c r="Q357" s="126" t="s">
        <v>523</v>
      </c>
      <c r="R357" s="126" t="s">
        <v>523</v>
      </c>
      <c r="S357" s="126" t="s">
        <v>524</v>
      </c>
      <c r="T357" s="126" t="s">
        <v>160</v>
      </c>
      <c r="U357" s="126"/>
      <c r="V357" s="128">
        <v>4000000</v>
      </c>
      <c r="W357" s="128">
        <v>4000000</v>
      </c>
      <c r="X357" s="126" t="s">
        <v>1209</v>
      </c>
      <c r="Y357" s="126">
        <v>0</v>
      </c>
      <c r="Z357" s="126" t="s">
        <v>645</v>
      </c>
      <c r="AA357" s="126" t="s">
        <v>1</v>
      </c>
      <c r="AB357" s="126" t="s">
        <v>140</v>
      </c>
      <c r="AC357" s="126" t="s">
        <v>162</v>
      </c>
      <c r="AD357" s="127">
        <v>44832</v>
      </c>
      <c r="AE357" s="126"/>
      <c r="AF357" s="127">
        <v>44832</v>
      </c>
      <c r="AG357" s="126"/>
      <c r="AH357" s="126" t="s">
        <v>316</v>
      </c>
      <c r="AI357" s="126" t="s">
        <v>1952</v>
      </c>
    </row>
    <row r="358" spans="1:35" ht="90" x14ac:dyDescent="0.25">
      <c r="A358" s="46" t="str">
        <f t="shared" si="5"/>
        <v>MEDECRD012719CADENASNUTRESA</v>
      </c>
      <c r="B358" s="126" t="s">
        <v>9</v>
      </c>
      <c r="C358" s="126">
        <v>50564</v>
      </c>
      <c r="D358" s="126" t="s">
        <v>140</v>
      </c>
      <c r="E358" s="126" t="s">
        <v>177</v>
      </c>
      <c r="F358" s="127">
        <v>44533</v>
      </c>
      <c r="G358" s="126" t="s">
        <v>175</v>
      </c>
      <c r="H358" s="126" t="s">
        <v>176</v>
      </c>
      <c r="I358" s="126">
        <v>1</v>
      </c>
      <c r="J358" s="126" t="s">
        <v>184</v>
      </c>
      <c r="K358" s="126" t="s">
        <v>316</v>
      </c>
      <c r="L358" s="126" t="s">
        <v>1949</v>
      </c>
      <c r="M358" s="126">
        <v>1</v>
      </c>
      <c r="N358" s="126">
        <v>7455</v>
      </c>
      <c r="O358" s="126" t="s">
        <v>1950</v>
      </c>
      <c r="P358" s="126" t="s">
        <v>172</v>
      </c>
      <c r="Q358" s="126" t="s">
        <v>533</v>
      </c>
      <c r="R358" s="126" t="s">
        <v>533</v>
      </c>
      <c r="S358" s="126" t="s">
        <v>534</v>
      </c>
      <c r="T358" s="126" t="s">
        <v>160</v>
      </c>
      <c r="U358" s="126"/>
      <c r="V358" s="128">
        <v>4000000</v>
      </c>
      <c r="W358" s="128">
        <v>4000000</v>
      </c>
      <c r="X358" s="126" t="s">
        <v>1209</v>
      </c>
      <c r="Y358" s="126">
        <v>0</v>
      </c>
      <c r="Z358" s="126" t="s">
        <v>646</v>
      </c>
      <c r="AA358" s="126" t="s">
        <v>1</v>
      </c>
      <c r="AB358" s="126" t="s">
        <v>140</v>
      </c>
      <c r="AC358" s="126" t="s">
        <v>162</v>
      </c>
      <c r="AD358" s="127">
        <v>44808</v>
      </c>
      <c r="AE358" s="126"/>
      <c r="AF358" s="127">
        <v>44808</v>
      </c>
      <c r="AG358" s="126"/>
      <c r="AH358" s="126" t="s">
        <v>316</v>
      </c>
      <c r="AI358" s="126" t="s">
        <v>1953</v>
      </c>
    </row>
    <row r="359" spans="1:35" ht="90" x14ac:dyDescent="0.25">
      <c r="A359" s="46" t="str">
        <f t="shared" si="5"/>
        <v>MEDECRD012726CADENASNUTRESA</v>
      </c>
      <c r="B359" s="126" t="s">
        <v>9</v>
      </c>
      <c r="C359" s="126">
        <v>50564</v>
      </c>
      <c r="D359" s="126" t="s">
        <v>140</v>
      </c>
      <c r="E359" s="126" t="s">
        <v>177</v>
      </c>
      <c r="F359" s="127">
        <v>44533</v>
      </c>
      <c r="G359" s="126" t="s">
        <v>175</v>
      </c>
      <c r="H359" s="126" t="s">
        <v>176</v>
      </c>
      <c r="I359" s="126">
        <v>1</v>
      </c>
      <c r="J359" s="126" t="s">
        <v>184</v>
      </c>
      <c r="K359" s="126" t="s">
        <v>316</v>
      </c>
      <c r="L359" s="126" t="s">
        <v>1949</v>
      </c>
      <c r="M359" s="126">
        <v>1</v>
      </c>
      <c r="N359" s="126">
        <v>7455</v>
      </c>
      <c r="O359" s="126" t="s">
        <v>1950</v>
      </c>
      <c r="P359" s="126" t="s">
        <v>172</v>
      </c>
      <c r="Q359" s="126" t="s">
        <v>526</v>
      </c>
      <c r="R359" s="126" t="s">
        <v>526</v>
      </c>
      <c r="S359" s="126" t="s">
        <v>527</v>
      </c>
      <c r="T359" s="126" t="s">
        <v>160</v>
      </c>
      <c r="U359" s="126"/>
      <c r="V359" s="128">
        <v>4000000</v>
      </c>
      <c r="W359" s="128">
        <v>4000000</v>
      </c>
      <c r="X359" s="126" t="s">
        <v>1209</v>
      </c>
      <c r="Y359" s="126">
        <v>0</v>
      </c>
      <c r="Z359" s="126" t="s">
        <v>648</v>
      </c>
      <c r="AA359" s="126" t="s">
        <v>1</v>
      </c>
      <c r="AB359" s="126" t="s">
        <v>140</v>
      </c>
      <c r="AC359" s="126" t="s">
        <v>162</v>
      </c>
      <c r="AD359" s="127">
        <v>45018</v>
      </c>
      <c r="AE359" s="126"/>
      <c r="AF359" s="127">
        <v>45018</v>
      </c>
      <c r="AG359" s="126"/>
      <c r="AH359" s="126" t="s">
        <v>316</v>
      </c>
      <c r="AI359" s="126" t="s">
        <v>1954</v>
      </c>
    </row>
    <row r="360" spans="1:35" ht="90" x14ac:dyDescent="0.25">
      <c r="A360" s="46" t="str">
        <f t="shared" si="5"/>
        <v>MEDECRD002384CADENASNUTRESA</v>
      </c>
      <c r="B360" s="126" t="s">
        <v>9</v>
      </c>
      <c r="C360" s="126">
        <v>50564</v>
      </c>
      <c r="D360" s="126" t="s">
        <v>140</v>
      </c>
      <c r="E360" s="126" t="s">
        <v>177</v>
      </c>
      <c r="F360" s="127">
        <v>44533</v>
      </c>
      <c r="G360" s="126" t="s">
        <v>175</v>
      </c>
      <c r="H360" s="126" t="s">
        <v>176</v>
      </c>
      <c r="I360" s="126">
        <v>1</v>
      </c>
      <c r="J360" s="126" t="s">
        <v>184</v>
      </c>
      <c r="K360" s="126" t="s">
        <v>316</v>
      </c>
      <c r="L360" s="126" t="s">
        <v>1949</v>
      </c>
      <c r="M360" s="126">
        <v>1</v>
      </c>
      <c r="N360" s="126">
        <v>7455</v>
      </c>
      <c r="O360" s="126" t="s">
        <v>1950</v>
      </c>
      <c r="P360" s="126" t="s">
        <v>172</v>
      </c>
      <c r="Q360" s="126" t="s">
        <v>361</v>
      </c>
      <c r="R360" s="126" t="s">
        <v>361</v>
      </c>
      <c r="S360" s="126" t="s">
        <v>362</v>
      </c>
      <c r="T360" s="126" t="s">
        <v>160</v>
      </c>
      <c r="U360" s="126"/>
      <c r="V360" s="128">
        <v>4000000</v>
      </c>
      <c r="W360" s="128">
        <v>4000000</v>
      </c>
      <c r="X360" s="126" t="s">
        <v>1209</v>
      </c>
      <c r="Y360" s="126">
        <v>0</v>
      </c>
      <c r="Z360" s="126" t="s">
        <v>649</v>
      </c>
      <c r="AA360" s="126" t="s">
        <v>1</v>
      </c>
      <c r="AB360" s="126" t="s">
        <v>140</v>
      </c>
      <c r="AC360" s="126" t="s">
        <v>162</v>
      </c>
      <c r="AD360" s="127">
        <v>44815</v>
      </c>
      <c r="AE360" s="126"/>
      <c r="AF360" s="127">
        <v>44815</v>
      </c>
      <c r="AG360" s="126"/>
      <c r="AH360" s="126" t="s">
        <v>316</v>
      </c>
      <c r="AI360" s="126" t="s">
        <v>1955</v>
      </c>
    </row>
    <row r="361" spans="1:35" ht="90" x14ac:dyDescent="0.25">
      <c r="A361" s="46" t="str">
        <f t="shared" si="5"/>
        <v>MEDECRD001185CADENASNUTRESA</v>
      </c>
      <c r="B361" s="126" t="s">
        <v>9</v>
      </c>
      <c r="C361" s="126">
        <v>50564</v>
      </c>
      <c r="D361" s="126" t="s">
        <v>140</v>
      </c>
      <c r="E361" s="126" t="s">
        <v>177</v>
      </c>
      <c r="F361" s="127">
        <v>44533</v>
      </c>
      <c r="G361" s="126" t="s">
        <v>175</v>
      </c>
      <c r="H361" s="126" t="s">
        <v>176</v>
      </c>
      <c r="I361" s="126">
        <v>1</v>
      </c>
      <c r="J361" s="126" t="s">
        <v>184</v>
      </c>
      <c r="K361" s="126" t="s">
        <v>316</v>
      </c>
      <c r="L361" s="126" t="s">
        <v>1949</v>
      </c>
      <c r="M361" s="126">
        <v>1</v>
      </c>
      <c r="N361" s="126">
        <v>7455</v>
      </c>
      <c r="O361" s="126" t="s">
        <v>1950</v>
      </c>
      <c r="P361" s="126" t="s">
        <v>172</v>
      </c>
      <c r="Q361" s="126" t="s">
        <v>356</v>
      </c>
      <c r="R361" s="126" t="s">
        <v>356</v>
      </c>
      <c r="S361" s="126" t="s">
        <v>357</v>
      </c>
      <c r="T361" s="126" t="s">
        <v>163</v>
      </c>
      <c r="U361" s="126"/>
      <c r="V361" s="128">
        <v>4000000</v>
      </c>
      <c r="W361" s="128">
        <v>4000000</v>
      </c>
      <c r="X361" s="126" t="s">
        <v>1209</v>
      </c>
      <c r="Y361" s="126">
        <v>0</v>
      </c>
      <c r="Z361" s="126" t="s">
        <v>644</v>
      </c>
      <c r="AA361" s="126" t="s">
        <v>1</v>
      </c>
      <c r="AB361" s="126" t="s">
        <v>140</v>
      </c>
      <c r="AC361" s="126" t="s">
        <v>162</v>
      </c>
      <c r="AD361" s="127">
        <v>44887</v>
      </c>
      <c r="AE361" s="126"/>
      <c r="AF361" s="127">
        <v>44887</v>
      </c>
      <c r="AG361" s="126"/>
      <c r="AH361" s="126" t="s">
        <v>316</v>
      </c>
      <c r="AI361" s="126" t="s">
        <v>1956</v>
      </c>
    </row>
    <row r="362" spans="1:35" ht="90" x14ac:dyDescent="0.25">
      <c r="A362" s="46" t="str">
        <f t="shared" si="5"/>
        <v>MEDEACT000244TRADICIONALNUTRESA</v>
      </c>
      <c r="B362" s="126" t="s">
        <v>9</v>
      </c>
      <c r="C362" s="126">
        <v>50569</v>
      </c>
      <c r="D362" s="126" t="s">
        <v>140</v>
      </c>
      <c r="E362" s="126" t="s">
        <v>177</v>
      </c>
      <c r="F362" s="127">
        <v>44533</v>
      </c>
      <c r="G362" s="126" t="s">
        <v>175</v>
      </c>
      <c r="H362" s="126" t="s">
        <v>176</v>
      </c>
      <c r="I362" s="126">
        <v>1</v>
      </c>
      <c r="J362" s="126" t="s">
        <v>183</v>
      </c>
      <c r="K362" s="126" t="s">
        <v>316</v>
      </c>
      <c r="L362" s="126" t="s">
        <v>1957</v>
      </c>
      <c r="M362" s="126">
        <v>1</v>
      </c>
      <c r="N362" s="126">
        <v>7454</v>
      </c>
      <c r="O362" s="126" t="s">
        <v>1958</v>
      </c>
      <c r="P362" s="126" t="s">
        <v>170</v>
      </c>
      <c r="Q362" s="126" t="s">
        <v>374</v>
      </c>
      <c r="R362" s="126" t="s">
        <v>374</v>
      </c>
      <c r="S362" s="126" t="s">
        <v>375</v>
      </c>
      <c r="T362" s="126" t="s">
        <v>160</v>
      </c>
      <c r="U362" s="126"/>
      <c r="V362" s="128">
        <v>1000000</v>
      </c>
      <c r="W362" s="128">
        <v>1000000</v>
      </c>
      <c r="X362" s="126" t="s">
        <v>1209</v>
      </c>
      <c r="Y362" s="126">
        <v>104775</v>
      </c>
      <c r="Z362" s="126">
        <v>0</v>
      </c>
      <c r="AA362" s="126" t="s">
        <v>2</v>
      </c>
      <c r="AB362" s="126" t="s">
        <v>140</v>
      </c>
      <c r="AC362" s="126" t="s">
        <v>165</v>
      </c>
      <c r="AD362" s="126"/>
      <c r="AE362" s="126"/>
      <c r="AF362" s="126"/>
      <c r="AG362" s="126"/>
      <c r="AH362" s="126" t="s">
        <v>316</v>
      </c>
      <c r="AI362" s="126" t="s">
        <v>1959</v>
      </c>
    </row>
    <row r="363" spans="1:35" ht="105" x14ac:dyDescent="0.25">
      <c r="A363" s="46" t="str">
        <f t="shared" si="5"/>
        <v>MEDECRD022273AUTOSERVICIONUTRESA</v>
      </c>
      <c r="B363" s="126" t="s">
        <v>9</v>
      </c>
      <c r="C363" s="126">
        <v>50570</v>
      </c>
      <c r="D363" s="126" t="s">
        <v>140</v>
      </c>
      <c r="E363" s="126" t="s">
        <v>177</v>
      </c>
      <c r="F363" s="127">
        <v>44533</v>
      </c>
      <c r="G363" s="126" t="s">
        <v>175</v>
      </c>
      <c r="H363" s="126" t="s">
        <v>176</v>
      </c>
      <c r="I363" s="126">
        <v>1</v>
      </c>
      <c r="J363" s="126" t="s">
        <v>183</v>
      </c>
      <c r="K363" s="126" t="s">
        <v>316</v>
      </c>
      <c r="L363" s="126" t="s">
        <v>1960</v>
      </c>
      <c r="M363" s="126">
        <v>1</v>
      </c>
      <c r="N363" s="126">
        <v>7453</v>
      </c>
      <c r="O363" s="126" t="s">
        <v>1961</v>
      </c>
      <c r="P363" s="126" t="s">
        <v>170</v>
      </c>
      <c r="Q363" s="126" t="s">
        <v>250</v>
      </c>
      <c r="R363" s="126" t="s">
        <v>250</v>
      </c>
      <c r="S363" s="126" t="s">
        <v>255</v>
      </c>
      <c r="T363" s="126" t="s">
        <v>160</v>
      </c>
      <c r="U363" s="126"/>
      <c r="V363" s="128">
        <v>1000000</v>
      </c>
      <c r="W363" s="128">
        <v>1000000</v>
      </c>
      <c r="X363" s="126" t="s">
        <v>1209</v>
      </c>
      <c r="Y363" s="126">
        <v>0</v>
      </c>
      <c r="Z363" s="126">
        <v>0</v>
      </c>
      <c r="AA363" s="126" t="s">
        <v>0</v>
      </c>
      <c r="AB363" s="126" t="s">
        <v>140</v>
      </c>
      <c r="AC363" s="126" t="s">
        <v>165</v>
      </c>
      <c r="AD363" s="126"/>
      <c r="AE363" s="126"/>
      <c r="AF363" s="126"/>
      <c r="AG363" s="126"/>
      <c r="AH363" s="126" t="s">
        <v>316</v>
      </c>
      <c r="AI363" s="126" t="s">
        <v>1962</v>
      </c>
    </row>
    <row r="364" spans="1:35" ht="105" x14ac:dyDescent="0.25">
      <c r="A364" s="46" t="str">
        <f t="shared" si="5"/>
        <v>MEDECRD019458AUTOSERVICIONUTRESA</v>
      </c>
      <c r="B364" s="126" t="s">
        <v>9</v>
      </c>
      <c r="C364" s="126">
        <v>50570</v>
      </c>
      <c r="D364" s="126" t="s">
        <v>140</v>
      </c>
      <c r="E364" s="126" t="s">
        <v>177</v>
      </c>
      <c r="F364" s="127">
        <v>44533</v>
      </c>
      <c r="G364" s="126" t="s">
        <v>175</v>
      </c>
      <c r="H364" s="126" t="s">
        <v>176</v>
      </c>
      <c r="I364" s="126">
        <v>1</v>
      </c>
      <c r="J364" s="126" t="s">
        <v>183</v>
      </c>
      <c r="K364" s="126" t="s">
        <v>316</v>
      </c>
      <c r="L364" s="126" t="s">
        <v>1960</v>
      </c>
      <c r="M364" s="126">
        <v>1</v>
      </c>
      <c r="N364" s="126">
        <v>7453</v>
      </c>
      <c r="O364" s="126" t="s">
        <v>1961</v>
      </c>
      <c r="P364" s="126" t="s">
        <v>170</v>
      </c>
      <c r="Q364" s="126" t="s">
        <v>621</v>
      </c>
      <c r="R364" s="126" t="s">
        <v>621</v>
      </c>
      <c r="S364" s="126" t="s">
        <v>622</v>
      </c>
      <c r="T364" s="126" t="s">
        <v>160</v>
      </c>
      <c r="U364" s="126"/>
      <c r="V364" s="128">
        <v>1000000</v>
      </c>
      <c r="W364" s="128">
        <v>1000000</v>
      </c>
      <c r="X364" s="126" t="s">
        <v>1209</v>
      </c>
      <c r="Y364" s="126">
        <v>0</v>
      </c>
      <c r="Z364" s="126">
        <v>0</v>
      </c>
      <c r="AA364" s="126" t="s">
        <v>0</v>
      </c>
      <c r="AB364" s="126" t="s">
        <v>140</v>
      </c>
      <c r="AC364" s="126" t="s">
        <v>218</v>
      </c>
      <c r="AD364" s="126"/>
      <c r="AE364" s="126"/>
      <c r="AF364" s="126"/>
      <c r="AG364" s="126"/>
      <c r="AH364" s="126" t="s">
        <v>316</v>
      </c>
      <c r="AI364" s="126" t="s">
        <v>1963</v>
      </c>
    </row>
    <row r="365" spans="1:35" ht="105" x14ac:dyDescent="0.25">
      <c r="A365" s="46" t="str">
        <f t="shared" si="5"/>
        <v>MEDEACT000017AUTOSERVICIONUTRESA</v>
      </c>
      <c r="B365" s="126" t="s">
        <v>9</v>
      </c>
      <c r="C365" s="126">
        <v>50570</v>
      </c>
      <c r="D365" s="126" t="s">
        <v>140</v>
      </c>
      <c r="E365" s="126" t="s">
        <v>177</v>
      </c>
      <c r="F365" s="127">
        <v>44533</v>
      </c>
      <c r="G365" s="126" t="s">
        <v>175</v>
      </c>
      <c r="H365" s="126" t="s">
        <v>176</v>
      </c>
      <c r="I365" s="126">
        <v>1</v>
      </c>
      <c r="J365" s="126" t="s">
        <v>183</v>
      </c>
      <c r="K365" s="126" t="s">
        <v>316</v>
      </c>
      <c r="L365" s="126" t="s">
        <v>1960</v>
      </c>
      <c r="M365" s="126">
        <v>1</v>
      </c>
      <c r="N365" s="126">
        <v>7453</v>
      </c>
      <c r="O365" s="126" t="s">
        <v>1961</v>
      </c>
      <c r="P365" s="126" t="s">
        <v>170</v>
      </c>
      <c r="Q365" s="126" t="s">
        <v>650</v>
      </c>
      <c r="R365" s="126" t="s">
        <v>650</v>
      </c>
      <c r="S365" s="126" t="s">
        <v>651</v>
      </c>
      <c r="T365" s="126" t="s">
        <v>160</v>
      </c>
      <c r="U365" s="126"/>
      <c r="V365" s="128">
        <v>1000000</v>
      </c>
      <c r="W365" s="128">
        <v>1000000</v>
      </c>
      <c r="X365" s="126" t="s">
        <v>1209</v>
      </c>
      <c r="Y365" s="126">
        <v>119617</v>
      </c>
      <c r="Z365" s="126">
        <v>0</v>
      </c>
      <c r="AA365" s="126" t="s">
        <v>0</v>
      </c>
      <c r="AB365" s="126" t="s">
        <v>140</v>
      </c>
      <c r="AC365" s="126" t="s">
        <v>218</v>
      </c>
      <c r="AD365" s="126"/>
      <c r="AE365" s="126"/>
      <c r="AF365" s="126"/>
      <c r="AG365" s="126"/>
      <c r="AH365" s="126" t="s">
        <v>316</v>
      </c>
      <c r="AI365" s="126" t="s">
        <v>1964</v>
      </c>
    </row>
    <row r="366" spans="1:35" ht="105" x14ac:dyDescent="0.25">
      <c r="A366" s="46" t="str">
        <f t="shared" si="5"/>
        <v>MEDEACT000378AUTOSERVICIONUTRESA</v>
      </c>
      <c r="B366" s="126" t="s">
        <v>9</v>
      </c>
      <c r="C366" s="126">
        <v>50570</v>
      </c>
      <c r="D366" s="126" t="s">
        <v>140</v>
      </c>
      <c r="E366" s="126" t="s">
        <v>177</v>
      </c>
      <c r="F366" s="127">
        <v>44533</v>
      </c>
      <c r="G366" s="126" t="s">
        <v>175</v>
      </c>
      <c r="H366" s="126" t="s">
        <v>176</v>
      </c>
      <c r="I366" s="126">
        <v>1</v>
      </c>
      <c r="J366" s="126" t="s">
        <v>183</v>
      </c>
      <c r="K366" s="126" t="s">
        <v>316</v>
      </c>
      <c r="L366" s="126" t="s">
        <v>1960</v>
      </c>
      <c r="M366" s="126">
        <v>1</v>
      </c>
      <c r="N366" s="126">
        <v>7453</v>
      </c>
      <c r="O366" s="126" t="s">
        <v>1961</v>
      </c>
      <c r="P366" s="126" t="s">
        <v>170</v>
      </c>
      <c r="Q366" s="126" t="s">
        <v>652</v>
      </c>
      <c r="R366" s="126" t="s">
        <v>652</v>
      </c>
      <c r="S366" s="126" t="s">
        <v>653</v>
      </c>
      <c r="T366" s="126" t="s">
        <v>160</v>
      </c>
      <c r="U366" s="126"/>
      <c r="V366" s="128">
        <v>1000000</v>
      </c>
      <c r="W366" s="128">
        <v>1000000</v>
      </c>
      <c r="X366" s="126" t="s">
        <v>1209</v>
      </c>
      <c r="Y366" s="126">
        <v>137740</v>
      </c>
      <c r="Z366" s="126">
        <v>0</v>
      </c>
      <c r="AA366" s="126" t="s">
        <v>0</v>
      </c>
      <c r="AB366" s="126" t="s">
        <v>140</v>
      </c>
      <c r="AC366" s="126" t="s">
        <v>218</v>
      </c>
      <c r="AD366" s="126"/>
      <c r="AE366" s="126"/>
      <c r="AF366" s="126"/>
      <c r="AG366" s="126"/>
      <c r="AH366" s="126" t="s">
        <v>316</v>
      </c>
      <c r="AI366" s="126" t="s">
        <v>1965</v>
      </c>
    </row>
    <row r="367" spans="1:35" ht="165" x14ac:dyDescent="0.25">
      <c r="A367" s="46" t="str">
        <f t="shared" si="5"/>
        <v>MEDECRD021334CADENASNUTRESA</v>
      </c>
      <c r="B367" s="126" t="s">
        <v>9</v>
      </c>
      <c r="C367" s="126">
        <v>50574</v>
      </c>
      <c r="D367" s="126" t="s">
        <v>140</v>
      </c>
      <c r="E367" s="126" t="s">
        <v>177</v>
      </c>
      <c r="F367" s="127">
        <v>44533</v>
      </c>
      <c r="G367" s="126" t="s">
        <v>175</v>
      </c>
      <c r="H367" s="126" t="s">
        <v>176</v>
      </c>
      <c r="I367" s="126">
        <v>1</v>
      </c>
      <c r="J367" s="126" t="s">
        <v>184</v>
      </c>
      <c r="K367" s="126" t="s">
        <v>316</v>
      </c>
      <c r="L367" s="126" t="s">
        <v>1966</v>
      </c>
      <c r="M367" s="126">
        <v>1</v>
      </c>
      <c r="N367" s="126">
        <v>2358</v>
      </c>
      <c r="O367" s="126" t="s">
        <v>654</v>
      </c>
      <c r="P367" s="126" t="s">
        <v>168</v>
      </c>
      <c r="Q367" s="126" t="s">
        <v>655</v>
      </c>
      <c r="R367" s="126" t="s">
        <v>655</v>
      </c>
      <c r="S367" s="126" t="s">
        <v>656</v>
      </c>
      <c r="T367" s="126" t="s">
        <v>160</v>
      </c>
      <c r="U367" s="126"/>
      <c r="V367" s="128">
        <v>30000000</v>
      </c>
      <c r="W367" s="128">
        <v>30000000</v>
      </c>
      <c r="X367" s="126" t="s">
        <v>1209</v>
      </c>
      <c r="Y367" s="126">
        <v>0</v>
      </c>
      <c r="Z367" s="126">
        <v>0</v>
      </c>
      <c r="AA367" s="126" t="s">
        <v>1</v>
      </c>
      <c r="AB367" s="126" t="s">
        <v>140</v>
      </c>
      <c r="AC367" s="126" t="s">
        <v>162</v>
      </c>
      <c r="AD367" s="126"/>
      <c r="AE367" s="126"/>
      <c r="AF367" s="126"/>
      <c r="AG367" s="126"/>
      <c r="AH367" s="126" t="s">
        <v>316</v>
      </c>
      <c r="AI367" s="126" t="s">
        <v>1967</v>
      </c>
    </row>
    <row r="368" spans="1:35" ht="150" x14ac:dyDescent="0.25">
      <c r="A368" s="46" t="str">
        <f t="shared" si="5"/>
        <v>MEDECRD025017CADENASNUTRESA</v>
      </c>
      <c r="B368" s="126" t="s">
        <v>9</v>
      </c>
      <c r="C368" s="126">
        <v>50575</v>
      </c>
      <c r="D368" s="126" t="s">
        <v>140</v>
      </c>
      <c r="E368" s="126" t="s">
        <v>177</v>
      </c>
      <c r="F368" s="127">
        <v>44533</v>
      </c>
      <c r="G368" s="126" t="s">
        <v>175</v>
      </c>
      <c r="H368" s="126" t="s">
        <v>176</v>
      </c>
      <c r="I368" s="126">
        <v>1</v>
      </c>
      <c r="J368" s="126" t="s">
        <v>184</v>
      </c>
      <c r="K368" s="126" t="s">
        <v>316</v>
      </c>
      <c r="L368" s="126" t="s">
        <v>1968</v>
      </c>
      <c r="M368" s="126">
        <v>1</v>
      </c>
      <c r="N368" s="126">
        <v>2852</v>
      </c>
      <c r="O368" s="126" t="s">
        <v>657</v>
      </c>
      <c r="P368" s="126" t="s">
        <v>171</v>
      </c>
      <c r="Q368" s="126" t="s">
        <v>473</v>
      </c>
      <c r="R368" s="126" t="s">
        <v>473</v>
      </c>
      <c r="S368" s="126" t="s">
        <v>474</v>
      </c>
      <c r="T368" s="126" t="s">
        <v>160</v>
      </c>
      <c r="U368" s="126"/>
      <c r="V368" s="128">
        <v>1000000</v>
      </c>
      <c r="W368" s="128">
        <v>1000000</v>
      </c>
      <c r="X368" s="126" t="s">
        <v>1209</v>
      </c>
      <c r="Y368" s="126">
        <v>0</v>
      </c>
      <c r="Z368" s="126">
        <v>0</v>
      </c>
      <c r="AA368" s="126" t="s">
        <v>1</v>
      </c>
      <c r="AB368" s="126" t="s">
        <v>140</v>
      </c>
      <c r="AC368" s="126" t="s">
        <v>162</v>
      </c>
      <c r="AD368" s="126"/>
      <c r="AE368" s="126"/>
      <c r="AF368" s="126"/>
      <c r="AG368" s="126"/>
      <c r="AH368" s="126" t="s">
        <v>316</v>
      </c>
      <c r="AI368" s="126" t="s">
        <v>1969</v>
      </c>
    </row>
    <row r="369" spans="1:35" ht="165" x14ac:dyDescent="0.25">
      <c r="A369" s="46" t="str">
        <f t="shared" si="5"/>
        <v>MEDEACT000436AUTOSERVICIONUTRESA</v>
      </c>
      <c r="B369" s="126" t="s">
        <v>9</v>
      </c>
      <c r="C369" s="126">
        <v>50584</v>
      </c>
      <c r="D369" s="126" t="s">
        <v>140</v>
      </c>
      <c r="E369" s="126" t="s">
        <v>177</v>
      </c>
      <c r="F369" s="127">
        <v>44534</v>
      </c>
      <c r="G369" s="126" t="s">
        <v>175</v>
      </c>
      <c r="H369" s="126" t="s">
        <v>176</v>
      </c>
      <c r="I369" s="126">
        <v>1</v>
      </c>
      <c r="J369" s="126" t="s">
        <v>183</v>
      </c>
      <c r="K369" s="126" t="s">
        <v>316</v>
      </c>
      <c r="L369" s="126" t="s">
        <v>1970</v>
      </c>
      <c r="M369" s="126">
        <v>1</v>
      </c>
      <c r="N369" s="126">
        <v>7446</v>
      </c>
      <c r="O369" s="126" t="s">
        <v>658</v>
      </c>
      <c r="P369" s="126" t="s">
        <v>170</v>
      </c>
      <c r="Q369" s="126" t="s">
        <v>349</v>
      </c>
      <c r="R369" s="126" t="s">
        <v>349</v>
      </c>
      <c r="S369" s="126" t="s">
        <v>350</v>
      </c>
      <c r="T369" s="126" t="s">
        <v>160</v>
      </c>
      <c r="U369" s="126"/>
      <c r="V369" s="128">
        <v>1000000</v>
      </c>
      <c r="W369" s="128">
        <v>1000000</v>
      </c>
      <c r="X369" s="126" t="s">
        <v>1209</v>
      </c>
      <c r="Y369" s="126">
        <v>122374</v>
      </c>
      <c r="Z369" s="126">
        <v>0</v>
      </c>
      <c r="AA369" s="126" t="s">
        <v>0</v>
      </c>
      <c r="AB369" s="126" t="s">
        <v>140</v>
      </c>
      <c r="AC369" s="126" t="s">
        <v>218</v>
      </c>
      <c r="AD369" s="126"/>
      <c r="AE369" s="126"/>
      <c r="AF369" s="126"/>
      <c r="AG369" s="126"/>
      <c r="AH369" s="126" t="s">
        <v>316</v>
      </c>
      <c r="AI369" s="126" t="s">
        <v>1971</v>
      </c>
    </row>
    <row r="370" spans="1:35" ht="105" x14ac:dyDescent="0.25">
      <c r="A370" s="46" t="str">
        <f t="shared" si="5"/>
        <v>MEDEACT000436AUTOSERVICIOBPO</v>
      </c>
      <c r="B370" s="126" t="s">
        <v>9</v>
      </c>
      <c r="C370" s="126">
        <v>50585</v>
      </c>
      <c r="D370" s="126" t="s">
        <v>140</v>
      </c>
      <c r="E370" s="126" t="s">
        <v>177</v>
      </c>
      <c r="F370" s="127">
        <v>44534</v>
      </c>
      <c r="G370" s="126" t="s">
        <v>175</v>
      </c>
      <c r="H370" s="126" t="s">
        <v>176</v>
      </c>
      <c r="I370" s="126">
        <v>1</v>
      </c>
      <c r="J370" s="126" t="s">
        <v>183</v>
      </c>
      <c r="K370" s="126" t="s">
        <v>316</v>
      </c>
      <c r="L370" s="126" t="s">
        <v>1972</v>
      </c>
      <c r="M370" s="126">
        <v>1</v>
      </c>
      <c r="N370" s="126">
        <v>7449</v>
      </c>
      <c r="O370" s="126" t="s">
        <v>1973</v>
      </c>
      <c r="P370" s="126" t="s">
        <v>170</v>
      </c>
      <c r="Q370" s="126" t="s">
        <v>349</v>
      </c>
      <c r="R370" s="126" t="s">
        <v>349</v>
      </c>
      <c r="S370" s="126" t="s">
        <v>350</v>
      </c>
      <c r="T370" s="126" t="s">
        <v>160</v>
      </c>
      <c r="U370" s="126"/>
      <c r="V370" s="128">
        <v>1000000</v>
      </c>
      <c r="W370" s="128">
        <v>1000000</v>
      </c>
      <c r="X370" s="126" t="s">
        <v>1209</v>
      </c>
      <c r="Y370" s="126">
        <v>122436</v>
      </c>
      <c r="Z370" s="126">
        <v>0</v>
      </c>
      <c r="AA370" s="126" t="s">
        <v>0</v>
      </c>
      <c r="AB370" s="126" t="s">
        <v>161</v>
      </c>
      <c r="AC370" s="126" t="s">
        <v>162</v>
      </c>
      <c r="AD370" s="126"/>
      <c r="AE370" s="126"/>
      <c r="AF370" s="126"/>
      <c r="AG370" s="126"/>
      <c r="AH370" s="126" t="s">
        <v>316</v>
      </c>
      <c r="AI370" s="126" t="s">
        <v>1974</v>
      </c>
    </row>
    <row r="371" spans="1:35" ht="150" x14ac:dyDescent="0.25">
      <c r="A371" s="46" t="str">
        <f t="shared" si="5"/>
        <v>MEDECRD021331CADENASNUTRESA</v>
      </c>
      <c r="B371" s="126" t="s">
        <v>9</v>
      </c>
      <c r="C371" s="126">
        <v>50599</v>
      </c>
      <c r="D371" s="126" t="s">
        <v>140</v>
      </c>
      <c r="E371" s="126" t="s">
        <v>177</v>
      </c>
      <c r="F371" s="127">
        <v>44537</v>
      </c>
      <c r="G371" s="126" t="s">
        <v>175</v>
      </c>
      <c r="H371" s="126" t="s">
        <v>176</v>
      </c>
      <c r="I371" s="126">
        <v>1</v>
      </c>
      <c r="J371" s="126" t="s">
        <v>184</v>
      </c>
      <c r="K371" s="126" t="s">
        <v>316</v>
      </c>
      <c r="L371" s="126" t="s">
        <v>1975</v>
      </c>
      <c r="M371" s="126">
        <v>1</v>
      </c>
      <c r="N371" s="126">
        <v>4502221679</v>
      </c>
      <c r="O371" s="126" t="s">
        <v>1976</v>
      </c>
      <c r="P371" s="126" t="s">
        <v>168</v>
      </c>
      <c r="Q371" s="126" t="s">
        <v>180</v>
      </c>
      <c r="R371" s="126" t="s">
        <v>180</v>
      </c>
      <c r="S371" s="126" t="s">
        <v>216</v>
      </c>
      <c r="T371" s="126" t="s">
        <v>160</v>
      </c>
      <c r="U371" s="126"/>
      <c r="V371" s="128">
        <v>30000000</v>
      </c>
      <c r="W371" s="128">
        <v>30000000</v>
      </c>
      <c r="X371" s="126" t="s">
        <v>1209</v>
      </c>
      <c r="Y371" s="126">
        <v>0</v>
      </c>
      <c r="Z371" s="126">
        <v>0</v>
      </c>
      <c r="AA371" s="126" t="s">
        <v>1</v>
      </c>
      <c r="AB371" s="126" t="s">
        <v>140</v>
      </c>
      <c r="AC371" s="126" t="s">
        <v>162</v>
      </c>
      <c r="AD371" s="126"/>
      <c r="AE371" s="126"/>
      <c r="AF371" s="126"/>
      <c r="AG371" s="126"/>
      <c r="AH371" s="126" t="s">
        <v>316</v>
      </c>
      <c r="AI371" s="126" t="s">
        <v>1977</v>
      </c>
    </row>
    <row r="372" spans="1:35" ht="225" x14ac:dyDescent="0.25">
      <c r="A372" s="46" t="str">
        <f t="shared" si="5"/>
        <v>MEDEACT000279AUTOSERVICIONUTRESA</v>
      </c>
      <c r="B372" s="126" t="s">
        <v>9</v>
      </c>
      <c r="C372" s="126">
        <v>50616</v>
      </c>
      <c r="D372" s="126" t="s">
        <v>140</v>
      </c>
      <c r="E372" s="126" t="s">
        <v>177</v>
      </c>
      <c r="F372" s="127">
        <v>44537</v>
      </c>
      <c r="G372" s="126" t="s">
        <v>175</v>
      </c>
      <c r="H372" s="126" t="s">
        <v>176</v>
      </c>
      <c r="I372" s="126">
        <v>1</v>
      </c>
      <c r="J372" s="126" t="s">
        <v>183</v>
      </c>
      <c r="K372" s="126" t="s">
        <v>316</v>
      </c>
      <c r="L372" s="126" t="s">
        <v>1978</v>
      </c>
      <c r="M372" s="126">
        <v>1</v>
      </c>
      <c r="N372" s="126">
        <v>7470</v>
      </c>
      <c r="O372" s="126" t="s">
        <v>659</v>
      </c>
      <c r="P372" s="126" t="s">
        <v>170</v>
      </c>
      <c r="Q372" s="126" t="s">
        <v>660</v>
      </c>
      <c r="R372" s="126" t="s">
        <v>660</v>
      </c>
      <c r="S372" s="126" t="s">
        <v>661</v>
      </c>
      <c r="T372" s="126" t="s">
        <v>160</v>
      </c>
      <c r="U372" s="126"/>
      <c r="V372" s="128">
        <v>1000000</v>
      </c>
      <c r="W372" s="128">
        <v>1000000</v>
      </c>
      <c r="X372" s="126" t="s">
        <v>1209</v>
      </c>
      <c r="Y372" s="126">
        <v>123124</v>
      </c>
      <c r="Z372" s="126">
        <v>0</v>
      </c>
      <c r="AA372" s="126" t="s">
        <v>0</v>
      </c>
      <c r="AB372" s="126" t="s">
        <v>140</v>
      </c>
      <c r="AC372" s="126" t="s">
        <v>165</v>
      </c>
      <c r="AD372" s="126"/>
      <c r="AE372" s="126"/>
      <c r="AF372" s="126"/>
      <c r="AG372" s="126"/>
      <c r="AH372" s="126" t="s">
        <v>316</v>
      </c>
      <c r="AI372" s="126" t="s">
        <v>1979</v>
      </c>
    </row>
    <row r="373" spans="1:35" ht="225" x14ac:dyDescent="0.25">
      <c r="A373" s="46" t="str">
        <f t="shared" si="5"/>
        <v>MEDEACT000430AUTOSERVICIONUTRESA</v>
      </c>
      <c r="B373" s="126" t="s">
        <v>9</v>
      </c>
      <c r="C373" s="126">
        <v>50616</v>
      </c>
      <c r="D373" s="126" t="s">
        <v>140</v>
      </c>
      <c r="E373" s="126" t="s">
        <v>177</v>
      </c>
      <c r="F373" s="127">
        <v>44537</v>
      </c>
      <c r="G373" s="126" t="s">
        <v>175</v>
      </c>
      <c r="H373" s="126" t="s">
        <v>176</v>
      </c>
      <c r="I373" s="126">
        <v>1</v>
      </c>
      <c r="J373" s="126" t="s">
        <v>183</v>
      </c>
      <c r="K373" s="126" t="s">
        <v>316</v>
      </c>
      <c r="L373" s="126" t="s">
        <v>1978</v>
      </c>
      <c r="M373" s="126">
        <v>1</v>
      </c>
      <c r="N373" s="126">
        <v>7470</v>
      </c>
      <c r="O373" s="126" t="s">
        <v>659</v>
      </c>
      <c r="P373" s="126" t="s">
        <v>170</v>
      </c>
      <c r="Q373" s="126" t="s">
        <v>377</v>
      </c>
      <c r="R373" s="126" t="s">
        <v>377</v>
      </c>
      <c r="S373" s="126" t="s">
        <v>378</v>
      </c>
      <c r="T373" s="126" t="s">
        <v>160</v>
      </c>
      <c r="U373" s="126"/>
      <c r="V373" s="128">
        <v>1000000</v>
      </c>
      <c r="W373" s="128">
        <v>1000000</v>
      </c>
      <c r="X373" s="126" t="s">
        <v>1209</v>
      </c>
      <c r="Y373" s="126">
        <v>138635</v>
      </c>
      <c r="Z373" s="126">
        <v>0</v>
      </c>
      <c r="AA373" s="126" t="s">
        <v>0</v>
      </c>
      <c r="AB373" s="126" t="s">
        <v>140</v>
      </c>
      <c r="AC373" s="126" t="s">
        <v>165</v>
      </c>
      <c r="AD373" s="126"/>
      <c r="AE373" s="126"/>
      <c r="AF373" s="126"/>
      <c r="AG373" s="126"/>
      <c r="AH373" s="126" t="s">
        <v>316</v>
      </c>
      <c r="AI373" s="126" t="s">
        <v>1980</v>
      </c>
    </row>
    <row r="374" spans="1:35" ht="225" x14ac:dyDescent="0.25">
      <c r="A374" s="46" t="str">
        <f t="shared" si="5"/>
        <v>MEDEACT000423AUTOSERVICIONUTRESA</v>
      </c>
      <c r="B374" s="126" t="s">
        <v>9</v>
      </c>
      <c r="C374" s="126">
        <v>50616</v>
      </c>
      <c r="D374" s="126" t="s">
        <v>140</v>
      </c>
      <c r="E374" s="126" t="s">
        <v>177</v>
      </c>
      <c r="F374" s="127">
        <v>44537</v>
      </c>
      <c r="G374" s="126" t="s">
        <v>175</v>
      </c>
      <c r="H374" s="126" t="s">
        <v>176</v>
      </c>
      <c r="I374" s="126">
        <v>1</v>
      </c>
      <c r="J374" s="126" t="s">
        <v>183</v>
      </c>
      <c r="K374" s="126" t="s">
        <v>316</v>
      </c>
      <c r="L374" s="126" t="s">
        <v>1978</v>
      </c>
      <c r="M374" s="126">
        <v>1</v>
      </c>
      <c r="N374" s="126">
        <v>7470</v>
      </c>
      <c r="O374" s="126" t="s">
        <v>659</v>
      </c>
      <c r="P374" s="126" t="s">
        <v>170</v>
      </c>
      <c r="Q374" s="126" t="s">
        <v>334</v>
      </c>
      <c r="R374" s="126" t="s">
        <v>334</v>
      </c>
      <c r="S374" s="126" t="s">
        <v>1981</v>
      </c>
      <c r="T374" s="126" t="s">
        <v>160</v>
      </c>
      <c r="U374" s="126"/>
      <c r="V374" s="128">
        <v>1000000</v>
      </c>
      <c r="W374" s="128">
        <v>1000000</v>
      </c>
      <c r="X374" s="126" t="s">
        <v>1209</v>
      </c>
      <c r="Y374" s="126">
        <v>146728</v>
      </c>
      <c r="Z374" s="126">
        <v>0</v>
      </c>
      <c r="AA374" s="126" t="s">
        <v>0</v>
      </c>
      <c r="AB374" s="126" t="s">
        <v>140</v>
      </c>
      <c r="AC374" s="126" t="s">
        <v>165</v>
      </c>
      <c r="AD374" s="126"/>
      <c r="AE374" s="126"/>
      <c r="AF374" s="126"/>
      <c r="AG374" s="126"/>
      <c r="AH374" s="126" t="s">
        <v>316</v>
      </c>
      <c r="AI374" s="126" t="s">
        <v>1982</v>
      </c>
    </row>
    <row r="375" spans="1:35" ht="105" x14ac:dyDescent="0.25">
      <c r="A375" s="46" t="str">
        <f t="shared" si="5"/>
        <v>MEDECRD024847CADENASBPO</v>
      </c>
      <c r="B375" s="126" t="s">
        <v>9</v>
      </c>
      <c r="C375" s="126">
        <v>50619</v>
      </c>
      <c r="D375" s="126" t="s">
        <v>140</v>
      </c>
      <c r="E375" s="126" t="s">
        <v>177</v>
      </c>
      <c r="F375" s="127">
        <v>44537</v>
      </c>
      <c r="G375" s="126" t="s">
        <v>175</v>
      </c>
      <c r="H375" s="126" t="s">
        <v>176</v>
      </c>
      <c r="I375" s="126">
        <v>1</v>
      </c>
      <c r="J375" s="126" t="s">
        <v>183</v>
      </c>
      <c r="K375" s="126" t="s">
        <v>316</v>
      </c>
      <c r="L375" s="126" t="s">
        <v>1983</v>
      </c>
      <c r="M375" s="126">
        <v>1</v>
      </c>
      <c r="N375" s="126">
        <v>7469</v>
      </c>
      <c r="O375" s="126" t="s">
        <v>1984</v>
      </c>
      <c r="P375" s="126" t="s">
        <v>171</v>
      </c>
      <c r="Q375" s="126" t="s">
        <v>380</v>
      </c>
      <c r="R375" s="126" t="s">
        <v>380</v>
      </c>
      <c r="S375" s="126" t="s">
        <v>381</v>
      </c>
      <c r="T375" s="126" t="s">
        <v>160</v>
      </c>
      <c r="U375" s="126"/>
      <c r="V375" s="128">
        <v>10000000</v>
      </c>
      <c r="W375" s="128">
        <v>10000000</v>
      </c>
      <c r="X375" s="126" t="s">
        <v>1209</v>
      </c>
      <c r="Y375" s="126">
        <v>0</v>
      </c>
      <c r="Z375" s="126">
        <v>0</v>
      </c>
      <c r="AA375" s="126" t="s">
        <v>1</v>
      </c>
      <c r="AB375" s="126" t="s">
        <v>161</v>
      </c>
      <c r="AC375" s="126" t="s">
        <v>162</v>
      </c>
      <c r="AD375" s="126"/>
      <c r="AE375" s="126"/>
      <c r="AF375" s="126"/>
      <c r="AG375" s="126"/>
      <c r="AH375" s="126" t="s">
        <v>316</v>
      </c>
      <c r="AI375" s="126" t="s">
        <v>1985</v>
      </c>
    </row>
    <row r="376" spans="1:35" ht="120" x14ac:dyDescent="0.25">
      <c r="A376" s="46" t="str">
        <f t="shared" si="5"/>
        <v>MEDECRD024443AUTOSERVICIOBPO</v>
      </c>
      <c r="B376" s="126" t="s">
        <v>9</v>
      </c>
      <c r="C376" s="126">
        <v>50623</v>
      </c>
      <c r="D376" s="126" t="s">
        <v>140</v>
      </c>
      <c r="E376" s="126" t="s">
        <v>177</v>
      </c>
      <c r="F376" s="127">
        <v>44537</v>
      </c>
      <c r="G376" s="126" t="s">
        <v>175</v>
      </c>
      <c r="H376" s="126" t="s">
        <v>176</v>
      </c>
      <c r="I376" s="126">
        <v>1</v>
      </c>
      <c r="J376" s="126" t="s">
        <v>183</v>
      </c>
      <c r="K376" s="126" t="s">
        <v>316</v>
      </c>
      <c r="L376" s="126" t="s">
        <v>1986</v>
      </c>
      <c r="M376" s="126">
        <v>1</v>
      </c>
      <c r="N376" s="126">
        <v>7130</v>
      </c>
      <c r="O376" s="126" t="s">
        <v>662</v>
      </c>
      <c r="P376" s="126" t="s">
        <v>172</v>
      </c>
      <c r="Q376" s="126" t="s">
        <v>367</v>
      </c>
      <c r="R376" s="126" t="s">
        <v>367</v>
      </c>
      <c r="S376" s="126" t="s">
        <v>368</v>
      </c>
      <c r="T376" s="126" t="s">
        <v>160</v>
      </c>
      <c r="U376" s="126"/>
      <c r="V376" s="128">
        <v>2976000000</v>
      </c>
      <c r="W376" s="128">
        <v>2976000000</v>
      </c>
      <c r="X376" s="126" t="s">
        <v>1209</v>
      </c>
      <c r="Y376" s="126">
        <v>0</v>
      </c>
      <c r="Z376" s="126" t="s">
        <v>663</v>
      </c>
      <c r="AA376" s="126" t="s">
        <v>0</v>
      </c>
      <c r="AB376" s="126" t="s">
        <v>161</v>
      </c>
      <c r="AC376" s="126" t="s">
        <v>162</v>
      </c>
      <c r="AD376" s="127">
        <v>44857</v>
      </c>
      <c r="AE376" s="126"/>
      <c r="AF376" s="127">
        <v>44857</v>
      </c>
      <c r="AG376" s="126"/>
      <c r="AH376" s="126" t="s">
        <v>316</v>
      </c>
      <c r="AI376" s="126" t="s">
        <v>1987</v>
      </c>
    </row>
    <row r="377" spans="1:35" ht="165" x14ac:dyDescent="0.25">
      <c r="A377" s="46" t="str">
        <f t="shared" si="5"/>
        <v>MEDECRD025004TRADICIONALNUTRESA</v>
      </c>
      <c r="B377" s="126" t="s">
        <v>9</v>
      </c>
      <c r="C377" s="126">
        <v>50625</v>
      </c>
      <c r="D377" s="126" t="s">
        <v>140</v>
      </c>
      <c r="E377" s="126" t="s">
        <v>177</v>
      </c>
      <c r="F377" s="127">
        <v>44537</v>
      </c>
      <c r="G377" s="126" t="s">
        <v>175</v>
      </c>
      <c r="H377" s="126" t="s">
        <v>176</v>
      </c>
      <c r="I377" s="126">
        <v>1</v>
      </c>
      <c r="J377" s="126" t="s">
        <v>184</v>
      </c>
      <c r="K377" s="126" t="s">
        <v>316</v>
      </c>
      <c r="L377" s="126" t="s">
        <v>1988</v>
      </c>
      <c r="M377" s="126">
        <v>1</v>
      </c>
      <c r="N377" s="126" t="s">
        <v>664</v>
      </c>
      <c r="O377" s="126" t="s">
        <v>665</v>
      </c>
      <c r="P377" s="126" t="s">
        <v>171</v>
      </c>
      <c r="Q377" s="126" t="s">
        <v>485</v>
      </c>
      <c r="R377" s="126" t="s">
        <v>485</v>
      </c>
      <c r="S377" s="126" t="s">
        <v>1245</v>
      </c>
      <c r="T377" s="126" t="s">
        <v>160</v>
      </c>
      <c r="U377" s="126"/>
      <c r="V377" s="128">
        <v>141000000</v>
      </c>
      <c r="W377" s="128">
        <v>141000000</v>
      </c>
      <c r="X377" s="126" t="s">
        <v>1209</v>
      </c>
      <c r="Y377" s="126">
        <v>0</v>
      </c>
      <c r="Z377" s="126">
        <v>0</v>
      </c>
      <c r="AA377" s="126" t="s">
        <v>2</v>
      </c>
      <c r="AB377" s="126" t="s">
        <v>140</v>
      </c>
      <c r="AC377" s="126" t="s">
        <v>162</v>
      </c>
      <c r="AD377" s="126"/>
      <c r="AE377" s="126"/>
      <c r="AF377" s="126"/>
      <c r="AG377" s="126"/>
      <c r="AH377" s="126" t="s">
        <v>316</v>
      </c>
      <c r="AI377" s="126" t="s">
        <v>1989</v>
      </c>
    </row>
    <row r="378" spans="1:35" ht="90" x14ac:dyDescent="0.25">
      <c r="A378" s="46" t="str">
        <f t="shared" si="5"/>
        <v>MEDECRD024981AUTOSERVICIONUTRESA</v>
      </c>
      <c r="B378" s="126" t="s">
        <v>9</v>
      </c>
      <c r="C378" s="126">
        <v>50654</v>
      </c>
      <c r="D378" s="126" t="s">
        <v>140</v>
      </c>
      <c r="E378" s="126" t="s">
        <v>177</v>
      </c>
      <c r="F378" s="127">
        <v>44540</v>
      </c>
      <c r="G378" s="126" t="s">
        <v>175</v>
      </c>
      <c r="H378" s="126" t="s">
        <v>176</v>
      </c>
      <c r="I378" s="126">
        <v>1</v>
      </c>
      <c r="J378" s="126" t="s">
        <v>184</v>
      </c>
      <c r="K378" s="126" t="s">
        <v>316</v>
      </c>
      <c r="L378" s="126" t="s">
        <v>1990</v>
      </c>
      <c r="M378" s="126">
        <v>1</v>
      </c>
      <c r="N378" s="126">
        <v>7471</v>
      </c>
      <c r="O378" s="126" t="s">
        <v>1991</v>
      </c>
      <c r="P378" s="126" t="s">
        <v>172</v>
      </c>
      <c r="Q378" s="126" t="s">
        <v>513</v>
      </c>
      <c r="R378" s="126" t="s">
        <v>513</v>
      </c>
      <c r="S378" s="126" t="s">
        <v>514</v>
      </c>
      <c r="T378" s="126" t="s">
        <v>160</v>
      </c>
      <c r="U378" s="126"/>
      <c r="V378" s="128">
        <v>377000000</v>
      </c>
      <c r="W378" s="128">
        <v>377000000</v>
      </c>
      <c r="X378" s="126" t="s">
        <v>1209</v>
      </c>
      <c r="Y378" s="126">
        <v>0</v>
      </c>
      <c r="Z378" s="126" t="s">
        <v>320</v>
      </c>
      <c r="AA378" s="126" t="s">
        <v>0</v>
      </c>
      <c r="AB378" s="126" t="s">
        <v>140</v>
      </c>
      <c r="AC378" s="126" t="s">
        <v>162</v>
      </c>
      <c r="AD378" s="127">
        <v>44779</v>
      </c>
      <c r="AE378" s="126"/>
      <c r="AF378" s="127">
        <v>44779</v>
      </c>
      <c r="AG378" s="126"/>
      <c r="AH378" s="126" t="s">
        <v>316</v>
      </c>
      <c r="AI378" s="126" t="s">
        <v>1992</v>
      </c>
    </row>
    <row r="379" spans="1:35" ht="90" x14ac:dyDescent="0.25">
      <c r="A379" s="46" t="str">
        <f t="shared" si="5"/>
        <v>MEDECRD024980AUTOSERVICIONUTRESA</v>
      </c>
      <c r="B379" s="126" t="s">
        <v>9</v>
      </c>
      <c r="C379" s="126">
        <v>50654</v>
      </c>
      <c r="D379" s="126" t="s">
        <v>140</v>
      </c>
      <c r="E379" s="126" t="s">
        <v>177</v>
      </c>
      <c r="F379" s="127">
        <v>44540</v>
      </c>
      <c r="G379" s="126" t="s">
        <v>175</v>
      </c>
      <c r="H379" s="126" t="s">
        <v>176</v>
      </c>
      <c r="I379" s="126">
        <v>1</v>
      </c>
      <c r="J379" s="126" t="s">
        <v>184</v>
      </c>
      <c r="K379" s="126" t="s">
        <v>316</v>
      </c>
      <c r="L379" s="126" t="s">
        <v>1990</v>
      </c>
      <c r="M379" s="126">
        <v>1</v>
      </c>
      <c r="N379" s="126">
        <v>7471</v>
      </c>
      <c r="O379" s="126" t="s">
        <v>1991</v>
      </c>
      <c r="P379" s="126" t="s">
        <v>172</v>
      </c>
      <c r="Q379" s="126" t="s">
        <v>666</v>
      </c>
      <c r="R379" s="126" t="s">
        <v>666</v>
      </c>
      <c r="S379" s="126" t="s">
        <v>667</v>
      </c>
      <c r="T379" s="126" t="s">
        <v>160</v>
      </c>
      <c r="U379" s="126"/>
      <c r="V379" s="128">
        <v>377000000</v>
      </c>
      <c r="W379" s="128">
        <v>377000000</v>
      </c>
      <c r="X379" s="126" t="s">
        <v>1209</v>
      </c>
      <c r="Y379" s="126">
        <v>0</v>
      </c>
      <c r="Z379" s="126" t="s">
        <v>668</v>
      </c>
      <c r="AA379" s="126" t="s">
        <v>0</v>
      </c>
      <c r="AB379" s="126" t="s">
        <v>140</v>
      </c>
      <c r="AC379" s="126" t="s">
        <v>162</v>
      </c>
      <c r="AD379" s="127">
        <v>44648</v>
      </c>
      <c r="AE379" s="126"/>
      <c r="AF379" s="127">
        <v>44648</v>
      </c>
      <c r="AG379" s="126"/>
      <c r="AH379" s="126" t="s">
        <v>316</v>
      </c>
      <c r="AI379" s="126" t="s">
        <v>1993</v>
      </c>
    </row>
    <row r="380" spans="1:35" ht="120" x14ac:dyDescent="0.25">
      <c r="A380" s="46" t="str">
        <f t="shared" si="5"/>
        <v>MEDEACT000436AUTOSERVICIOBPO</v>
      </c>
      <c r="B380" s="126" t="s">
        <v>9</v>
      </c>
      <c r="C380" s="126">
        <v>50655</v>
      </c>
      <c r="D380" s="126" t="s">
        <v>140</v>
      </c>
      <c r="E380" s="126" t="s">
        <v>177</v>
      </c>
      <c r="F380" s="127">
        <v>44540</v>
      </c>
      <c r="G380" s="126" t="s">
        <v>175</v>
      </c>
      <c r="H380" s="126" t="s">
        <v>176</v>
      </c>
      <c r="I380" s="126">
        <v>1</v>
      </c>
      <c r="J380" s="126" t="s">
        <v>183</v>
      </c>
      <c r="K380" s="126" t="s">
        <v>316</v>
      </c>
      <c r="L380" s="126" t="s">
        <v>1994</v>
      </c>
      <c r="M380" s="126">
        <v>1</v>
      </c>
      <c r="N380" s="126">
        <v>7451</v>
      </c>
      <c r="O380" s="126" t="s">
        <v>669</v>
      </c>
      <c r="P380" s="126" t="s">
        <v>170</v>
      </c>
      <c r="Q380" s="126" t="s">
        <v>349</v>
      </c>
      <c r="R380" s="126" t="s">
        <v>349</v>
      </c>
      <c r="S380" s="126" t="s">
        <v>350</v>
      </c>
      <c r="T380" s="126" t="s">
        <v>160</v>
      </c>
      <c r="U380" s="126"/>
      <c r="V380" s="128">
        <v>1000000</v>
      </c>
      <c r="W380" s="128">
        <v>1000000</v>
      </c>
      <c r="X380" s="126" t="s">
        <v>1209</v>
      </c>
      <c r="Y380" s="126">
        <v>122376</v>
      </c>
      <c r="Z380" s="126">
        <v>0</v>
      </c>
      <c r="AA380" s="126" t="s">
        <v>0</v>
      </c>
      <c r="AB380" s="126" t="s">
        <v>161</v>
      </c>
      <c r="AC380" s="126" t="s">
        <v>165</v>
      </c>
      <c r="AD380" s="126"/>
      <c r="AE380" s="126"/>
      <c r="AF380" s="126"/>
      <c r="AG380" s="126"/>
      <c r="AH380" s="126" t="s">
        <v>316</v>
      </c>
      <c r="AI380" s="126" t="s">
        <v>1995</v>
      </c>
    </row>
    <row r="381" spans="1:35" ht="150" x14ac:dyDescent="0.25">
      <c r="A381" s="46" t="str">
        <f t="shared" si="5"/>
        <v>MEDECRD020854AUTOSERVICIOBPO</v>
      </c>
      <c r="B381" s="126" t="s">
        <v>9</v>
      </c>
      <c r="C381" s="126">
        <v>50656</v>
      </c>
      <c r="D381" s="126" t="s">
        <v>140</v>
      </c>
      <c r="E381" s="126" t="s">
        <v>177</v>
      </c>
      <c r="F381" s="127">
        <v>44540</v>
      </c>
      <c r="G381" s="126" t="s">
        <v>175</v>
      </c>
      <c r="H381" s="126" t="s">
        <v>176</v>
      </c>
      <c r="I381" s="126">
        <v>1</v>
      </c>
      <c r="J381" s="126" t="s">
        <v>183</v>
      </c>
      <c r="K381" s="126" t="s">
        <v>316</v>
      </c>
      <c r="L381" s="126" t="s">
        <v>1996</v>
      </c>
      <c r="M381" s="126">
        <v>1</v>
      </c>
      <c r="N381" s="126">
        <v>7468</v>
      </c>
      <c r="O381" s="126" t="s">
        <v>1997</v>
      </c>
      <c r="P381" s="126" t="s">
        <v>168</v>
      </c>
      <c r="Q381" s="126" t="s">
        <v>157</v>
      </c>
      <c r="R381" s="126" t="s">
        <v>157</v>
      </c>
      <c r="S381" s="126" t="s">
        <v>202</v>
      </c>
      <c r="T381" s="126" t="s">
        <v>160</v>
      </c>
      <c r="U381" s="126"/>
      <c r="V381" s="128">
        <v>30000000</v>
      </c>
      <c r="W381" s="128">
        <v>30000000</v>
      </c>
      <c r="X381" s="126" t="s">
        <v>1209</v>
      </c>
      <c r="Y381" s="126">
        <v>0</v>
      </c>
      <c r="Z381" s="126">
        <v>0</v>
      </c>
      <c r="AA381" s="126" t="s">
        <v>0</v>
      </c>
      <c r="AB381" s="126" t="s">
        <v>161</v>
      </c>
      <c r="AC381" s="126" t="s">
        <v>162</v>
      </c>
      <c r="AD381" s="126"/>
      <c r="AE381" s="126"/>
      <c r="AF381" s="126"/>
      <c r="AG381" s="126"/>
      <c r="AH381" s="126" t="s">
        <v>316</v>
      </c>
      <c r="AI381" s="126" t="s">
        <v>1998</v>
      </c>
    </row>
    <row r="382" spans="1:35" ht="105" x14ac:dyDescent="0.25">
      <c r="A382" s="46" t="str">
        <f t="shared" si="5"/>
        <v>MEDECRD020181CADENASBPO</v>
      </c>
      <c r="B382" s="126" t="s">
        <v>9</v>
      </c>
      <c r="C382" s="126">
        <v>50682</v>
      </c>
      <c r="D382" s="126" t="s">
        <v>140</v>
      </c>
      <c r="E382" s="126" t="s">
        <v>177</v>
      </c>
      <c r="F382" s="127">
        <v>44541</v>
      </c>
      <c r="G382" s="126" t="s">
        <v>175</v>
      </c>
      <c r="H382" s="126" t="s">
        <v>176</v>
      </c>
      <c r="I382" s="126">
        <v>1</v>
      </c>
      <c r="J382" s="126" t="s">
        <v>183</v>
      </c>
      <c r="K382" s="126" t="s">
        <v>316</v>
      </c>
      <c r="L382" s="126" t="s">
        <v>1999</v>
      </c>
      <c r="M382" s="126">
        <v>1</v>
      </c>
      <c r="N382" s="126">
        <v>7482</v>
      </c>
      <c r="O382" s="126" t="s">
        <v>2000</v>
      </c>
      <c r="P382" s="126" t="s">
        <v>171</v>
      </c>
      <c r="Q382" s="126" t="s">
        <v>323</v>
      </c>
      <c r="R382" s="126" t="s">
        <v>323</v>
      </c>
      <c r="S382" s="126" t="s">
        <v>1270</v>
      </c>
      <c r="T382" s="126" t="s">
        <v>160</v>
      </c>
      <c r="U382" s="126"/>
      <c r="V382" s="128">
        <v>1000000</v>
      </c>
      <c r="W382" s="128">
        <v>1000000</v>
      </c>
      <c r="X382" s="126" t="s">
        <v>1209</v>
      </c>
      <c r="Y382" s="126">
        <v>0</v>
      </c>
      <c r="Z382" s="126">
        <v>0</v>
      </c>
      <c r="AA382" s="126" t="s">
        <v>1</v>
      </c>
      <c r="AB382" s="126" t="s">
        <v>161</v>
      </c>
      <c r="AC382" s="126" t="s">
        <v>162</v>
      </c>
      <c r="AD382" s="126"/>
      <c r="AE382" s="126"/>
      <c r="AF382" s="126"/>
      <c r="AG382" s="126"/>
      <c r="AH382" s="126" t="s">
        <v>316</v>
      </c>
      <c r="AI382" s="126" t="s">
        <v>2001</v>
      </c>
    </row>
    <row r="383" spans="1:35" ht="105" x14ac:dyDescent="0.25">
      <c r="A383" s="46" t="str">
        <f t="shared" si="5"/>
        <v>MEDECRD008623CADENASBPO</v>
      </c>
      <c r="B383" s="126" t="s">
        <v>9</v>
      </c>
      <c r="C383" s="126">
        <v>50682</v>
      </c>
      <c r="D383" s="126" t="s">
        <v>140</v>
      </c>
      <c r="E383" s="126" t="s">
        <v>177</v>
      </c>
      <c r="F383" s="127">
        <v>44541</v>
      </c>
      <c r="G383" s="126" t="s">
        <v>175</v>
      </c>
      <c r="H383" s="126" t="s">
        <v>176</v>
      </c>
      <c r="I383" s="126">
        <v>1</v>
      </c>
      <c r="J383" s="126" t="s">
        <v>183</v>
      </c>
      <c r="K383" s="126" t="s">
        <v>316</v>
      </c>
      <c r="L383" s="126" t="s">
        <v>1999</v>
      </c>
      <c r="M383" s="126">
        <v>1</v>
      </c>
      <c r="N383" s="126">
        <v>7482</v>
      </c>
      <c r="O383" s="126" t="s">
        <v>2000</v>
      </c>
      <c r="P383" s="126" t="s">
        <v>169</v>
      </c>
      <c r="Q383" s="126" t="s">
        <v>137</v>
      </c>
      <c r="R383" s="126" t="s">
        <v>137</v>
      </c>
      <c r="S383" s="126" t="s">
        <v>205</v>
      </c>
      <c r="T383" s="126" t="s">
        <v>160</v>
      </c>
      <c r="U383" s="126"/>
      <c r="V383" s="128">
        <v>1000000</v>
      </c>
      <c r="W383" s="128">
        <v>1000000</v>
      </c>
      <c r="X383" s="126" t="s">
        <v>1209</v>
      </c>
      <c r="Y383" s="126">
        <v>0</v>
      </c>
      <c r="Z383" s="126">
        <v>0</v>
      </c>
      <c r="AA383" s="126" t="s">
        <v>1</v>
      </c>
      <c r="AB383" s="126" t="s">
        <v>161</v>
      </c>
      <c r="AC383" s="126" t="s">
        <v>162</v>
      </c>
      <c r="AD383" s="126"/>
      <c r="AE383" s="126"/>
      <c r="AF383" s="126"/>
      <c r="AG383" s="126"/>
      <c r="AH383" s="126" t="s">
        <v>316</v>
      </c>
      <c r="AI383" s="126" t="s">
        <v>2002</v>
      </c>
    </row>
    <row r="384" spans="1:35" ht="270" x14ac:dyDescent="0.25">
      <c r="A384" s="46" t="str">
        <f t="shared" si="5"/>
        <v>MEDEACT000071AUTOSERVICIONUTRESA</v>
      </c>
      <c r="B384" s="126" t="s">
        <v>9</v>
      </c>
      <c r="C384" s="126">
        <v>50689</v>
      </c>
      <c r="D384" s="126" t="s">
        <v>140</v>
      </c>
      <c r="E384" s="126" t="s">
        <v>177</v>
      </c>
      <c r="F384" s="127">
        <v>44543</v>
      </c>
      <c r="G384" s="126" t="s">
        <v>175</v>
      </c>
      <c r="H384" s="126" t="s">
        <v>176</v>
      </c>
      <c r="I384" s="126">
        <v>1</v>
      </c>
      <c r="J384" s="126" t="s">
        <v>184</v>
      </c>
      <c r="K384" s="126" t="s">
        <v>316</v>
      </c>
      <c r="L384" s="126" t="s">
        <v>2003</v>
      </c>
      <c r="M384" s="126">
        <v>1</v>
      </c>
      <c r="N384" s="126">
        <v>7484</v>
      </c>
      <c r="O384" s="126" t="s">
        <v>670</v>
      </c>
      <c r="P384" s="126" t="s">
        <v>170</v>
      </c>
      <c r="Q384" s="126" t="s">
        <v>340</v>
      </c>
      <c r="R384" s="126" t="s">
        <v>340</v>
      </c>
      <c r="S384" s="126" t="s">
        <v>341</v>
      </c>
      <c r="T384" s="126" t="s">
        <v>160</v>
      </c>
      <c r="U384" s="126"/>
      <c r="V384" s="128">
        <v>1000000</v>
      </c>
      <c r="W384" s="128">
        <v>1000000</v>
      </c>
      <c r="X384" s="126" t="s">
        <v>1209</v>
      </c>
      <c r="Y384" s="126">
        <v>183733</v>
      </c>
      <c r="Z384" s="126">
        <v>0</v>
      </c>
      <c r="AA384" s="126" t="s">
        <v>0</v>
      </c>
      <c r="AB384" s="126" t="s">
        <v>140</v>
      </c>
      <c r="AC384" s="126" t="s">
        <v>218</v>
      </c>
      <c r="AD384" s="126"/>
      <c r="AE384" s="126"/>
      <c r="AF384" s="126"/>
      <c r="AG384" s="126"/>
      <c r="AH384" s="126" t="s">
        <v>316</v>
      </c>
      <c r="AI384" s="126" t="s">
        <v>2004</v>
      </c>
    </row>
    <row r="385" spans="1:35" ht="270" x14ac:dyDescent="0.25">
      <c r="A385" s="46" t="str">
        <f t="shared" si="5"/>
        <v>MEDEACT000071AUTOSERVICIONUTRESA</v>
      </c>
      <c r="B385" s="126" t="s">
        <v>9</v>
      </c>
      <c r="C385" s="126">
        <v>50689</v>
      </c>
      <c r="D385" s="126" t="s">
        <v>140</v>
      </c>
      <c r="E385" s="126" t="s">
        <v>177</v>
      </c>
      <c r="F385" s="127">
        <v>44543</v>
      </c>
      <c r="G385" s="126" t="s">
        <v>175</v>
      </c>
      <c r="H385" s="126" t="s">
        <v>176</v>
      </c>
      <c r="I385" s="126">
        <v>1</v>
      </c>
      <c r="J385" s="126" t="s">
        <v>184</v>
      </c>
      <c r="K385" s="126" t="s">
        <v>316</v>
      </c>
      <c r="L385" s="126" t="s">
        <v>2003</v>
      </c>
      <c r="M385" s="126">
        <v>1</v>
      </c>
      <c r="N385" s="126">
        <v>7484</v>
      </c>
      <c r="O385" s="126" t="s">
        <v>670</v>
      </c>
      <c r="P385" s="126" t="s">
        <v>170</v>
      </c>
      <c r="Q385" s="126" t="s">
        <v>340</v>
      </c>
      <c r="R385" s="126" t="s">
        <v>340</v>
      </c>
      <c r="S385" s="126" t="s">
        <v>341</v>
      </c>
      <c r="T385" s="126" t="s">
        <v>160</v>
      </c>
      <c r="U385" s="126"/>
      <c r="V385" s="128">
        <v>1000000</v>
      </c>
      <c r="W385" s="128">
        <v>1000000</v>
      </c>
      <c r="X385" s="126" t="s">
        <v>1209</v>
      </c>
      <c r="Y385" s="126">
        <v>183732</v>
      </c>
      <c r="Z385" s="126">
        <v>0</v>
      </c>
      <c r="AA385" s="126" t="s">
        <v>0</v>
      </c>
      <c r="AB385" s="126" t="s">
        <v>140</v>
      </c>
      <c r="AC385" s="126" t="s">
        <v>218</v>
      </c>
      <c r="AD385" s="126"/>
      <c r="AE385" s="126"/>
      <c r="AF385" s="126"/>
      <c r="AG385" s="126"/>
      <c r="AH385" s="126" t="s">
        <v>316</v>
      </c>
      <c r="AI385" s="126" t="s">
        <v>2005</v>
      </c>
    </row>
    <row r="386" spans="1:35" ht="225" x14ac:dyDescent="0.25">
      <c r="A386" s="46" t="str">
        <f t="shared" si="5"/>
        <v>MEDEACT000091AUTOSERVICIONUTRESA</v>
      </c>
      <c r="B386" s="126" t="s">
        <v>9</v>
      </c>
      <c r="C386" s="126">
        <v>50690</v>
      </c>
      <c r="D386" s="126" t="s">
        <v>140</v>
      </c>
      <c r="E386" s="126" t="s">
        <v>177</v>
      </c>
      <c r="F386" s="127">
        <v>44543</v>
      </c>
      <c r="G386" s="126" t="s">
        <v>175</v>
      </c>
      <c r="H386" s="126" t="s">
        <v>176</v>
      </c>
      <c r="I386" s="126">
        <v>1</v>
      </c>
      <c r="J386" s="126" t="s">
        <v>183</v>
      </c>
      <c r="K386" s="126" t="s">
        <v>316</v>
      </c>
      <c r="L386" s="126" t="s">
        <v>2006</v>
      </c>
      <c r="M386" s="126">
        <v>1</v>
      </c>
      <c r="N386" s="126">
        <v>7481</v>
      </c>
      <c r="O386" s="126" t="s">
        <v>671</v>
      </c>
      <c r="P386" s="126" t="s">
        <v>170</v>
      </c>
      <c r="Q386" s="126" t="s">
        <v>335</v>
      </c>
      <c r="R386" s="126" t="s">
        <v>335</v>
      </c>
      <c r="S386" s="126" t="s">
        <v>336</v>
      </c>
      <c r="T386" s="126" t="s">
        <v>160</v>
      </c>
      <c r="U386" s="126"/>
      <c r="V386" s="128">
        <v>1000000</v>
      </c>
      <c r="W386" s="128">
        <v>1000000</v>
      </c>
      <c r="X386" s="126" t="s">
        <v>1209</v>
      </c>
      <c r="Y386" s="126">
        <v>87720</v>
      </c>
      <c r="Z386" s="126">
        <v>0</v>
      </c>
      <c r="AA386" s="126" t="s">
        <v>0</v>
      </c>
      <c r="AB386" s="126" t="s">
        <v>140</v>
      </c>
      <c r="AC386" s="126" t="s">
        <v>218</v>
      </c>
      <c r="AD386" s="126"/>
      <c r="AE386" s="126"/>
      <c r="AF386" s="126"/>
      <c r="AG386" s="126"/>
      <c r="AH386" s="126" t="s">
        <v>316</v>
      </c>
      <c r="AI386" s="126" t="s">
        <v>2007</v>
      </c>
    </row>
    <row r="387" spans="1:35" ht="150" x14ac:dyDescent="0.25">
      <c r="A387" s="46" t="str">
        <f t="shared" ref="A387:A450" si="6">+CONCATENATE(B387,Q387,AA387,AB387)</f>
        <v>MEDECRD018765CADENASBPO</v>
      </c>
      <c r="B387" s="126" t="s">
        <v>9</v>
      </c>
      <c r="C387" s="126">
        <v>50701</v>
      </c>
      <c r="D387" s="126" t="s">
        <v>140</v>
      </c>
      <c r="E387" s="126" t="s">
        <v>177</v>
      </c>
      <c r="F387" s="127">
        <v>44544</v>
      </c>
      <c r="G387" s="126" t="s">
        <v>175</v>
      </c>
      <c r="H387" s="126" t="s">
        <v>176</v>
      </c>
      <c r="I387" s="126">
        <v>1</v>
      </c>
      <c r="J387" s="126" t="s">
        <v>184</v>
      </c>
      <c r="K387" s="126" t="s">
        <v>316</v>
      </c>
      <c r="L387" s="126" t="s">
        <v>2008</v>
      </c>
      <c r="M387" s="126">
        <v>1</v>
      </c>
      <c r="N387" s="126">
        <v>4502230221</v>
      </c>
      <c r="O387" s="126" t="s">
        <v>672</v>
      </c>
      <c r="P387" s="126" t="s">
        <v>168</v>
      </c>
      <c r="Q387" s="126" t="s">
        <v>401</v>
      </c>
      <c r="R387" s="126" t="s">
        <v>401</v>
      </c>
      <c r="S387" s="126" t="s">
        <v>402</v>
      </c>
      <c r="T387" s="126" t="s">
        <v>160</v>
      </c>
      <c r="U387" s="126" t="s">
        <v>401</v>
      </c>
      <c r="V387" s="128">
        <v>100000000</v>
      </c>
      <c r="W387" s="128">
        <v>100000000</v>
      </c>
      <c r="X387" s="126" t="s">
        <v>1209</v>
      </c>
      <c r="Y387" s="126">
        <v>0</v>
      </c>
      <c r="Z387" s="126">
        <v>0</v>
      </c>
      <c r="AA387" s="126" t="s">
        <v>1</v>
      </c>
      <c r="AB387" s="126" t="s">
        <v>161</v>
      </c>
      <c r="AC387" s="126" t="s">
        <v>162</v>
      </c>
      <c r="AD387" s="126"/>
      <c r="AE387" s="126"/>
      <c r="AF387" s="126"/>
      <c r="AG387" s="126"/>
      <c r="AH387" s="126" t="s">
        <v>316</v>
      </c>
      <c r="AI387" s="126" t="s">
        <v>2009</v>
      </c>
    </row>
    <row r="388" spans="1:35" ht="165" x14ac:dyDescent="0.25">
      <c r="A388" s="46" t="str">
        <f t="shared" si="6"/>
        <v>MEDECRD025006TRADICIONALNUTRESA</v>
      </c>
      <c r="B388" s="126" t="s">
        <v>9</v>
      </c>
      <c r="C388" s="126">
        <v>50726</v>
      </c>
      <c r="D388" s="126" t="s">
        <v>140</v>
      </c>
      <c r="E388" s="126" t="s">
        <v>177</v>
      </c>
      <c r="F388" s="127">
        <v>44545</v>
      </c>
      <c r="G388" s="126" t="s">
        <v>175</v>
      </c>
      <c r="H388" s="126" t="s">
        <v>176</v>
      </c>
      <c r="I388" s="126">
        <v>1</v>
      </c>
      <c r="J388" s="126" t="s">
        <v>184</v>
      </c>
      <c r="K388" s="126" t="s">
        <v>316</v>
      </c>
      <c r="L388" s="126" t="s">
        <v>2010</v>
      </c>
      <c r="M388" s="126">
        <v>1</v>
      </c>
      <c r="N388" s="126" t="s">
        <v>788</v>
      </c>
      <c r="O388" s="126" t="s">
        <v>789</v>
      </c>
      <c r="P388" s="126" t="s">
        <v>171</v>
      </c>
      <c r="Q388" s="126" t="s">
        <v>579</v>
      </c>
      <c r="R388" s="126" t="s">
        <v>579</v>
      </c>
      <c r="S388" s="126" t="s">
        <v>1266</v>
      </c>
      <c r="T388" s="126" t="s">
        <v>160</v>
      </c>
      <c r="U388" s="126"/>
      <c r="V388" s="128">
        <v>141000000</v>
      </c>
      <c r="W388" s="128">
        <v>141000000</v>
      </c>
      <c r="X388" s="126" t="s">
        <v>1209</v>
      </c>
      <c r="Y388" s="126">
        <v>0</v>
      </c>
      <c r="Z388" s="126">
        <v>0</v>
      </c>
      <c r="AA388" s="126" t="s">
        <v>2</v>
      </c>
      <c r="AB388" s="126" t="s">
        <v>140</v>
      </c>
      <c r="AC388" s="126" t="s">
        <v>162</v>
      </c>
      <c r="AD388" s="126"/>
      <c r="AE388" s="126"/>
      <c r="AF388" s="126"/>
      <c r="AG388" s="126"/>
      <c r="AH388" s="126" t="s">
        <v>316</v>
      </c>
      <c r="AI388" s="126" t="s">
        <v>2011</v>
      </c>
    </row>
    <row r="389" spans="1:35" ht="120" x14ac:dyDescent="0.25">
      <c r="A389" s="46" t="str">
        <f t="shared" si="6"/>
        <v>MEDECRD023981AUTOSERVICIONUTRESA</v>
      </c>
      <c r="B389" s="126" t="s">
        <v>9</v>
      </c>
      <c r="C389" s="126">
        <v>50733</v>
      </c>
      <c r="D389" s="126" t="s">
        <v>140</v>
      </c>
      <c r="E389" s="126" t="s">
        <v>177</v>
      </c>
      <c r="F389" s="127">
        <v>44546</v>
      </c>
      <c r="G389" s="126" t="s">
        <v>175</v>
      </c>
      <c r="H389" s="126" t="s">
        <v>176</v>
      </c>
      <c r="I389" s="126">
        <v>1</v>
      </c>
      <c r="J389" s="126" t="s">
        <v>183</v>
      </c>
      <c r="K389" s="126" t="s">
        <v>316</v>
      </c>
      <c r="L389" s="126" t="s">
        <v>2012</v>
      </c>
      <c r="M389" s="126">
        <v>1</v>
      </c>
      <c r="N389" s="126">
        <v>7486</v>
      </c>
      <c r="O389" s="126" t="s">
        <v>2013</v>
      </c>
      <c r="P389" s="126" t="s">
        <v>170</v>
      </c>
      <c r="Q389" s="126" t="s">
        <v>265</v>
      </c>
      <c r="R389" s="126" t="s">
        <v>265</v>
      </c>
      <c r="S389" s="126" t="s">
        <v>281</v>
      </c>
      <c r="T389" s="126" t="s">
        <v>160</v>
      </c>
      <c r="U389" s="126"/>
      <c r="V389" s="128">
        <v>1000000</v>
      </c>
      <c r="W389" s="128">
        <v>1000000</v>
      </c>
      <c r="X389" s="126" t="s">
        <v>1209</v>
      </c>
      <c r="Y389" s="126">
        <v>0</v>
      </c>
      <c r="Z389" s="126">
        <v>0</v>
      </c>
      <c r="AA389" s="126" t="s">
        <v>0</v>
      </c>
      <c r="AB389" s="126" t="s">
        <v>140</v>
      </c>
      <c r="AC389" s="126" t="s">
        <v>162</v>
      </c>
      <c r="AD389" s="126"/>
      <c r="AE389" s="126"/>
      <c r="AF389" s="126"/>
      <c r="AG389" s="126"/>
      <c r="AH389" s="126" t="s">
        <v>316</v>
      </c>
      <c r="AI389" s="126" t="s">
        <v>2014</v>
      </c>
    </row>
    <row r="390" spans="1:35" ht="150" x14ac:dyDescent="0.25">
      <c r="A390" s="46" t="str">
        <f t="shared" si="6"/>
        <v>MEDECRD025021AUTOSERVICIONUTRESA</v>
      </c>
      <c r="B390" s="126" t="s">
        <v>9</v>
      </c>
      <c r="C390" s="126">
        <v>50758</v>
      </c>
      <c r="D390" s="126" t="s">
        <v>140</v>
      </c>
      <c r="E390" s="126" t="s">
        <v>177</v>
      </c>
      <c r="F390" s="127">
        <v>44547</v>
      </c>
      <c r="G390" s="126" t="s">
        <v>175</v>
      </c>
      <c r="H390" s="126" t="s">
        <v>176</v>
      </c>
      <c r="I390" s="126">
        <v>1</v>
      </c>
      <c r="J390" s="126" t="s">
        <v>184</v>
      </c>
      <c r="K390" s="126" t="s">
        <v>316</v>
      </c>
      <c r="L390" s="126" t="s">
        <v>2015</v>
      </c>
      <c r="M390" s="126">
        <v>1</v>
      </c>
      <c r="N390" s="126">
        <v>1663</v>
      </c>
      <c r="O390" s="126" t="s">
        <v>2016</v>
      </c>
      <c r="P390" s="126" t="s">
        <v>171</v>
      </c>
      <c r="Q390" s="126" t="s">
        <v>815</v>
      </c>
      <c r="R390" s="126" t="s">
        <v>815</v>
      </c>
      <c r="S390" s="126" t="s">
        <v>816</v>
      </c>
      <c r="T390" s="126" t="s">
        <v>160</v>
      </c>
      <c r="U390" s="126"/>
      <c r="V390" s="128">
        <v>80000000</v>
      </c>
      <c r="W390" s="128">
        <v>80000000</v>
      </c>
      <c r="X390" s="126" t="s">
        <v>1209</v>
      </c>
      <c r="Y390" s="126">
        <v>0</v>
      </c>
      <c r="Z390" s="126">
        <v>0</v>
      </c>
      <c r="AA390" s="126" t="s">
        <v>0</v>
      </c>
      <c r="AB390" s="126" t="s">
        <v>140</v>
      </c>
      <c r="AC390" s="126" t="s">
        <v>162</v>
      </c>
      <c r="AD390" s="126"/>
      <c r="AE390" s="126"/>
      <c r="AF390" s="126"/>
      <c r="AG390" s="126"/>
      <c r="AH390" s="126" t="s">
        <v>316</v>
      </c>
      <c r="AI390" s="126" t="s">
        <v>2017</v>
      </c>
    </row>
    <row r="391" spans="1:35" ht="165" x14ac:dyDescent="0.25">
      <c r="A391" s="46" t="str">
        <f t="shared" si="6"/>
        <v>MEDECRD025010TRADICIONALNUTRESA</v>
      </c>
      <c r="B391" s="126" t="s">
        <v>9</v>
      </c>
      <c r="C391" s="126">
        <v>50762</v>
      </c>
      <c r="D391" s="126" t="s">
        <v>140</v>
      </c>
      <c r="E391" s="126" t="s">
        <v>177</v>
      </c>
      <c r="F391" s="127">
        <v>44547</v>
      </c>
      <c r="G391" s="126" t="s">
        <v>175</v>
      </c>
      <c r="H391" s="126" t="s">
        <v>176</v>
      </c>
      <c r="I391" s="126">
        <v>1</v>
      </c>
      <c r="J391" s="126" t="s">
        <v>184</v>
      </c>
      <c r="K391" s="126" t="s">
        <v>316</v>
      </c>
      <c r="L391" s="126" t="s">
        <v>2018</v>
      </c>
      <c r="M391" s="126">
        <v>1</v>
      </c>
      <c r="N391" s="126">
        <v>23796</v>
      </c>
      <c r="O391" s="126" t="s">
        <v>2019</v>
      </c>
      <c r="P391" s="126" t="s">
        <v>171</v>
      </c>
      <c r="Q391" s="126" t="s">
        <v>488</v>
      </c>
      <c r="R391" s="126" t="s">
        <v>488</v>
      </c>
      <c r="S391" s="126" t="s">
        <v>1255</v>
      </c>
      <c r="T391" s="126" t="s">
        <v>160</v>
      </c>
      <c r="U391" s="126"/>
      <c r="V391" s="128">
        <v>1500000000</v>
      </c>
      <c r="W391" s="128">
        <v>1500000000</v>
      </c>
      <c r="X391" s="126" t="s">
        <v>1209</v>
      </c>
      <c r="Y391" s="126">
        <v>0</v>
      </c>
      <c r="Z391" s="126">
        <v>0</v>
      </c>
      <c r="AA391" s="126" t="s">
        <v>2</v>
      </c>
      <c r="AB391" s="126" t="s">
        <v>140</v>
      </c>
      <c r="AC391" s="126" t="s">
        <v>162</v>
      </c>
      <c r="AD391" s="126"/>
      <c r="AE391" s="126"/>
      <c r="AF391" s="126"/>
      <c r="AG391" s="126"/>
      <c r="AH391" s="126" t="s">
        <v>316</v>
      </c>
      <c r="AI391" s="126" t="s">
        <v>2020</v>
      </c>
    </row>
    <row r="392" spans="1:35" ht="165" x14ac:dyDescent="0.25">
      <c r="A392" s="46" t="str">
        <f t="shared" si="6"/>
        <v>MEDECRD025008TRADICIONALNUTRESA</v>
      </c>
      <c r="B392" s="126" t="s">
        <v>9</v>
      </c>
      <c r="C392" s="126">
        <v>50762</v>
      </c>
      <c r="D392" s="126" t="s">
        <v>140</v>
      </c>
      <c r="E392" s="126" t="s">
        <v>177</v>
      </c>
      <c r="F392" s="127">
        <v>44547</v>
      </c>
      <c r="G392" s="126" t="s">
        <v>175</v>
      </c>
      <c r="H392" s="126" t="s">
        <v>176</v>
      </c>
      <c r="I392" s="126">
        <v>1</v>
      </c>
      <c r="J392" s="126" t="s">
        <v>184</v>
      </c>
      <c r="K392" s="126" t="s">
        <v>316</v>
      </c>
      <c r="L392" s="126" t="s">
        <v>2018</v>
      </c>
      <c r="M392" s="126">
        <v>1</v>
      </c>
      <c r="N392" s="126">
        <v>23796</v>
      </c>
      <c r="O392" s="126" t="s">
        <v>2019</v>
      </c>
      <c r="P392" s="126" t="s">
        <v>171</v>
      </c>
      <c r="Q392" s="126" t="s">
        <v>486</v>
      </c>
      <c r="R392" s="126" t="s">
        <v>486</v>
      </c>
      <c r="S392" s="126" t="s">
        <v>1251</v>
      </c>
      <c r="T392" s="126" t="s">
        <v>160</v>
      </c>
      <c r="U392" s="126"/>
      <c r="V392" s="128">
        <v>2700000000</v>
      </c>
      <c r="W392" s="128">
        <v>2700000000</v>
      </c>
      <c r="X392" s="126" t="s">
        <v>1209</v>
      </c>
      <c r="Y392" s="126">
        <v>0</v>
      </c>
      <c r="Z392" s="126">
        <v>0</v>
      </c>
      <c r="AA392" s="126" t="s">
        <v>2</v>
      </c>
      <c r="AB392" s="126" t="s">
        <v>140</v>
      </c>
      <c r="AC392" s="126" t="s">
        <v>162</v>
      </c>
      <c r="AD392" s="126"/>
      <c r="AE392" s="126"/>
      <c r="AF392" s="126"/>
      <c r="AG392" s="126"/>
      <c r="AH392" s="126" t="s">
        <v>316</v>
      </c>
      <c r="AI392" s="126" t="s">
        <v>2021</v>
      </c>
    </row>
    <row r="393" spans="1:35" ht="165" x14ac:dyDescent="0.25">
      <c r="A393" s="46" t="str">
        <f t="shared" si="6"/>
        <v>MEDECRD025009TRADICIONALNUTRESA</v>
      </c>
      <c r="B393" s="126" t="s">
        <v>9</v>
      </c>
      <c r="C393" s="126">
        <v>50762</v>
      </c>
      <c r="D393" s="126" t="s">
        <v>140</v>
      </c>
      <c r="E393" s="126" t="s">
        <v>177</v>
      </c>
      <c r="F393" s="127">
        <v>44547</v>
      </c>
      <c r="G393" s="126" t="s">
        <v>175</v>
      </c>
      <c r="H393" s="126" t="s">
        <v>176</v>
      </c>
      <c r="I393" s="126">
        <v>1</v>
      </c>
      <c r="J393" s="126" t="s">
        <v>184</v>
      </c>
      <c r="K393" s="126" t="s">
        <v>316</v>
      </c>
      <c r="L393" s="126" t="s">
        <v>2018</v>
      </c>
      <c r="M393" s="126">
        <v>1</v>
      </c>
      <c r="N393" s="126">
        <v>23796</v>
      </c>
      <c r="O393" s="126" t="s">
        <v>2019</v>
      </c>
      <c r="P393" s="126" t="s">
        <v>171</v>
      </c>
      <c r="Q393" s="126" t="s">
        <v>487</v>
      </c>
      <c r="R393" s="126" t="s">
        <v>487</v>
      </c>
      <c r="S393" s="126" t="s">
        <v>1253</v>
      </c>
      <c r="T393" s="126" t="s">
        <v>160</v>
      </c>
      <c r="U393" s="126"/>
      <c r="V393" s="128">
        <v>1500000000</v>
      </c>
      <c r="W393" s="128">
        <v>1500000000</v>
      </c>
      <c r="X393" s="126" t="s">
        <v>1209</v>
      </c>
      <c r="Y393" s="126">
        <v>0</v>
      </c>
      <c r="Z393" s="126">
        <v>0</v>
      </c>
      <c r="AA393" s="126" t="s">
        <v>2</v>
      </c>
      <c r="AB393" s="126" t="s">
        <v>140</v>
      </c>
      <c r="AC393" s="126" t="s">
        <v>162</v>
      </c>
      <c r="AD393" s="126"/>
      <c r="AE393" s="126"/>
      <c r="AF393" s="126"/>
      <c r="AG393" s="126"/>
      <c r="AH393" s="126" t="s">
        <v>316</v>
      </c>
      <c r="AI393" s="126" t="s">
        <v>2022</v>
      </c>
    </row>
    <row r="394" spans="1:35" ht="165" x14ac:dyDescent="0.25">
      <c r="A394" s="46" t="str">
        <f t="shared" si="6"/>
        <v>MEDECRD025002AUTOSERVICIONUTRESA</v>
      </c>
      <c r="B394" s="126" t="s">
        <v>9</v>
      </c>
      <c r="C394" s="126">
        <v>50763</v>
      </c>
      <c r="D394" s="126" t="s">
        <v>140</v>
      </c>
      <c r="E394" s="126" t="s">
        <v>177</v>
      </c>
      <c r="F394" s="127">
        <v>44547</v>
      </c>
      <c r="G394" s="126" t="s">
        <v>175</v>
      </c>
      <c r="H394" s="126" t="s">
        <v>176</v>
      </c>
      <c r="I394" s="126">
        <v>1</v>
      </c>
      <c r="J394" s="126" t="s">
        <v>184</v>
      </c>
      <c r="K394" s="126" t="s">
        <v>316</v>
      </c>
      <c r="L394" s="126" t="s">
        <v>2023</v>
      </c>
      <c r="M394" s="126">
        <v>1</v>
      </c>
      <c r="N394" s="126">
        <v>23788</v>
      </c>
      <c r="O394" s="126" t="s">
        <v>2024</v>
      </c>
      <c r="P394" s="126" t="s">
        <v>171</v>
      </c>
      <c r="Q394" s="126" t="s">
        <v>491</v>
      </c>
      <c r="R394" s="126" t="s">
        <v>491</v>
      </c>
      <c r="S394" s="126" t="s">
        <v>492</v>
      </c>
      <c r="T394" s="126" t="s">
        <v>160</v>
      </c>
      <c r="U394" s="126"/>
      <c r="V394" s="128">
        <v>60000000</v>
      </c>
      <c r="W394" s="128">
        <v>60000000</v>
      </c>
      <c r="X394" s="126" t="s">
        <v>1209</v>
      </c>
      <c r="Y394" s="126">
        <v>0</v>
      </c>
      <c r="Z394" s="126">
        <v>0</v>
      </c>
      <c r="AA394" s="126" t="s">
        <v>0</v>
      </c>
      <c r="AB394" s="126" t="s">
        <v>140</v>
      </c>
      <c r="AC394" s="126" t="s">
        <v>162</v>
      </c>
      <c r="AD394" s="126"/>
      <c r="AE394" s="126"/>
      <c r="AF394" s="126"/>
      <c r="AG394" s="126"/>
      <c r="AH394" s="126" t="s">
        <v>316</v>
      </c>
      <c r="AI394" s="126" t="s">
        <v>2025</v>
      </c>
    </row>
    <row r="395" spans="1:35" ht="165" x14ac:dyDescent="0.25">
      <c r="A395" s="46" t="str">
        <f t="shared" si="6"/>
        <v>MEDECRD025001AUTOSERVICIONUTRESA</v>
      </c>
      <c r="B395" s="126" t="s">
        <v>9</v>
      </c>
      <c r="C395" s="126">
        <v>50763</v>
      </c>
      <c r="D395" s="126" t="s">
        <v>140</v>
      </c>
      <c r="E395" s="126" t="s">
        <v>177</v>
      </c>
      <c r="F395" s="127">
        <v>44547</v>
      </c>
      <c r="G395" s="126" t="s">
        <v>175</v>
      </c>
      <c r="H395" s="126" t="s">
        <v>176</v>
      </c>
      <c r="I395" s="126">
        <v>1</v>
      </c>
      <c r="J395" s="126" t="s">
        <v>184</v>
      </c>
      <c r="K395" s="126" t="s">
        <v>316</v>
      </c>
      <c r="L395" s="126" t="s">
        <v>2023</v>
      </c>
      <c r="M395" s="126">
        <v>1</v>
      </c>
      <c r="N395" s="126">
        <v>23788</v>
      </c>
      <c r="O395" s="126" t="s">
        <v>2024</v>
      </c>
      <c r="P395" s="126" t="s">
        <v>171</v>
      </c>
      <c r="Q395" s="126" t="s">
        <v>489</v>
      </c>
      <c r="R395" s="126" t="s">
        <v>489</v>
      </c>
      <c r="S395" s="126" t="s">
        <v>490</v>
      </c>
      <c r="T395" s="126" t="s">
        <v>160</v>
      </c>
      <c r="U395" s="126"/>
      <c r="V395" s="128">
        <v>80000000</v>
      </c>
      <c r="W395" s="128">
        <v>80000000</v>
      </c>
      <c r="X395" s="126" t="s">
        <v>1209</v>
      </c>
      <c r="Y395" s="126">
        <v>0</v>
      </c>
      <c r="Z395" s="126">
        <v>0</v>
      </c>
      <c r="AA395" s="126" t="s">
        <v>0</v>
      </c>
      <c r="AB395" s="126" t="s">
        <v>140</v>
      </c>
      <c r="AC395" s="126" t="s">
        <v>162</v>
      </c>
      <c r="AD395" s="126"/>
      <c r="AE395" s="126"/>
      <c r="AF395" s="126"/>
      <c r="AG395" s="126"/>
      <c r="AH395" s="126" t="s">
        <v>316</v>
      </c>
      <c r="AI395" s="126" t="s">
        <v>2026</v>
      </c>
    </row>
    <row r="396" spans="1:35" ht="165" x14ac:dyDescent="0.25">
      <c r="A396" s="46" t="str">
        <f t="shared" si="6"/>
        <v>MEDECRD021350CADENASBPO</v>
      </c>
      <c r="B396" s="126" t="s">
        <v>9</v>
      </c>
      <c r="C396" s="126">
        <v>50766</v>
      </c>
      <c r="D396" s="126" t="s">
        <v>140</v>
      </c>
      <c r="E396" s="126" t="s">
        <v>177</v>
      </c>
      <c r="F396" s="127">
        <v>44548</v>
      </c>
      <c r="G396" s="126" t="s">
        <v>175</v>
      </c>
      <c r="H396" s="126" t="s">
        <v>176</v>
      </c>
      <c r="I396" s="126">
        <v>1</v>
      </c>
      <c r="J396" s="126" t="s">
        <v>183</v>
      </c>
      <c r="K396" s="126" t="s">
        <v>316</v>
      </c>
      <c r="L396" s="126" t="s">
        <v>2027</v>
      </c>
      <c r="M396" s="126">
        <v>1</v>
      </c>
      <c r="N396" s="126">
        <v>7492</v>
      </c>
      <c r="O396" s="126" t="s">
        <v>2028</v>
      </c>
      <c r="P396" s="126" t="s">
        <v>172</v>
      </c>
      <c r="Q396" s="126" t="s">
        <v>289</v>
      </c>
      <c r="R396" s="126" t="s">
        <v>289</v>
      </c>
      <c r="S396" s="126" t="s">
        <v>290</v>
      </c>
      <c r="T396" s="126" t="s">
        <v>160</v>
      </c>
      <c r="U396" s="126"/>
      <c r="V396" s="128">
        <v>1000000</v>
      </c>
      <c r="W396" s="128">
        <v>1000000</v>
      </c>
      <c r="X396" s="126" t="s">
        <v>1209</v>
      </c>
      <c r="Y396" s="126">
        <v>0</v>
      </c>
      <c r="Z396" s="126" t="s">
        <v>293</v>
      </c>
      <c r="AA396" s="126" t="s">
        <v>1</v>
      </c>
      <c r="AB396" s="126" t="s">
        <v>161</v>
      </c>
      <c r="AC396" s="126" t="s">
        <v>162</v>
      </c>
      <c r="AD396" s="127">
        <v>44812</v>
      </c>
      <c r="AE396" s="126"/>
      <c r="AF396" s="127">
        <v>44812</v>
      </c>
      <c r="AG396" s="126"/>
      <c r="AH396" s="126" t="s">
        <v>2029</v>
      </c>
      <c r="AI396" s="126" t="s">
        <v>2030</v>
      </c>
    </row>
    <row r="397" spans="1:35" ht="165" x14ac:dyDescent="0.25">
      <c r="A397" s="46" t="str">
        <f t="shared" si="6"/>
        <v>MEDECRD021350CADENASBPO</v>
      </c>
      <c r="B397" s="126" t="s">
        <v>9</v>
      </c>
      <c r="C397" s="126">
        <v>50766</v>
      </c>
      <c r="D397" s="126" t="s">
        <v>140</v>
      </c>
      <c r="E397" s="126" t="s">
        <v>177</v>
      </c>
      <c r="F397" s="127">
        <v>44548</v>
      </c>
      <c r="G397" s="126" t="s">
        <v>175</v>
      </c>
      <c r="H397" s="126" t="s">
        <v>176</v>
      </c>
      <c r="I397" s="126">
        <v>1</v>
      </c>
      <c r="J397" s="126" t="s">
        <v>183</v>
      </c>
      <c r="K397" s="126" t="s">
        <v>316</v>
      </c>
      <c r="L397" s="126" t="s">
        <v>2027</v>
      </c>
      <c r="M397" s="126">
        <v>1</v>
      </c>
      <c r="N397" s="126">
        <v>7492</v>
      </c>
      <c r="O397" s="126" t="s">
        <v>2028</v>
      </c>
      <c r="P397" s="126" t="s">
        <v>172</v>
      </c>
      <c r="Q397" s="126" t="s">
        <v>289</v>
      </c>
      <c r="R397" s="126" t="s">
        <v>289</v>
      </c>
      <c r="S397" s="126" t="s">
        <v>290</v>
      </c>
      <c r="T397" s="126" t="s">
        <v>160</v>
      </c>
      <c r="U397" s="126"/>
      <c r="V397" s="128">
        <v>37000000</v>
      </c>
      <c r="W397" s="128">
        <v>37000000</v>
      </c>
      <c r="X397" s="126" t="s">
        <v>1209</v>
      </c>
      <c r="Y397" s="126">
        <v>0</v>
      </c>
      <c r="Z397" s="126" t="s">
        <v>293</v>
      </c>
      <c r="AA397" s="126" t="s">
        <v>1</v>
      </c>
      <c r="AB397" s="126" t="s">
        <v>161</v>
      </c>
      <c r="AC397" s="126" t="s">
        <v>162</v>
      </c>
      <c r="AD397" s="127">
        <v>44812</v>
      </c>
      <c r="AE397" s="126"/>
      <c r="AF397" s="127">
        <v>44812</v>
      </c>
      <c r="AG397" s="126"/>
      <c r="AH397" s="126" t="s">
        <v>2029</v>
      </c>
      <c r="AI397" s="126" t="s">
        <v>2030</v>
      </c>
    </row>
    <row r="398" spans="1:35" ht="165" x14ac:dyDescent="0.25">
      <c r="A398" s="46" t="str">
        <f t="shared" si="6"/>
        <v>MEDECRD014120CADENASBPO</v>
      </c>
      <c r="B398" s="126" t="s">
        <v>9</v>
      </c>
      <c r="C398" s="126">
        <v>50766</v>
      </c>
      <c r="D398" s="126" t="s">
        <v>140</v>
      </c>
      <c r="E398" s="126" t="s">
        <v>177</v>
      </c>
      <c r="F398" s="127">
        <v>44548</v>
      </c>
      <c r="G398" s="126" t="s">
        <v>175</v>
      </c>
      <c r="H398" s="126" t="s">
        <v>176</v>
      </c>
      <c r="I398" s="126">
        <v>1</v>
      </c>
      <c r="J398" s="126" t="s">
        <v>183</v>
      </c>
      <c r="K398" s="126" t="s">
        <v>316</v>
      </c>
      <c r="L398" s="126" t="s">
        <v>2027</v>
      </c>
      <c r="M398" s="126">
        <v>1</v>
      </c>
      <c r="N398" s="126">
        <v>7492</v>
      </c>
      <c r="O398" s="126" t="s">
        <v>2028</v>
      </c>
      <c r="P398" s="126" t="s">
        <v>172</v>
      </c>
      <c r="Q398" s="126" t="s">
        <v>224</v>
      </c>
      <c r="R398" s="126" t="s">
        <v>224</v>
      </c>
      <c r="S398" s="126" t="s">
        <v>225</v>
      </c>
      <c r="T398" s="126" t="s">
        <v>160</v>
      </c>
      <c r="U398" s="126"/>
      <c r="V398" s="128">
        <v>30000000</v>
      </c>
      <c r="W398" s="128">
        <v>30000000</v>
      </c>
      <c r="X398" s="126" t="s">
        <v>1209</v>
      </c>
      <c r="Y398" s="126">
        <v>0</v>
      </c>
      <c r="Z398" s="126" t="s">
        <v>292</v>
      </c>
      <c r="AA398" s="126" t="s">
        <v>1</v>
      </c>
      <c r="AB398" s="126" t="s">
        <v>161</v>
      </c>
      <c r="AC398" s="126" t="s">
        <v>162</v>
      </c>
      <c r="AD398" s="127">
        <v>44805</v>
      </c>
      <c r="AE398" s="126"/>
      <c r="AF398" s="127">
        <v>44805</v>
      </c>
      <c r="AG398" s="126"/>
      <c r="AH398" s="126" t="s">
        <v>2029</v>
      </c>
      <c r="AI398" s="126" t="s">
        <v>2031</v>
      </c>
    </row>
    <row r="399" spans="1:35" ht="165" x14ac:dyDescent="0.25">
      <c r="A399" s="46" t="str">
        <f t="shared" si="6"/>
        <v>MEDECRD014117CADENASBPO</v>
      </c>
      <c r="B399" s="126" t="s">
        <v>9</v>
      </c>
      <c r="C399" s="126">
        <v>50766</v>
      </c>
      <c r="D399" s="126" t="s">
        <v>140</v>
      </c>
      <c r="E399" s="126" t="s">
        <v>177</v>
      </c>
      <c r="F399" s="127">
        <v>44548</v>
      </c>
      <c r="G399" s="126" t="s">
        <v>175</v>
      </c>
      <c r="H399" s="126" t="s">
        <v>176</v>
      </c>
      <c r="I399" s="126">
        <v>1</v>
      </c>
      <c r="J399" s="126" t="s">
        <v>183</v>
      </c>
      <c r="K399" s="126" t="s">
        <v>316</v>
      </c>
      <c r="L399" s="126" t="s">
        <v>2027</v>
      </c>
      <c r="M399" s="126">
        <v>1</v>
      </c>
      <c r="N399" s="126">
        <v>7492</v>
      </c>
      <c r="O399" s="126" t="s">
        <v>2028</v>
      </c>
      <c r="P399" s="126" t="s">
        <v>172</v>
      </c>
      <c r="Q399" s="126" t="s">
        <v>508</v>
      </c>
      <c r="R399" s="126" t="s">
        <v>508</v>
      </c>
      <c r="S399" s="126" t="s">
        <v>509</v>
      </c>
      <c r="T399" s="126" t="s">
        <v>160</v>
      </c>
      <c r="U399" s="126"/>
      <c r="V399" s="128">
        <v>2000000</v>
      </c>
      <c r="W399" s="128">
        <v>2000000</v>
      </c>
      <c r="X399" s="126" t="s">
        <v>1209</v>
      </c>
      <c r="Y399" s="126">
        <v>0</v>
      </c>
      <c r="Z399" s="126" t="s">
        <v>2032</v>
      </c>
      <c r="AA399" s="126" t="s">
        <v>1</v>
      </c>
      <c r="AB399" s="126" t="s">
        <v>161</v>
      </c>
      <c r="AC399" s="126" t="s">
        <v>162</v>
      </c>
      <c r="AD399" s="127">
        <v>44795</v>
      </c>
      <c r="AE399" s="126"/>
      <c r="AF399" s="127">
        <v>44795</v>
      </c>
      <c r="AG399" s="126"/>
      <c r="AH399" s="126" t="s">
        <v>2029</v>
      </c>
      <c r="AI399" s="126" t="s">
        <v>2033</v>
      </c>
    </row>
    <row r="400" spans="1:35" ht="165" x14ac:dyDescent="0.25">
      <c r="A400" s="46" t="str">
        <f t="shared" si="6"/>
        <v>MEDECRD014118CADENASBPO</v>
      </c>
      <c r="B400" s="126" t="s">
        <v>9</v>
      </c>
      <c r="C400" s="126">
        <v>50766</v>
      </c>
      <c r="D400" s="126" t="s">
        <v>140</v>
      </c>
      <c r="E400" s="126" t="s">
        <v>177</v>
      </c>
      <c r="F400" s="127">
        <v>44548</v>
      </c>
      <c r="G400" s="126" t="s">
        <v>175</v>
      </c>
      <c r="H400" s="126" t="s">
        <v>176</v>
      </c>
      <c r="I400" s="126">
        <v>1</v>
      </c>
      <c r="J400" s="126" t="s">
        <v>183</v>
      </c>
      <c r="K400" s="126" t="s">
        <v>316</v>
      </c>
      <c r="L400" s="126" t="s">
        <v>2027</v>
      </c>
      <c r="M400" s="126">
        <v>1</v>
      </c>
      <c r="N400" s="126">
        <v>7492</v>
      </c>
      <c r="O400" s="126" t="s">
        <v>2028</v>
      </c>
      <c r="P400" s="126" t="s">
        <v>172</v>
      </c>
      <c r="Q400" s="126" t="s">
        <v>312</v>
      </c>
      <c r="R400" s="126" t="s">
        <v>312</v>
      </c>
      <c r="S400" s="126" t="s">
        <v>313</v>
      </c>
      <c r="T400" s="126" t="s">
        <v>160</v>
      </c>
      <c r="U400" s="126"/>
      <c r="V400" s="128">
        <v>32000000</v>
      </c>
      <c r="W400" s="128">
        <v>32000000</v>
      </c>
      <c r="X400" s="126" t="s">
        <v>1209</v>
      </c>
      <c r="Y400" s="126">
        <v>0</v>
      </c>
      <c r="Z400" s="126" t="s">
        <v>2032</v>
      </c>
      <c r="AA400" s="126" t="s">
        <v>1</v>
      </c>
      <c r="AB400" s="126" t="s">
        <v>161</v>
      </c>
      <c r="AC400" s="126" t="s">
        <v>162</v>
      </c>
      <c r="AD400" s="127">
        <v>44703</v>
      </c>
      <c r="AE400" s="126"/>
      <c r="AF400" s="127">
        <v>44703</v>
      </c>
      <c r="AG400" s="126"/>
      <c r="AH400" s="126" t="s">
        <v>2029</v>
      </c>
      <c r="AI400" s="126" t="s">
        <v>2034</v>
      </c>
    </row>
    <row r="401" spans="1:35" ht="165" x14ac:dyDescent="0.25">
      <c r="A401" s="46" t="str">
        <f t="shared" si="6"/>
        <v>MEDECRD019868CADENASBPO</v>
      </c>
      <c r="B401" s="126" t="s">
        <v>9</v>
      </c>
      <c r="C401" s="126">
        <v>50766</v>
      </c>
      <c r="D401" s="126" t="s">
        <v>140</v>
      </c>
      <c r="E401" s="126" t="s">
        <v>177</v>
      </c>
      <c r="F401" s="127">
        <v>44548</v>
      </c>
      <c r="G401" s="126" t="s">
        <v>175</v>
      </c>
      <c r="H401" s="126" t="s">
        <v>176</v>
      </c>
      <c r="I401" s="126">
        <v>1</v>
      </c>
      <c r="J401" s="126" t="s">
        <v>183</v>
      </c>
      <c r="K401" s="126" t="s">
        <v>316</v>
      </c>
      <c r="L401" s="126" t="s">
        <v>2027</v>
      </c>
      <c r="M401" s="126">
        <v>1</v>
      </c>
      <c r="N401" s="126">
        <v>7492</v>
      </c>
      <c r="O401" s="126" t="s">
        <v>2028</v>
      </c>
      <c r="P401" s="126" t="s">
        <v>166</v>
      </c>
      <c r="Q401" s="126" t="s">
        <v>153</v>
      </c>
      <c r="R401" s="126" t="s">
        <v>153</v>
      </c>
      <c r="S401" s="126" t="s">
        <v>167</v>
      </c>
      <c r="T401" s="126" t="s">
        <v>160</v>
      </c>
      <c r="U401" s="126"/>
      <c r="V401" s="128">
        <v>1000000</v>
      </c>
      <c r="W401" s="128">
        <v>1000000</v>
      </c>
      <c r="X401" s="126" t="s">
        <v>1209</v>
      </c>
      <c r="Y401" s="126">
        <v>0</v>
      </c>
      <c r="Z401" s="126">
        <v>0</v>
      </c>
      <c r="AA401" s="126" t="s">
        <v>1</v>
      </c>
      <c r="AB401" s="126" t="s">
        <v>161</v>
      </c>
      <c r="AC401" s="126" t="s">
        <v>162</v>
      </c>
      <c r="AD401" s="126"/>
      <c r="AE401" s="126"/>
      <c r="AF401" s="126"/>
      <c r="AG401" s="126"/>
      <c r="AH401" s="126" t="s">
        <v>2029</v>
      </c>
      <c r="AI401" s="126" t="s">
        <v>2035</v>
      </c>
    </row>
    <row r="402" spans="1:35" ht="165" x14ac:dyDescent="0.25">
      <c r="A402" s="46" t="str">
        <f t="shared" si="6"/>
        <v>MEDECRD014120CADENASBPO</v>
      </c>
      <c r="B402" s="126" t="s">
        <v>9</v>
      </c>
      <c r="C402" s="126">
        <v>50766</v>
      </c>
      <c r="D402" s="126" t="s">
        <v>140</v>
      </c>
      <c r="E402" s="126" t="s">
        <v>177</v>
      </c>
      <c r="F402" s="127">
        <v>44548</v>
      </c>
      <c r="G402" s="126" t="s">
        <v>175</v>
      </c>
      <c r="H402" s="126" t="s">
        <v>176</v>
      </c>
      <c r="I402" s="126">
        <v>1</v>
      </c>
      <c r="J402" s="126" t="s">
        <v>183</v>
      </c>
      <c r="K402" s="126" t="s">
        <v>316</v>
      </c>
      <c r="L402" s="126" t="s">
        <v>2027</v>
      </c>
      <c r="M402" s="126">
        <v>1</v>
      </c>
      <c r="N402" s="126">
        <v>7492</v>
      </c>
      <c r="O402" s="126" t="s">
        <v>2028</v>
      </c>
      <c r="P402" s="126" t="s">
        <v>172</v>
      </c>
      <c r="Q402" s="126" t="s">
        <v>224</v>
      </c>
      <c r="R402" s="126" t="s">
        <v>224</v>
      </c>
      <c r="S402" s="126" t="s">
        <v>225</v>
      </c>
      <c r="T402" s="126" t="s">
        <v>160</v>
      </c>
      <c r="U402" s="126"/>
      <c r="V402" s="128">
        <v>1000000</v>
      </c>
      <c r="W402" s="128">
        <v>1000000</v>
      </c>
      <c r="X402" s="126" t="s">
        <v>1209</v>
      </c>
      <c r="Y402" s="126">
        <v>0</v>
      </c>
      <c r="Z402" s="126" t="s">
        <v>292</v>
      </c>
      <c r="AA402" s="126" t="s">
        <v>1</v>
      </c>
      <c r="AB402" s="126" t="s">
        <v>161</v>
      </c>
      <c r="AC402" s="126" t="s">
        <v>162</v>
      </c>
      <c r="AD402" s="127">
        <v>44805</v>
      </c>
      <c r="AE402" s="126"/>
      <c r="AF402" s="127">
        <v>44805</v>
      </c>
      <c r="AG402" s="126"/>
      <c r="AH402" s="126" t="s">
        <v>2029</v>
      </c>
      <c r="AI402" s="126" t="s">
        <v>2031</v>
      </c>
    </row>
    <row r="403" spans="1:35" ht="165" x14ac:dyDescent="0.25">
      <c r="A403" s="46" t="str">
        <f t="shared" si="6"/>
        <v>MEDECRD022670CADENASBPO</v>
      </c>
      <c r="B403" s="126" t="s">
        <v>9</v>
      </c>
      <c r="C403" s="126">
        <v>50766</v>
      </c>
      <c r="D403" s="126" t="s">
        <v>140</v>
      </c>
      <c r="E403" s="126" t="s">
        <v>177</v>
      </c>
      <c r="F403" s="127">
        <v>44548</v>
      </c>
      <c r="G403" s="126" t="s">
        <v>175</v>
      </c>
      <c r="H403" s="126" t="s">
        <v>176</v>
      </c>
      <c r="I403" s="126">
        <v>1</v>
      </c>
      <c r="J403" s="126" t="s">
        <v>183</v>
      </c>
      <c r="K403" s="126" t="s">
        <v>316</v>
      </c>
      <c r="L403" s="126" t="s">
        <v>2027</v>
      </c>
      <c r="M403" s="126">
        <v>1</v>
      </c>
      <c r="N403" s="126">
        <v>7492</v>
      </c>
      <c r="O403" s="126" t="s">
        <v>2028</v>
      </c>
      <c r="P403" s="126" t="s">
        <v>172</v>
      </c>
      <c r="Q403" s="126" t="s">
        <v>309</v>
      </c>
      <c r="R403" s="126" t="s">
        <v>309</v>
      </c>
      <c r="S403" s="126" t="s">
        <v>310</v>
      </c>
      <c r="T403" s="126" t="s">
        <v>160</v>
      </c>
      <c r="U403" s="126"/>
      <c r="V403" s="128">
        <v>29000000</v>
      </c>
      <c r="W403" s="128">
        <v>29000000</v>
      </c>
      <c r="X403" s="126" t="s">
        <v>1209</v>
      </c>
      <c r="Y403" s="126">
        <v>0</v>
      </c>
      <c r="Z403" s="126" t="s">
        <v>317</v>
      </c>
      <c r="AA403" s="126" t="s">
        <v>1</v>
      </c>
      <c r="AB403" s="126" t="s">
        <v>161</v>
      </c>
      <c r="AC403" s="126" t="s">
        <v>162</v>
      </c>
      <c r="AD403" s="127">
        <v>44714</v>
      </c>
      <c r="AE403" s="126"/>
      <c r="AF403" s="127">
        <v>44714</v>
      </c>
      <c r="AG403" s="126"/>
      <c r="AH403" s="126" t="s">
        <v>2029</v>
      </c>
      <c r="AI403" s="126" t="s">
        <v>2036</v>
      </c>
    </row>
    <row r="404" spans="1:35" ht="165" x14ac:dyDescent="0.25">
      <c r="A404" s="46" t="str">
        <f t="shared" si="6"/>
        <v>MEDECRD021973CADENASBPO</v>
      </c>
      <c r="B404" s="126" t="s">
        <v>9</v>
      </c>
      <c r="C404" s="126">
        <v>50766</v>
      </c>
      <c r="D404" s="126" t="s">
        <v>140</v>
      </c>
      <c r="E404" s="126" t="s">
        <v>177</v>
      </c>
      <c r="F404" s="127">
        <v>44548</v>
      </c>
      <c r="G404" s="126" t="s">
        <v>175</v>
      </c>
      <c r="H404" s="126" t="s">
        <v>176</v>
      </c>
      <c r="I404" s="126">
        <v>1</v>
      </c>
      <c r="J404" s="126" t="s">
        <v>183</v>
      </c>
      <c r="K404" s="126" t="s">
        <v>316</v>
      </c>
      <c r="L404" s="126" t="s">
        <v>2027</v>
      </c>
      <c r="M404" s="126">
        <v>1</v>
      </c>
      <c r="N404" s="126">
        <v>7492</v>
      </c>
      <c r="O404" s="126" t="s">
        <v>2028</v>
      </c>
      <c r="P404" s="126" t="s">
        <v>172</v>
      </c>
      <c r="Q404" s="126" t="s">
        <v>306</v>
      </c>
      <c r="R404" s="126" t="s">
        <v>306</v>
      </c>
      <c r="S404" s="126" t="s">
        <v>307</v>
      </c>
      <c r="T404" s="126" t="s">
        <v>160</v>
      </c>
      <c r="U404" s="126"/>
      <c r="V404" s="128">
        <v>1000000</v>
      </c>
      <c r="W404" s="128">
        <v>1000000</v>
      </c>
      <c r="X404" s="126" t="s">
        <v>1209</v>
      </c>
      <c r="Y404" s="126">
        <v>0</v>
      </c>
      <c r="Z404" s="126" t="s">
        <v>267</v>
      </c>
      <c r="AA404" s="126" t="s">
        <v>1</v>
      </c>
      <c r="AB404" s="126" t="s">
        <v>161</v>
      </c>
      <c r="AC404" s="126" t="s">
        <v>162</v>
      </c>
      <c r="AD404" s="127">
        <v>44694</v>
      </c>
      <c r="AE404" s="126"/>
      <c r="AF404" s="127">
        <v>44694</v>
      </c>
      <c r="AG404" s="126"/>
      <c r="AH404" s="126" t="s">
        <v>2029</v>
      </c>
      <c r="AI404" s="126" t="s">
        <v>2037</v>
      </c>
    </row>
    <row r="405" spans="1:35" ht="165" x14ac:dyDescent="0.25">
      <c r="A405" s="46" t="str">
        <f t="shared" si="6"/>
        <v>MEDECRD014117CADENASBPO</v>
      </c>
      <c r="B405" s="126" t="s">
        <v>9</v>
      </c>
      <c r="C405" s="126">
        <v>50766</v>
      </c>
      <c r="D405" s="126" t="s">
        <v>140</v>
      </c>
      <c r="E405" s="126" t="s">
        <v>177</v>
      </c>
      <c r="F405" s="127">
        <v>44548</v>
      </c>
      <c r="G405" s="126" t="s">
        <v>175</v>
      </c>
      <c r="H405" s="126" t="s">
        <v>176</v>
      </c>
      <c r="I405" s="126">
        <v>1</v>
      </c>
      <c r="J405" s="126" t="s">
        <v>183</v>
      </c>
      <c r="K405" s="126" t="s">
        <v>316</v>
      </c>
      <c r="L405" s="126" t="s">
        <v>2027</v>
      </c>
      <c r="M405" s="126">
        <v>1</v>
      </c>
      <c r="N405" s="126">
        <v>7492</v>
      </c>
      <c r="O405" s="126" t="s">
        <v>2028</v>
      </c>
      <c r="P405" s="126" t="s">
        <v>172</v>
      </c>
      <c r="Q405" s="126" t="s">
        <v>508</v>
      </c>
      <c r="R405" s="126" t="s">
        <v>508</v>
      </c>
      <c r="S405" s="126" t="s">
        <v>509</v>
      </c>
      <c r="T405" s="126" t="s">
        <v>160</v>
      </c>
      <c r="U405" s="126"/>
      <c r="V405" s="128">
        <v>29000000</v>
      </c>
      <c r="W405" s="128">
        <v>29000000</v>
      </c>
      <c r="X405" s="126" t="s">
        <v>1209</v>
      </c>
      <c r="Y405" s="126">
        <v>0</v>
      </c>
      <c r="Z405" s="126" t="s">
        <v>2032</v>
      </c>
      <c r="AA405" s="126" t="s">
        <v>1</v>
      </c>
      <c r="AB405" s="126" t="s">
        <v>161</v>
      </c>
      <c r="AC405" s="126" t="s">
        <v>162</v>
      </c>
      <c r="AD405" s="127">
        <v>44795</v>
      </c>
      <c r="AE405" s="126"/>
      <c r="AF405" s="127">
        <v>44795</v>
      </c>
      <c r="AG405" s="126"/>
      <c r="AH405" s="126" t="s">
        <v>2029</v>
      </c>
      <c r="AI405" s="126" t="s">
        <v>2033</v>
      </c>
    </row>
    <row r="406" spans="1:35" ht="165" x14ac:dyDescent="0.25">
      <c r="A406" s="46" t="str">
        <f t="shared" si="6"/>
        <v>MEDECRD024953CADENASBPO</v>
      </c>
      <c r="B406" s="126" t="s">
        <v>9</v>
      </c>
      <c r="C406" s="126">
        <v>50766</v>
      </c>
      <c r="D406" s="126" t="s">
        <v>140</v>
      </c>
      <c r="E406" s="126" t="s">
        <v>177</v>
      </c>
      <c r="F406" s="127">
        <v>44548</v>
      </c>
      <c r="G406" s="126" t="s">
        <v>175</v>
      </c>
      <c r="H406" s="126" t="s">
        <v>176</v>
      </c>
      <c r="I406" s="126">
        <v>1</v>
      </c>
      <c r="J406" s="126" t="s">
        <v>183</v>
      </c>
      <c r="K406" s="126" t="s">
        <v>316</v>
      </c>
      <c r="L406" s="126" t="s">
        <v>2027</v>
      </c>
      <c r="M406" s="126">
        <v>1</v>
      </c>
      <c r="N406" s="126">
        <v>7492</v>
      </c>
      <c r="O406" s="126" t="s">
        <v>2028</v>
      </c>
      <c r="P406" s="126" t="s">
        <v>170</v>
      </c>
      <c r="Q406" s="126" t="s">
        <v>450</v>
      </c>
      <c r="R406" s="126" t="s">
        <v>450</v>
      </c>
      <c r="S406" s="126" t="s">
        <v>451</v>
      </c>
      <c r="T406" s="126" t="s">
        <v>160</v>
      </c>
      <c r="U406" s="126"/>
      <c r="V406" s="128">
        <v>1000000</v>
      </c>
      <c r="W406" s="128">
        <v>1000000</v>
      </c>
      <c r="X406" s="126" t="s">
        <v>1209</v>
      </c>
      <c r="Y406" s="126">
        <v>0</v>
      </c>
      <c r="Z406" s="126">
        <v>0</v>
      </c>
      <c r="AA406" s="126" t="s">
        <v>1</v>
      </c>
      <c r="AB406" s="126" t="s">
        <v>161</v>
      </c>
      <c r="AC406" s="126" t="s">
        <v>162</v>
      </c>
      <c r="AD406" s="126"/>
      <c r="AE406" s="126"/>
      <c r="AF406" s="126"/>
      <c r="AG406" s="126"/>
      <c r="AH406" s="126" t="s">
        <v>2029</v>
      </c>
      <c r="AI406" s="126" t="s">
        <v>2038</v>
      </c>
    </row>
    <row r="407" spans="1:35" ht="165" x14ac:dyDescent="0.25">
      <c r="A407" s="46" t="str">
        <f t="shared" si="6"/>
        <v>MEDECRD014118CADENASBPO</v>
      </c>
      <c r="B407" s="126" t="s">
        <v>9</v>
      </c>
      <c r="C407" s="126">
        <v>50766</v>
      </c>
      <c r="D407" s="126" t="s">
        <v>140</v>
      </c>
      <c r="E407" s="126" t="s">
        <v>177</v>
      </c>
      <c r="F407" s="127">
        <v>44548</v>
      </c>
      <c r="G407" s="126" t="s">
        <v>175</v>
      </c>
      <c r="H407" s="126" t="s">
        <v>176</v>
      </c>
      <c r="I407" s="126">
        <v>1</v>
      </c>
      <c r="J407" s="126" t="s">
        <v>183</v>
      </c>
      <c r="K407" s="126" t="s">
        <v>316</v>
      </c>
      <c r="L407" s="126" t="s">
        <v>2027</v>
      </c>
      <c r="M407" s="126">
        <v>1</v>
      </c>
      <c r="N407" s="126">
        <v>7492</v>
      </c>
      <c r="O407" s="126" t="s">
        <v>2028</v>
      </c>
      <c r="P407" s="126" t="s">
        <v>172</v>
      </c>
      <c r="Q407" s="126" t="s">
        <v>312</v>
      </c>
      <c r="R407" s="126" t="s">
        <v>312</v>
      </c>
      <c r="S407" s="126" t="s">
        <v>313</v>
      </c>
      <c r="T407" s="126" t="s">
        <v>160</v>
      </c>
      <c r="U407" s="126"/>
      <c r="V407" s="128">
        <v>1000000</v>
      </c>
      <c r="W407" s="128">
        <v>1000000</v>
      </c>
      <c r="X407" s="126" t="s">
        <v>1209</v>
      </c>
      <c r="Y407" s="126">
        <v>0</v>
      </c>
      <c r="Z407" s="126" t="s">
        <v>2032</v>
      </c>
      <c r="AA407" s="126" t="s">
        <v>1</v>
      </c>
      <c r="AB407" s="126" t="s">
        <v>161</v>
      </c>
      <c r="AC407" s="126" t="s">
        <v>162</v>
      </c>
      <c r="AD407" s="127">
        <v>44703</v>
      </c>
      <c r="AE407" s="126"/>
      <c r="AF407" s="127">
        <v>44703</v>
      </c>
      <c r="AG407" s="126"/>
      <c r="AH407" s="126" t="s">
        <v>2029</v>
      </c>
      <c r="AI407" s="126" t="s">
        <v>2034</v>
      </c>
    </row>
    <row r="408" spans="1:35" ht="165" x14ac:dyDescent="0.25">
      <c r="A408" s="46" t="str">
        <f t="shared" si="6"/>
        <v>MEDECRD016669CADENASBPO</v>
      </c>
      <c r="B408" s="126" t="s">
        <v>9</v>
      </c>
      <c r="C408" s="126">
        <v>50766</v>
      </c>
      <c r="D408" s="126" t="s">
        <v>140</v>
      </c>
      <c r="E408" s="126" t="s">
        <v>177</v>
      </c>
      <c r="F408" s="127">
        <v>44548</v>
      </c>
      <c r="G408" s="126" t="s">
        <v>175</v>
      </c>
      <c r="H408" s="126" t="s">
        <v>176</v>
      </c>
      <c r="I408" s="126">
        <v>1</v>
      </c>
      <c r="J408" s="126" t="s">
        <v>183</v>
      </c>
      <c r="K408" s="126" t="s">
        <v>316</v>
      </c>
      <c r="L408" s="126" t="s">
        <v>2027</v>
      </c>
      <c r="M408" s="126">
        <v>1</v>
      </c>
      <c r="N408" s="126">
        <v>7492</v>
      </c>
      <c r="O408" s="126" t="s">
        <v>2028</v>
      </c>
      <c r="P408" s="126" t="s">
        <v>172</v>
      </c>
      <c r="Q408" s="126" t="s">
        <v>259</v>
      </c>
      <c r="R408" s="126" t="s">
        <v>259</v>
      </c>
      <c r="S408" s="126" t="s">
        <v>260</v>
      </c>
      <c r="T408" s="126" t="s">
        <v>160</v>
      </c>
      <c r="U408" s="126"/>
      <c r="V408" s="128">
        <v>37000000</v>
      </c>
      <c r="W408" s="128">
        <v>37000000</v>
      </c>
      <c r="X408" s="126" t="s">
        <v>1209</v>
      </c>
      <c r="Y408" s="126">
        <v>0</v>
      </c>
      <c r="Z408" s="126" t="s">
        <v>261</v>
      </c>
      <c r="AA408" s="126" t="s">
        <v>1</v>
      </c>
      <c r="AB408" s="126" t="s">
        <v>161</v>
      </c>
      <c r="AC408" s="126" t="s">
        <v>162</v>
      </c>
      <c r="AD408" s="127">
        <v>44741</v>
      </c>
      <c r="AE408" s="126"/>
      <c r="AF408" s="127">
        <v>44741</v>
      </c>
      <c r="AG408" s="126"/>
      <c r="AH408" s="126" t="s">
        <v>2029</v>
      </c>
      <c r="AI408" s="126" t="s">
        <v>2039</v>
      </c>
    </row>
    <row r="409" spans="1:35" ht="165" x14ac:dyDescent="0.25">
      <c r="A409" s="46" t="str">
        <f t="shared" si="6"/>
        <v>MEDECRD021973CADENASBPO</v>
      </c>
      <c r="B409" s="126" t="s">
        <v>9</v>
      </c>
      <c r="C409" s="126">
        <v>50766</v>
      </c>
      <c r="D409" s="126" t="s">
        <v>140</v>
      </c>
      <c r="E409" s="126" t="s">
        <v>177</v>
      </c>
      <c r="F409" s="127">
        <v>44548</v>
      </c>
      <c r="G409" s="126" t="s">
        <v>175</v>
      </c>
      <c r="H409" s="126" t="s">
        <v>176</v>
      </c>
      <c r="I409" s="126">
        <v>1</v>
      </c>
      <c r="J409" s="126" t="s">
        <v>183</v>
      </c>
      <c r="K409" s="126" t="s">
        <v>316</v>
      </c>
      <c r="L409" s="126" t="s">
        <v>2027</v>
      </c>
      <c r="M409" s="126">
        <v>1</v>
      </c>
      <c r="N409" s="126">
        <v>7492</v>
      </c>
      <c r="O409" s="126" t="s">
        <v>2028</v>
      </c>
      <c r="P409" s="126" t="s">
        <v>172</v>
      </c>
      <c r="Q409" s="126" t="s">
        <v>306</v>
      </c>
      <c r="R409" s="126" t="s">
        <v>306</v>
      </c>
      <c r="S409" s="126" t="s">
        <v>307</v>
      </c>
      <c r="T409" s="126" t="s">
        <v>160</v>
      </c>
      <c r="U409" s="126"/>
      <c r="V409" s="128">
        <v>38000000</v>
      </c>
      <c r="W409" s="128">
        <v>38000000</v>
      </c>
      <c r="X409" s="126" t="s">
        <v>1209</v>
      </c>
      <c r="Y409" s="126">
        <v>0</v>
      </c>
      <c r="Z409" s="126" t="s">
        <v>267</v>
      </c>
      <c r="AA409" s="126" t="s">
        <v>1</v>
      </c>
      <c r="AB409" s="126" t="s">
        <v>161</v>
      </c>
      <c r="AC409" s="126" t="s">
        <v>162</v>
      </c>
      <c r="AD409" s="127">
        <v>44694</v>
      </c>
      <c r="AE409" s="126"/>
      <c r="AF409" s="127">
        <v>44694</v>
      </c>
      <c r="AG409" s="126"/>
      <c r="AH409" s="126" t="s">
        <v>2029</v>
      </c>
      <c r="AI409" s="126" t="s">
        <v>2037</v>
      </c>
    </row>
    <row r="410" spans="1:35" ht="165" x14ac:dyDescent="0.25">
      <c r="A410" s="46" t="str">
        <f t="shared" si="6"/>
        <v>MEDECRD023611CADENASBPO</v>
      </c>
      <c r="B410" s="126" t="s">
        <v>9</v>
      </c>
      <c r="C410" s="126">
        <v>50766</v>
      </c>
      <c r="D410" s="126" t="s">
        <v>140</v>
      </c>
      <c r="E410" s="126" t="s">
        <v>177</v>
      </c>
      <c r="F410" s="127">
        <v>44548</v>
      </c>
      <c r="G410" s="126" t="s">
        <v>175</v>
      </c>
      <c r="H410" s="126" t="s">
        <v>176</v>
      </c>
      <c r="I410" s="126">
        <v>1</v>
      </c>
      <c r="J410" s="126" t="s">
        <v>183</v>
      </c>
      <c r="K410" s="126" t="s">
        <v>316</v>
      </c>
      <c r="L410" s="126" t="s">
        <v>2027</v>
      </c>
      <c r="M410" s="126">
        <v>1</v>
      </c>
      <c r="N410" s="126">
        <v>7492</v>
      </c>
      <c r="O410" s="126" t="s">
        <v>2028</v>
      </c>
      <c r="P410" s="126" t="s">
        <v>172</v>
      </c>
      <c r="Q410" s="126" t="s">
        <v>251</v>
      </c>
      <c r="R410" s="126" t="s">
        <v>251</v>
      </c>
      <c r="S410" s="126" t="s">
        <v>252</v>
      </c>
      <c r="T410" s="126" t="s">
        <v>160</v>
      </c>
      <c r="U410" s="126"/>
      <c r="V410" s="128">
        <v>1000000</v>
      </c>
      <c r="W410" s="128">
        <v>1000000</v>
      </c>
      <c r="X410" s="126" t="s">
        <v>1209</v>
      </c>
      <c r="Y410" s="126">
        <v>0</v>
      </c>
      <c r="Z410" s="126" t="s">
        <v>2040</v>
      </c>
      <c r="AA410" s="126" t="s">
        <v>1</v>
      </c>
      <c r="AB410" s="126" t="s">
        <v>161</v>
      </c>
      <c r="AC410" s="126" t="s">
        <v>162</v>
      </c>
      <c r="AD410" s="127">
        <v>44959</v>
      </c>
      <c r="AE410" s="126"/>
      <c r="AF410" s="127">
        <v>44959</v>
      </c>
      <c r="AG410" s="126"/>
      <c r="AH410" s="126" t="s">
        <v>2029</v>
      </c>
      <c r="AI410" s="126" t="s">
        <v>2041</v>
      </c>
    </row>
    <row r="411" spans="1:35" ht="165" x14ac:dyDescent="0.25">
      <c r="A411" s="46" t="str">
        <f t="shared" si="6"/>
        <v>MEDECRD016151CADENASBPO</v>
      </c>
      <c r="B411" s="126" t="s">
        <v>9</v>
      </c>
      <c r="C411" s="126">
        <v>50766</v>
      </c>
      <c r="D411" s="126" t="s">
        <v>140</v>
      </c>
      <c r="E411" s="126" t="s">
        <v>177</v>
      </c>
      <c r="F411" s="127">
        <v>44548</v>
      </c>
      <c r="G411" s="126" t="s">
        <v>175</v>
      </c>
      <c r="H411" s="126" t="s">
        <v>176</v>
      </c>
      <c r="I411" s="126">
        <v>1</v>
      </c>
      <c r="J411" s="126" t="s">
        <v>183</v>
      </c>
      <c r="K411" s="126" t="s">
        <v>316</v>
      </c>
      <c r="L411" s="126" t="s">
        <v>2027</v>
      </c>
      <c r="M411" s="126">
        <v>1</v>
      </c>
      <c r="N411" s="126">
        <v>7492</v>
      </c>
      <c r="O411" s="126" t="s">
        <v>2028</v>
      </c>
      <c r="P411" s="126" t="s">
        <v>168</v>
      </c>
      <c r="Q411" s="126" t="s">
        <v>146</v>
      </c>
      <c r="R411" s="126" t="s">
        <v>146</v>
      </c>
      <c r="S411" s="126" t="s">
        <v>203</v>
      </c>
      <c r="T411" s="126" t="s">
        <v>160</v>
      </c>
      <c r="U411" s="126"/>
      <c r="V411" s="128">
        <v>2000000</v>
      </c>
      <c r="W411" s="128">
        <v>2000000</v>
      </c>
      <c r="X411" s="126" t="s">
        <v>1209</v>
      </c>
      <c r="Y411" s="126">
        <v>0</v>
      </c>
      <c r="Z411" s="126">
        <v>0</v>
      </c>
      <c r="AA411" s="126" t="s">
        <v>1</v>
      </c>
      <c r="AB411" s="126" t="s">
        <v>161</v>
      </c>
      <c r="AC411" s="126" t="s">
        <v>162</v>
      </c>
      <c r="AD411" s="126"/>
      <c r="AE411" s="126"/>
      <c r="AF411" s="126"/>
      <c r="AG411" s="126"/>
      <c r="AH411" s="126" t="s">
        <v>2029</v>
      </c>
      <c r="AI411" s="126" t="s">
        <v>2042</v>
      </c>
    </row>
    <row r="412" spans="1:35" ht="165" x14ac:dyDescent="0.25">
      <c r="A412" s="46" t="str">
        <f t="shared" si="6"/>
        <v>MEDECRD022670CADENASBPO</v>
      </c>
      <c r="B412" s="126" t="s">
        <v>9</v>
      </c>
      <c r="C412" s="126">
        <v>50766</v>
      </c>
      <c r="D412" s="126" t="s">
        <v>140</v>
      </c>
      <c r="E412" s="126" t="s">
        <v>177</v>
      </c>
      <c r="F412" s="127">
        <v>44548</v>
      </c>
      <c r="G412" s="126" t="s">
        <v>175</v>
      </c>
      <c r="H412" s="126" t="s">
        <v>176</v>
      </c>
      <c r="I412" s="126">
        <v>1</v>
      </c>
      <c r="J412" s="126" t="s">
        <v>183</v>
      </c>
      <c r="K412" s="126" t="s">
        <v>316</v>
      </c>
      <c r="L412" s="126" t="s">
        <v>2027</v>
      </c>
      <c r="M412" s="126">
        <v>1</v>
      </c>
      <c r="N412" s="126">
        <v>7492</v>
      </c>
      <c r="O412" s="126" t="s">
        <v>2028</v>
      </c>
      <c r="P412" s="126" t="s">
        <v>172</v>
      </c>
      <c r="Q412" s="126" t="s">
        <v>309</v>
      </c>
      <c r="R412" s="126" t="s">
        <v>309</v>
      </c>
      <c r="S412" s="126" t="s">
        <v>310</v>
      </c>
      <c r="T412" s="126" t="s">
        <v>160</v>
      </c>
      <c r="U412" s="126"/>
      <c r="V412" s="128">
        <v>2000000</v>
      </c>
      <c r="W412" s="128">
        <v>2000000</v>
      </c>
      <c r="X412" s="126" t="s">
        <v>1209</v>
      </c>
      <c r="Y412" s="126">
        <v>0</v>
      </c>
      <c r="Z412" s="126" t="s">
        <v>317</v>
      </c>
      <c r="AA412" s="126" t="s">
        <v>1</v>
      </c>
      <c r="AB412" s="126" t="s">
        <v>161</v>
      </c>
      <c r="AC412" s="126" t="s">
        <v>162</v>
      </c>
      <c r="AD412" s="127">
        <v>44714</v>
      </c>
      <c r="AE412" s="126"/>
      <c r="AF412" s="127">
        <v>44714</v>
      </c>
      <c r="AG412" s="126"/>
      <c r="AH412" s="126" t="s">
        <v>2029</v>
      </c>
      <c r="AI412" s="126" t="s">
        <v>2036</v>
      </c>
    </row>
    <row r="413" spans="1:35" ht="165" x14ac:dyDescent="0.25">
      <c r="A413" s="46" t="str">
        <f t="shared" si="6"/>
        <v>MEDECRD014119CADENASBPO</v>
      </c>
      <c r="B413" s="126" t="s">
        <v>9</v>
      </c>
      <c r="C413" s="126">
        <v>50766</v>
      </c>
      <c r="D413" s="126" t="s">
        <v>140</v>
      </c>
      <c r="E413" s="126" t="s">
        <v>177</v>
      </c>
      <c r="F413" s="127">
        <v>44548</v>
      </c>
      <c r="G413" s="126" t="s">
        <v>175</v>
      </c>
      <c r="H413" s="126" t="s">
        <v>176</v>
      </c>
      <c r="I413" s="126">
        <v>1</v>
      </c>
      <c r="J413" s="126" t="s">
        <v>183</v>
      </c>
      <c r="K413" s="126" t="s">
        <v>316</v>
      </c>
      <c r="L413" s="126" t="s">
        <v>2027</v>
      </c>
      <c r="M413" s="126">
        <v>1</v>
      </c>
      <c r="N413" s="126">
        <v>7492</v>
      </c>
      <c r="O413" s="126" t="s">
        <v>2028</v>
      </c>
      <c r="P413" s="126" t="s">
        <v>172</v>
      </c>
      <c r="Q413" s="126" t="s">
        <v>141</v>
      </c>
      <c r="R413" s="126" t="s">
        <v>141</v>
      </c>
      <c r="S413" s="126" t="s">
        <v>214</v>
      </c>
      <c r="T413" s="126" t="s">
        <v>160</v>
      </c>
      <c r="U413" s="126"/>
      <c r="V413" s="128">
        <v>32000000</v>
      </c>
      <c r="W413" s="128">
        <v>32000000</v>
      </c>
      <c r="X413" s="126" t="s">
        <v>1209</v>
      </c>
      <c r="Y413" s="126">
        <v>0</v>
      </c>
      <c r="Z413" s="126" t="s">
        <v>233</v>
      </c>
      <c r="AA413" s="126" t="s">
        <v>1</v>
      </c>
      <c r="AB413" s="126" t="s">
        <v>161</v>
      </c>
      <c r="AC413" s="126" t="s">
        <v>162</v>
      </c>
      <c r="AD413" s="127">
        <v>44612</v>
      </c>
      <c r="AE413" s="126"/>
      <c r="AF413" s="127">
        <v>44612</v>
      </c>
      <c r="AG413" s="126"/>
      <c r="AH413" s="126" t="s">
        <v>2029</v>
      </c>
      <c r="AI413" s="126" t="s">
        <v>2043</v>
      </c>
    </row>
    <row r="414" spans="1:35" ht="165" x14ac:dyDescent="0.25">
      <c r="A414" s="46" t="str">
        <f t="shared" si="6"/>
        <v>MEDECRD023611CADENASBPO</v>
      </c>
      <c r="B414" s="126" t="s">
        <v>9</v>
      </c>
      <c r="C414" s="126">
        <v>50766</v>
      </c>
      <c r="D414" s="126" t="s">
        <v>140</v>
      </c>
      <c r="E414" s="126" t="s">
        <v>177</v>
      </c>
      <c r="F414" s="127">
        <v>44548</v>
      </c>
      <c r="G414" s="126" t="s">
        <v>175</v>
      </c>
      <c r="H414" s="126" t="s">
        <v>176</v>
      </c>
      <c r="I414" s="126">
        <v>1</v>
      </c>
      <c r="J414" s="126" t="s">
        <v>183</v>
      </c>
      <c r="K414" s="126" t="s">
        <v>316</v>
      </c>
      <c r="L414" s="126" t="s">
        <v>2027</v>
      </c>
      <c r="M414" s="126">
        <v>1</v>
      </c>
      <c r="N414" s="126">
        <v>7492</v>
      </c>
      <c r="O414" s="126" t="s">
        <v>2028</v>
      </c>
      <c r="P414" s="126" t="s">
        <v>172</v>
      </c>
      <c r="Q414" s="126" t="s">
        <v>251</v>
      </c>
      <c r="R414" s="126" t="s">
        <v>251</v>
      </c>
      <c r="S414" s="126" t="s">
        <v>252</v>
      </c>
      <c r="T414" s="126" t="s">
        <v>160</v>
      </c>
      <c r="U414" s="126"/>
      <c r="V414" s="128">
        <v>32000000</v>
      </c>
      <c r="W414" s="128">
        <v>32000000</v>
      </c>
      <c r="X414" s="126" t="s">
        <v>1209</v>
      </c>
      <c r="Y414" s="126">
        <v>0</v>
      </c>
      <c r="Z414" s="126" t="s">
        <v>2040</v>
      </c>
      <c r="AA414" s="126" t="s">
        <v>1</v>
      </c>
      <c r="AB414" s="126" t="s">
        <v>161</v>
      </c>
      <c r="AC414" s="126" t="s">
        <v>162</v>
      </c>
      <c r="AD414" s="127">
        <v>44959</v>
      </c>
      <c r="AE414" s="126"/>
      <c r="AF414" s="127">
        <v>44959</v>
      </c>
      <c r="AG414" s="126"/>
      <c r="AH414" s="126" t="s">
        <v>2029</v>
      </c>
      <c r="AI414" s="126" t="s">
        <v>2041</v>
      </c>
    </row>
    <row r="415" spans="1:35" ht="165" x14ac:dyDescent="0.25">
      <c r="A415" s="46" t="str">
        <f t="shared" si="6"/>
        <v>MEDECRD014119CADENASBPO</v>
      </c>
      <c r="B415" s="126" t="s">
        <v>9</v>
      </c>
      <c r="C415" s="126">
        <v>50766</v>
      </c>
      <c r="D415" s="126" t="s">
        <v>140</v>
      </c>
      <c r="E415" s="126" t="s">
        <v>177</v>
      </c>
      <c r="F415" s="127">
        <v>44548</v>
      </c>
      <c r="G415" s="126" t="s">
        <v>175</v>
      </c>
      <c r="H415" s="126" t="s">
        <v>176</v>
      </c>
      <c r="I415" s="126">
        <v>1</v>
      </c>
      <c r="J415" s="126" t="s">
        <v>183</v>
      </c>
      <c r="K415" s="126" t="s">
        <v>316</v>
      </c>
      <c r="L415" s="126" t="s">
        <v>2027</v>
      </c>
      <c r="M415" s="126">
        <v>1</v>
      </c>
      <c r="N415" s="126">
        <v>7492</v>
      </c>
      <c r="O415" s="126" t="s">
        <v>2028</v>
      </c>
      <c r="P415" s="126" t="s">
        <v>172</v>
      </c>
      <c r="Q415" s="126" t="s">
        <v>141</v>
      </c>
      <c r="R415" s="126" t="s">
        <v>141</v>
      </c>
      <c r="S415" s="126" t="s">
        <v>214</v>
      </c>
      <c r="T415" s="126" t="s">
        <v>160</v>
      </c>
      <c r="U415" s="126"/>
      <c r="V415" s="128">
        <v>1000000</v>
      </c>
      <c r="W415" s="128">
        <v>1000000</v>
      </c>
      <c r="X415" s="126" t="s">
        <v>1209</v>
      </c>
      <c r="Y415" s="126">
        <v>0</v>
      </c>
      <c r="Z415" s="126" t="s">
        <v>233</v>
      </c>
      <c r="AA415" s="126" t="s">
        <v>1</v>
      </c>
      <c r="AB415" s="126" t="s">
        <v>161</v>
      </c>
      <c r="AC415" s="126" t="s">
        <v>162</v>
      </c>
      <c r="AD415" s="127">
        <v>44612</v>
      </c>
      <c r="AE415" s="126"/>
      <c r="AF415" s="127">
        <v>44612</v>
      </c>
      <c r="AG415" s="126"/>
      <c r="AH415" s="126" t="s">
        <v>2029</v>
      </c>
      <c r="AI415" s="126" t="s">
        <v>2043</v>
      </c>
    </row>
    <row r="416" spans="1:35" ht="120" x14ac:dyDescent="0.25">
      <c r="A416" s="46" t="str">
        <f t="shared" si="6"/>
        <v>MEDEACT000451CADENASNUTRESA</v>
      </c>
      <c r="B416" s="126" t="s">
        <v>9</v>
      </c>
      <c r="C416" s="126">
        <v>50767</v>
      </c>
      <c r="D416" s="126" t="s">
        <v>140</v>
      </c>
      <c r="E416" s="126" t="s">
        <v>177</v>
      </c>
      <c r="F416" s="127">
        <v>44548</v>
      </c>
      <c r="G416" s="126" t="s">
        <v>175</v>
      </c>
      <c r="H416" s="126" t="s">
        <v>176</v>
      </c>
      <c r="I416" s="126">
        <v>1</v>
      </c>
      <c r="J416" s="126" t="s">
        <v>183</v>
      </c>
      <c r="K416" s="126" t="s">
        <v>316</v>
      </c>
      <c r="L416" s="126" t="s">
        <v>2044</v>
      </c>
      <c r="M416" s="126">
        <v>1</v>
      </c>
      <c r="N416" s="126">
        <v>7501</v>
      </c>
      <c r="O416" s="126" t="s">
        <v>2045</v>
      </c>
      <c r="P416" s="126" t="s">
        <v>171</v>
      </c>
      <c r="Q416" s="126" t="s">
        <v>2046</v>
      </c>
      <c r="R416" s="126" t="s">
        <v>2046</v>
      </c>
      <c r="S416" s="126" t="s">
        <v>2047</v>
      </c>
      <c r="T416" s="126" t="s">
        <v>160</v>
      </c>
      <c r="U416" s="126"/>
      <c r="V416" s="128">
        <v>1000000</v>
      </c>
      <c r="W416" s="128">
        <v>1000000</v>
      </c>
      <c r="X416" s="126" t="s">
        <v>1209</v>
      </c>
      <c r="Y416" s="126">
        <v>122401</v>
      </c>
      <c r="Z416" s="126">
        <v>0</v>
      </c>
      <c r="AA416" s="126" t="s">
        <v>1</v>
      </c>
      <c r="AB416" s="126" t="s">
        <v>140</v>
      </c>
      <c r="AC416" s="126" t="s">
        <v>162</v>
      </c>
      <c r="AD416" s="126"/>
      <c r="AE416" s="126"/>
      <c r="AF416" s="126"/>
      <c r="AG416" s="126"/>
      <c r="AH416" s="126" t="s">
        <v>316</v>
      </c>
      <c r="AI416" s="126" t="s">
        <v>2048</v>
      </c>
    </row>
    <row r="417" spans="1:35" ht="120" x14ac:dyDescent="0.25">
      <c r="A417" s="46" t="str">
        <f t="shared" si="6"/>
        <v>MEDEACT000225TRADICIONALNUTRESA</v>
      </c>
      <c r="B417" s="126" t="s">
        <v>9</v>
      </c>
      <c r="C417" s="126">
        <v>50768</v>
      </c>
      <c r="D417" s="126" t="s">
        <v>140</v>
      </c>
      <c r="E417" s="126" t="s">
        <v>177</v>
      </c>
      <c r="F417" s="127">
        <v>44548</v>
      </c>
      <c r="G417" s="126" t="s">
        <v>175</v>
      </c>
      <c r="H417" s="126" t="s">
        <v>176</v>
      </c>
      <c r="I417" s="126">
        <v>1</v>
      </c>
      <c r="J417" s="126" t="s">
        <v>183</v>
      </c>
      <c r="K417" s="126" t="s">
        <v>316</v>
      </c>
      <c r="L417" s="126" t="s">
        <v>2049</v>
      </c>
      <c r="M417" s="126">
        <v>1</v>
      </c>
      <c r="N417" s="126">
        <v>7500</v>
      </c>
      <c r="O417" s="126" t="s">
        <v>2050</v>
      </c>
      <c r="P417" s="126" t="s">
        <v>170</v>
      </c>
      <c r="Q417" s="126" t="s">
        <v>136</v>
      </c>
      <c r="R417" s="126" t="s">
        <v>136</v>
      </c>
      <c r="S417" s="126" t="s">
        <v>173</v>
      </c>
      <c r="T417" s="126" t="s">
        <v>160</v>
      </c>
      <c r="U417" s="126" t="s">
        <v>136</v>
      </c>
      <c r="V417" s="128">
        <v>1000000</v>
      </c>
      <c r="W417" s="128">
        <v>1000000</v>
      </c>
      <c r="X417" s="126" t="s">
        <v>1209</v>
      </c>
      <c r="Y417" s="126">
        <v>128177</v>
      </c>
      <c r="Z417" s="126">
        <v>0</v>
      </c>
      <c r="AA417" s="126" t="s">
        <v>2</v>
      </c>
      <c r="AB417" s="126" t="s">
        <v>140</v>
      </c>
      <c r="AC417" s="126" t="s">
        <v>165</v>
      </c>
      <c r="AD417" s="126"/>
      <c r="AE417" s="126"/>
      <c r="AF417" s="126"/>
      <c r="AG417" s="126"/>
      <c r="AH417" s="126" t="s">
        <v>2029</v>
      </c>
      <c r="AI417" s="126" t="s">
        <v>2051</v>
      </c>
    </row>
    <row r="418" spans="1:35" ht="120" x14ac:dyDescent="0.25">
      <c r="A418" s="46" t="str">
        <f t="shared" si="6"/>
        <v>MEDECRD024997CADENASNUTRESA</v>
      </c>
      <c r="B418" s="126" t="s">
        <v>9</v>
      </c>
      <c r="C418" s="126">
        <v>50769</v>
      </c>
      <c r="D418" s="126" t="s">
        <v>140</v>
      </c>
      <c r="E418" s="126" t="s">
        <v>177</v>
      </c>
      <c r="F418" s="127">
        <v>44548</v>
      </c>
      <c r="G418" s="126" t="s">
        <v>175</v>
      </c>
      <c r="H418" s="126" t="s">
        <v>176</v>
      </c>
      <c r="I418" s="126">
        <v>1</v>
      </c>
      <c r="J418" s="126" t="s">
        <v>183</v>
      </c>
      <c r="K418" s="126" t="s">
        <v>316</v>
      </c>
      <c r="L418" s="126" t="s">
        <v>2052</v>
      </c>
      <c r="M418" s="126">
        <v>1</v>
      </c>
      <c r="N418" s="126">
        <v>7493</v>
      </c>
      <c r="O418" s="126" t="s">
        <v>2053</v>
      </c>
      <c r="P418" s="126" t="s">
        <v>171</v>
      </c>
      <c r="Q418" s="126" t="s">
        <v>497</v>
      </c>
      <c r="R418" s="126" t="s">
        <v>497</v>
      </c>
      <c r="S418" s="126" t="s">
        <v>2054</v>
      </c>
      <c r="T418" s="126" t="s">
        <v>163</v>
      </c>
      <c r="U418" s="126"/>
      <c r="V418" s="128">
        <v>1000000</v>
      </c>
      <c r="W418" s="128">
        <v>1000000</v>
      </c>
      <c r="X418" s="126" t="s">
        <v>1209</v>
      </c>
      <c r="Y418" s="126">
        <v>0</v>
      </c>
      <c r="Z418" s="126">
        <v>0</v>
      </c>
      <c r="AA418" s="126" t="s">
        <v>1</v>
      </c>
      <c r="AB418" s="126" t="s">
        <v>140</v>
      </c>
      <c r="AC418" s="126" t="s">
        <v>162</v>
      </c>
      <c r="AD418" s="126"/>
      <c r="AE418" s="126"/>
      <c r="AF418" s="126"/>
      <c r="AG418" s="126"/>
      <c r="AH418" s="126" t="s">
        <v>2029</v>
      </c>
      <c r="AI418" s="126" t="s">
        <v>2055</v>
      </c>
    </row>
    <row r="419" spans="1:35" ht="120" x14ac:dyDescent="0.25">
      <c r="A419" s="46" t="str">
        <f t="shared" si="6"/>
        <v>MEDECRD024895CADENASNUTRESA</v>
      </c>
      <c r="B419" s="126" t="s">
        <v>9</v>
      </c>
      <c r="C419" s="126">
        <v>50769</v>
      </c>
      <c r="D419" s="126" t="s">
        <v>140</v>
      </c>
      <c r="E419" s="126" t="s">
        <v>177</v>
      </c>
      <c r="F419" s="127">
        <v>44548</v>
      </c>
      <c r="G419" s="126" t="s">
        <v>175</v>
      </c>
      <c r="H419" s="126" t="s">
        <v>176</v>
      </c>
      <c r="I419" s="126">
        <v>1</v>
      </c>
      <c r="J419" s="126" t="s">
        <v>183</v>
      </c>
      <c r="K419" s="126" t="s">
        <v>316</v>
      </c>
      <c r="L419" s="126" t="s">
        <v>2052</v>
      </c>
      <c r="M419" s="126">
        <v>1</v>
      </c>
      <c r="N419" s="126">
        <v>7493</v>
      </c>
      <c r="O419" s="126" t="s">
        <v>2053</v>
      </c>
      <c r="P419" s="126" t="s">
        <v>164</v>
      </c>
      <c r="Q419" s="126" t="s">
        <v>2056</v>
      </c>
      <c r="R419" s="126" t="s">
        <v>2056</v>
      </c>
      <c r="S419" s="126" t="s">
        <v>2057</v>
      </c>
      <c r="T419" s="126" t="s">
        <v>160</v>
      </c>
      <c r="U419" s="126"/>
      <c r="V419" s="128">
        <v>1000000</v>
      </c>
      <c r="W419" s="128">
        <v>1000000</v>
      </c>
      <c r="X419" s="126" t="s">
        <v>1209</v>
      </c>
      <c r="Y419" s="126">
        <v>0</v>
      </c>
      <c r="Z419" s="126">
        <v>0</v>
      </c>
      <c r="AA419" s="126" t="s">
        <v>1</v>
      </c>
      <c r="AB419" s="126" t="s">
        <v>140</v>
      </c>
      <c r="AC419" s="126" t="s">
        <v>162</v>
      </c>
      <c r="AD419" s="126"/>
      <c r="AE419" s="126"/>
      <c r="AF419" s="126"/>
      <c r="AG419" s="126"/>
      <c r="AH419" s="126" t="s">
        <v>2029</v>
      </c>
      <c r="AI419" s="126" t="s">
        <v>2058</v>
      </c>
    </row>
    <row r="420" spans="1:35" ht="150" x14ac:dyDescent="0.25">
      <c r="A420" s="46" t="str">
        <f t="shared" si="6"/>
        <v>MEDECRD025023AUTOSERVICIONUTRESA</v>
      </c>
      <c r="B420" s="126" t="s">
        <v>9</v>
      </c>
      <c r="C420" s="126">
        <v>50789</v>
      </c>
      <c r="D420" s="126" t="s">
        <v>140</v>
      </c>
      <c r="E420" s="126" t="s">
        <v>177</v>
      </c>
      <c r="F420" s="127">
        <v>44550</v>
      </c>
      <c r="G420" s="126" t="s">
        <v>175</v>
      </c>
      <c r="H420" s="126" t="s">
        <v>176</v>
      </c>
      <c r="I420" s="126">
        <v>1</v>
      </c>
      <c r="J420" s="126" t="s">
        <v>184</v>
      </c>
      <c r="K420" s="126" t="s">
        <v>316</v>
      </c>
      <c r="L420" s="126" t="s">
        <v>2059</v>
      </c>
      <c r="M420" s="126">
        <v>1</v>
      </c>
      <c r="N420" s="126">
        <v>2992</v>
      </c>
      <c r="O420" s="126" t="s">
        <v>2060</v>
      </c>
      <c r="P420" s="126" t="s">
        <v>170</v>
      </c>
      <c r="Q420" s="126" t="s">
        <v>765</v>
      </c>
      <c r="R420" s="126" t="s">
        <v>765</v>
      </c>
      <c r="S420" s="126" t="s">
        <v>766</v>
      </c>
      <c r="T420" s="126" t="s">
        <v>160</v>
      </c>
      <c r="U420" s="126"/>
      <c r="V420" s="128">
        <v>10000000</v>
      </c>
      <c r="W420" s="128">
        <v>10000000</v>
      </c>
      <c r="X420" s="126" t="s">
        <v>1209</v>
      </c>
      <c r="Y420" s="126">
        <v>0</v>
      </c>
      <c r="Z420" s="126">
        <v>0</v>
      </c>
      <c r="AA420" s="126" t="s">
        <v>0</v>
      </c>
      <c r="AB420" s="126" t="s">
        <v>140</v>
      </c>
      <c r="AC420" s="126" t="s">
        <v>162</v>
      </c>
      <c r="AD420" s="126"/>
      <c r="AE420" s="126"/>
      <c r="AF420" s="126"/>
      <c r="AG420" s="126"/>
      <c r="AH420" s="126" t="s">
        <v>316</v>
      </c>
      <c r="AI420" s="126" t="s">
        <v>2061</v>
      </c>
    </row>
    <row r="421" spans="1:35" ht="150" x14ac:dyDescent="0.25">
      <c r="A421" s="46" t="str">
        <f t="shared" si="6"/>
        <v>MEDECRD025011AUTOSERVICIONUTRESA</v>
      </c>
      <c r="B421" s="126" t="s">
        <v>9</v>
      </c>
      <c r="C421" s="126">
        <v>50798</v>
      </c>
      <c r="D421" s="126" t="s">
        <v>140</v>
      </c>
      <c r="E421" s="126" t="s">
        <v>177</v>
      </c>
      <c r="F421" s="127">
        <v>44551</v>
      </c>
      <c r="G421" s="126" t="s">
        <v>175</v>
      </c>
      <c r="H421" s="126" t="s">
        <v>176</v>
      </c>
      <c r="I421" s="126">
        <v>1</v>
      </c>
      <c r="J421" s="126" t="s">
        <v>184</v>
      </c>
      <c r="K421" s="126" t="s">
        <v>316</v>
      </c>
      <c r="L421" s="126" t="s">
        <v>2062</v>
      </c>
      <c r="M421" s="126">
        <v>1</v>
      </c>
      <c r="N421" s="126" t="s">
        <v>2063</v>
      </c>
      <c r="O421" s="126" t="s">
        <v>2064</v>
      </c>
      <c r="P421" s="126" t="s">
        <v>168</v>
      </c>
      <c r="Q421" s="126" t="s">
        <v>2065</v>
      </c>
      <c r="R421" s="126" t="s">
        <v>2065</v>
      </c>
      <c r="S421" s="126" t="s">
        <v>2066</v>
      </c>
      <c r="T421" s="126" t="s">
        <v>160</v>
      </c>
      <c r="U421" s="126"/>
      <c r="V421" s="128">
        <v>400000000</v>
      </c>
      <c r="W421" s="128">
        <v>400000000</v>
      </c>
      <c r="X421" s="126" t="s">
        <v>1209</v>
      </c>
      <c r="Y421" s="126">
        <v>0</v>
      </c>
      <c r="Z421" s="126">
        <v>0</v>
      </c>
      <c r="AA421" s="126" t="s">
        <v>0</v>
      </c>
      <c r="AB421" s="126" t="s">
        <v>140</v>
      </c>
      <c r="AC421" s="126" t="s">
        <v>162</v>
      </c>
      <c r="AD421" s="126"/>
      <c r="AE421" s="126"/>
      <c r="AF421" s="126"/>
      <c r="AG421" s="126"/>
      <c r="AH421" s="126" t="s">
        <v>316</v>
      </c>
      <c r="AI421" s="126" t="s">
        <v>2067</v>
      </c>
    </row>
    <row r="422" spans="1:35" ht="150" x14ac:dyDescent="0.25">
      <c r="A422" s="46" t="str">
        <f t="shared" si="6"/>
        <v>MEDECRD024994AUTOSERVICIONUTRESA</v>
      </c>
      <c r="B422" s="126" t="s">
        <v>9</v>
      </c>
      <c r="C422" s="126">
        <v>50798</v>
      </c>
      <c r="D422" s="126" t="s">
        <v>140</v>
      </c>
      <c r="E422" s="126" t="s">
        <v>177</v>
      </c>
      <c r="F422" s="127">
        <v>44551</v>
      </c>
      <c r="G422" s="126" t="s">
        <v>175</v>
      </c>
      <c r="H422" s="126" t="s">
        <v>176</v>
      </c>
      <c r="I422" s="126">
        <v>1</v>
      </c>
      <c r="J422" s="126" t="s">
        <v>184</v>
      </c>
      <c r="K422" s="126" t="s">
        <v>316</v>
      </c>
      <c r="L422" s="126" t="s">
        <v>2062</v>
      </c>
      <c r="M422" s="126">
        <v>1</v>
      </c>
      <c r="N422" s="126" t="s">
        <v>2063</v>
      </c>
      <c r="O422" s="126" t="s">
        <v>2064</v>
      </c>
      <c r="P422" s="126" t="s">
        <v>168</v>
      </c>
      <c r="Q422" s="126" t="s">
        <v>2068</v>
      </c>
      <c r="R422" s="126" t="s">
        <v>2068</v>
      </c>
      <c r="S422" s="126" t="s">
        <v>2069</v>
      </c>
      <c r="T422" s="126" t="s">
        <v>160</v>
      </c>
      <c r="U422" s="126"/>
      <c r="V422" s="128">
        <v>400000000</v>
      </c>
      <c r="W422" s="128">
        <v>400000000</v>
      </c>
      <c r="X422" s="126" t="s">
        <v>1209</v>
      </c>
      <c r="Y422" s="126">
        <v>0</v>
      </c>
      <c r="Z422" s="126">
        <v>0</v>
      </c>
      <c r="AA422" s="126" t="s">
        <v>0</v>
      </c>
      <c r="AB422" s="126" t="s">
        <v>140</v>
      </c>
      <c r="AC422" s="126" t="s">
        <v>162</v>
      </c>
      <c r="AD422" s="126"/>
      <c r="AE422" s="126"/>
      <c r="AF422" s="126"/>
      <c r="AG422" s="126"/>
      <c r="AH422" s="126" t="s">
        <v>316</v>
      </c>
      <c r="AI422" s="126" t="s">
        <v>2070</v>
      </c>
    </row>
    <row r="423" spans="1:35" ht="150" x14ac:dyDescent="0.25">
      <c r="A423" s="46" t="str">
        <f t="shared" si="6"/>
        <v>MEDECRD024995AUTOSERVICIONUTRESA</v>
      </c>
      <c r="B423" s="126" t="s">
        <v>9</v>
      </c>
      <c r="C423" s="126">
        <v>50798</v>
      </c>
      <c r="D423" s="126" t="s">
        <v>140</v>
      </c>
      <c r="E423" s="126" t="s">
        <v>177</v>
      </c>
      <c r="F423" s="127">
        <v>44551</v>
      </c>
      <c r="G423" s="126" t="s">
        <v>175</v>
      </c>
      <c r="H423" s="126" t="s">
        <v>176</v>
      </c>
      <c r="I423" s="126">
        <v>1</v>
      </c>
      <c r="J423" s="126" t="s">
        <v>184</v>
      </c>
      <c r="K423" s="126" t="s">
        <v>316</v>
      </c>
      <c r="L423" s="126" t="s">
        <v>2062</v>
      </c>
      <c r="M423" s="126">
        <v>1</v>
      </c>
      <c r="N423" s="126" t="s">
        <v>2063</v>
      </c>
      <c r="O423" s="126" t="s">
        <v>2064</v>
      </c>
      <c r="P423" s="126" t="s">
        <v>168</v>
      </c>
      <c r="Q423" s="126" t="s">
        <v>2071</v>
      </c>
      <c r="R423" s="126" t="s">
        <v>2071</v>
      </c>
      <c r="S423" s="126" t="s">
        <v>2072</v>
      </c>
      <c r="T423" s="126" t="s">
        <v>160</v>
      </c>
      <c r="U423" s="126"/>
      <c r="V423" s="128">
        <v>400000000</v>
      </c>
      <c r="W423" s="128">
        <v>400000000</v>
      </c>
      <c r="X423" s="126" t="s">
        <v>1209</v>
      </c>
      <c r="Y423" s="126">
        <v>0</v>
      </c>
      <c r="Z423" s="126">
        <v>0</v>
      </c>
      <c r="AA423" s="126" t="s">
        <v>0</v>
      </c>
      <c r="AB423" s="126" t="s">
        <v>140</v>
      </c>
      <c r="AC423" s="126" t="s">
        <v>162</v>
      </c>
      <c r="AD423" s="126"/>
      <c r="AE423" s="126"/>
      <c r="AF423" s="126"/>
      <c r="AG423" s="126"/>
      <c r="AH423" s="126" t="s">
        <v>316</v>
      </c>
      <c r="AI423" s="126" t="s">
        <v>2073</v>
      </c>
    </row>
    <row r="424" spans="1:35" ht="150" x14ac:dyDescent="0.25">
      <c r="A424" s="46" t="str">
        <f t="shared" si="6"/>
        <v>MEDECRD024993AUTOSERVICIONUTRESA</v>
      </c>
      <c r="B424" s="126" t="s">
        <v>9</v>
      </c>
      <c r="C424" s="126">
        <v>50798</v>
      </c>
      <c r="D424" s="126" t="s">
        <v>140</v>
      </c>
      <c r="E424" s="126" t="s">
        <v>177</v>
      </c>
      <c r="F424" s="127">
        <v>44551</v>
      </c>
      <c r="G424" s="126" t="s">
        <v>175</v>
      </c>
      <c r="H424" s="126" t="s">
        <v>176</v>
      </c>
      <c r="I424" s="126">
        <v>1</v>
      </c>
      <c r="J424" s="126" t="s">
        <v>184</v>
      </c>
      <c r="K424" s="126" t="s">
        <v>316</v>
      </c>
      <c r="L424" s="126" t="s">
        <v>2062</v>
      </c>
      <c r="M424" s="126">
        <v>1</v>
      </c>
      <c r="N424" s="126" t="s">
        <v>2063</v>
      </c>
      <c r="O424" s="126" t="s">
        <v>2064</v>
      </c>
      <c r="P424" s="126" t="s">
        <v>168</v>
      </c>
      <c r="Q424" s="126" t="s">
        <v>2074</v>
      </c>
      <c r="R424" s="126" t="s">
        <v>2074</v>
      </c>
      <c r="S424" s="126" t="s">
        <v>2075</v>
      </c>
      <c r="T424" s="126" t="s">
        <v>160</v>
      </c>
      <c r="U424" s="126"/>
      <c r="V424" s="128">
        <v>400000000</v>
      </c>
      <c r="W424" s="128">
        <v>400000000</v>
      </c>
      <c r="X424" s="126" t="s">
        <v>1209</v>
      </c>
      <c r="Y424" s="126">
        <v>0</v>
      </c>
      <c r="Z424" s="126">
        <v>0</v>
      </c>
      <c r="AA424" s="126" t="s">
        <v>0</v>
      </c>
      <c r="AB424" s="126" t="s">
        <v>140</v>
      </c>
      <c r="AC424" s="126" t="s">
        <v>162</v>
      </c>
      <c r="AD424" s="126"/>
      <c r="AE424" s="126"/>
      <c r="AF424" s="126"/>
      <c r="AG424" s="126"/>
      <c r="AH424" s="126" t="s">
        <v>316</v>
      </c>
      <c r="AI424" s="126" t="s">
        <v>2076</v>
      </c>
    </row>
    <row r="425" spans="1:35" ht="150" x14ac:dyDescent="0.25">
      <c r="A425" s="46" t="str">
        <f t="shared" si="6"/>
        <v>MEDECRD024996AUTOSERVICIONUTRESA</v>
      </c>
      <c r="B425" s="126" t="s">
        <v>9</v>
      </c>
      <c r="C425" s="126">
        <v>50798</v>
      </c>
      <c r="D425" s="126" t="s">
        <v>140</v>
      </c>
      <c r="E425" s="126" t="s">
        <v>177</v>
      </c>
      <c r="F425" s="127">
        <v>44551</v>
      </c>
      <c r="G425" s="126" t="s">
        <v>175</v>
      </c>
      <c r="H425" s="126" t="s">
        <v>176</v>
      </c>
      <c r="I425" s="126">
        <v>1</v>
      </c>
      <c r="J425" s="126" t="s">
        <v>184</v>
      </c>
      <c r="K425" s="126" t="s">
        <v>316</v>
      </c>
      <c r="L425" s="126" t="s">
        <v>2062</v>
      </c>
      <c r="M425" s="126">
        <v>1</v>
      </c>
      <c r="N425" s="126" t="s">
        <v>2063</v>
      </c>
      <c r="O425" s="126" t="s">
        <v>2064</v>
      </c>
      <c r="P425" s="126" t="s">
        <v>168</v>
      </c>
      <c r="Q425" s="126" t="s">
        <v>2077</v>
      </c>
      <c r="R425" s="126" t="s">
        <v>2077</v>
      </c>
      <c r="S425" s="126" t="s">
        <v>2078</v>
      </c>
      <c r="T425" s="126" t="s">
        <v>160</v>
      </c>
      <c r="U425" s="126"/>
      <c r="V425" s="128">
        <v>400000000</v>
      </c>
      <c r="W425" s="128">
        <v>400000000</v>
      </c>
      <c r="X425" s="126" t="s">
        <v>1209</v>
      </c>
      <c r="Y425" s="126">
        <v>0</v>
      </c>
      <c r="Z425" s="126">
        <v>0</v>
      </c>
      <c r="AA425" s="126" t="s">
        <v>0</v>
      </c>
      <c r="AB425" s="126" t="s">
        <v>140</v>
      </c>
      <c r="AC425" s="126" t="s">
        <v>162</v>
      </c>
      <c r="AD425" s="126"/>
      <c r="AE425" s="126"/>
      <c r="AF425" s="126"/>
      <c r="AG425" s="126"/>
      <c r="AH425" s="126" t="s">
        <v>316</v>
      </c>
      <c r="AI425" s="126" t="s">
        <v>2079</v>
      </c>
    </row>
    <row r="426" spans="1:35" ht="195" x14ac:dyDescent="0.25">
      <c r="A426" s="46" t="str">
        <f t="shared" si="6"/>
        <v>MEDECRD023301AUTOSERVICIONUTRESA</v>
      </c>
      <c r="B426" s="126" t="s">
        <v>9</v>
      </c>
      <c r="C426" s="126">
        <v>50820</v>
      </c>
      <c r="D426" s="126" t="s">
        <v>140</v>
      </c>
      <c r="E426" s="126" t="s">
        <v>177</v>
      </c>
      <c r="F426" s="127">
        <v>44552</v>
      </c>
      <c r="G426" s="126" t="s">
        <v>175</v>
      </c>
      <c r="H426" s="126" t="s">
        <v>176</v>
      </c>
      <c r="I426" s="126">
        <v>1</v>
      </c>
      <c r="J426" s="126" t="s">
        <v>183</v>
      </c>
      <c r="K426" s="126"/>
      <c r="L426" s="126" t="s">
        <v>2080</v>
      </c>
      <c r="M426" s="126">
        <v>1</v>
      </c>
      <c r="N426" s="126">
        <v>7502</v>
      </c>
      <c r="O426" s="126" t="s">
        <v>2081</v>
      </c>
      <c r="P426" s="126" t="s">
        <v>170</v>
      </c>
      <c r="Q426" s="126" t="s">
        <v>2082</v>
      </c>
      <c r="R426" s="126" t="s">
        <v>2082</v>
      </c>
      <c r="S426" s="126" t="s">
        <v>2083</v>
      </c>
      <c r="T426" s="126" t="s">
        <v>160</v>
      </c>
      <c r="U426" s="126"/>
      <c r="V426" s="128">
        <v>1000000</v>
      </c>
      <c r="W426" s="126" t="s">
        <v>1209</v>
      </c>
      <c r="X426" s="128">
        <v>1000000</v>
      </c>
      <c r="Y426" s="126">
        <v>0</v>
      </c>
      <c r="Z426" s="126">
        <v>0</v>
      </c>
      <c r="AA426" s="126" t="s">
        <v>0</v>
      </c>
      <c r="AB426" s="126" t="s">
        <v>140</v>
      </c>
      <c r="AC426" s="126" t="s">
        <v>165</v>
      </c>
      <c r="AD426" s="126"/>
      <c r="AE426" s="126"/>
      <c r="AF426" s="126"/>
      <c r="AG426" s="126"/>
      <c r="AH426" s="126" t="s">
        <v>316</v>
      </c>
      <c r="AI426" s="126" t="s">
        <v>2084</v>
      </c>
    </row>
    <row r="427" spans="1:35" ht="195" x14ac:dyDescent="0.25">
      <c r="A427" s="46" t="str">
        <f t="shared" si="6"/>
        <v>MEDEACT000499AUTOSERVICIONUTRESA</v>
      </c>
      <c r="B427" s="126" t="s">
        <v>9</v>
      </c>
      <c r="C427" s="126">
        <v>50820</v>
      </c>
      <c r="D427" s="126" t="s">
        <v>140</v>
      </c>
      <c r="E427" s="126" t="s">
        <v>177</v>
      </c>
      <c r="F427" s="127">
        <v>44552</v>
      </c>
      <c r="G427" s="126" t="s">
        <v>175</v>
      </c>
      <c r="H427" s="126" t="s">
        <v>176</v>
      </c>
      <c r="I427" s="126">
        <v>1</v>
      </c>
      <c r="J427" s="126" t="s">
        <v>183</v>
      </c>
      <c r="K427" s="126"/>
      <c r="L427" s="126" t="s">
        <v>2080</v>
      </c>
      <c r="M427" s="126">
        <v>1</v>
      </c>
      <c r="N427" s="126">
        <v>7502</v>
      </c>
      <c r="O427" s="126" t="s">
        <v>2081</v>
      </c>
      <c r="P427" s="126" t="s">
        <v>170</v>
      </c>
      <c r="Q427" s="126" t="s">
        <v>239</v>
      </c>
      <c r="R427" s="126" t="s">
        <v>239</v>
      </c>
      <c r="S427" s="126" t="s">
        <v>256</v>
      </c>
      <c r="T427" s="126" t="s">
        <v>160</v>
      </c>
      <c r="U427" s="126"/>
      <c r="V427" s="128">
        <v>1000000</v>
      </c>
      <c r="W427" s="126" t="s">
        <v>1209</v>
      </c>
      <c r="X427" s="128">
        <v>1000000</v>
      </c>
      <c r="Y427" s="126">
        <v>159419</v>
      </c>
      <c r="Z427" s="126">
        <v>0</v>
      </c>
      <c r="AA427" s="126" t="s">
        <v>0</v>
      </c>
      <c r="AB427" s="126" t="s">
        <v>140</v>
      </c>
      <c r="AC427" s="126" t="s">
        <v>165</v>
      </c>
      <c r="AD427" s="126"/>
      <c r="AE427" s="126"/>
      <c r="AF427" s="126"/>
      <c r="AG427" s="126"/>
      <c r="AH427" s="126" t="s">
        <v>316</v>
      </c>
      <c r="AI427" s="126" t="s">
        <v>2085</v>
      </c>
    </row>
    <row r="428" spans="1:35" ht="195" x14ac:dyDescent="0.25">
      <c r="A428" s="46" t="str">
        <f t="shared" si="6"/>
        <v>PEREACT000434AUTOSERVICIONUTRESA</v>
      </c>
      <c r="B428" s="126" t="s">
        <v>10</v>
      </c>
      <c r="C428" s="126">
        <v>25716</v>
      </c>
      <c r="D428" s="126" t="s">
        <v>140</v>
      </c>
      <c r="E428" s="126" t="s">
        <v>177</v>
      </c>
      <c r="F428" s="127">
        <v>44529</v>
      </c>
      <c r="G428" s="126" t="s">
        <v>175</v>
      </c>
      <c r="H428" s="126" t="s">
        <v>176</v>
      </c>
      <c r="I428" s="126">
        <v>1</v>
      </c>
      <c r="J428" s="126" t="s">
        <v>184</v>
      </c>
      <c r="K428" s="126" t="s">
        <v>228</v>
      </c>
      <c r="L428" s="126" t="s">
        <v>2086</v>
      </c>
      <c r="M428" s="126">
        <v>0</v>
      </c>
      <c r="N428" s="126">
        <v>0</v>
      </c>
      <c r="O428" s="126" t="s">
        <v>2087</v>
      </c>
      <c r="P428" s="126" t="s">
        <v>170</v>
      </c>
      <c r="Q428" s="126" t="s">
        <v>226</v>
      </c>
      <c r="R428" s="126" t="s">
        <v>226</v>
      </c>
      <c r="S428" s="126" t="s">
        <v>227</v>
      </c>
      <c r="T428" s="126" t="s">
        <v>160</v>
      </c>
      <c r="U428" s="126"/>
      <c r="V428" s="128">
        <v>1000000</v>
      </c>
      <c r="W428" s="128">
        <v>1000000</v>
      </c>
      <c r="X428" s="126" t="s">
        <v>1209</v>
      </c>
      <c r="Y428" s="126">
        <v>147535</v>
      </c>
      <c r="Z428" s="126">
        <v>0</v>
      </c>
      <c r="AA428" s="126" t="s">
        <v>0</v>
      </c>
      <c r="AB428" s="126" t="s">
        <v>140</v>
      </c>
      <c r="AC428" s="126" t="s">
        <v>162</v>
      </c>
      <c r="AD428" s="126"/>
      <c r="AE428" s="126"/>
      <c r="AF428" s="126"/>
      <c r="AG428" s="126"/>
      <c r="AH428" s="126" t="s">
        <v>228</v>
      </c>
      <c r="AI428" s="126" t="s">
        <v>2088</v>
      </c>
    </row>
    <row r="429" spans="1:35" ht="285" x14ac:dyDescent="0.25">
      <c r="A429" s="46" t="str">
        <f t="shared" si="6"/>
        <v>PEREACT000027AUTOSERVICIONUTRESA</v>
      </c>
      <c r="B429" s="126" t="s">
        <v>10</v>
      </c>
      <c r="C429" s="126">
        <v>25717</v>
      </c>
      <c r="D429" s="126" t="s">
        <v>140</v>
      </c>
      <c r="E429" s="126" t="s">
        <v>177</v>
      </c>
      <c r="F429" s="127">
        <v>44529</v>
      </c>
      <c r="G429" s="126" t="s">
        <v>175</v>
      </c>
      <c r="H429" s="126" t="s">
        <v>176</v>
      </c>
      <c r="I429" s="126">
        <v>1</v>
      </c>
      <c r="J429" s="126" t="s">
        <v>184</v>
      </c>
      <c r="K429" s="126" t="s">
        <v>228</v>
      </c>
      <c r="L429" s="126" t="s">
        <v>2089</v>
      </c>
      <c r="M429" s="126">
        <v>0</v>
      </c>
      <c r="N429" s="126">
        <v>0</v>
      </c>
      <c r="O429" s="126" t="s">
        <v>673</v>
      </c>
      <c r="P429" s="126" t="s">
        <v>170</v>
      </c>
      <c r="Q429" s="126" t="s">
        <v>674</v>
      </c>
      <c r="R429" s="126" t="s">
        <v>674</v>
      </c>
      <c r="S429" s="126" t="s">
        <v>675</v>
      </c>
      <c r="T429" s="126" t="s">
        <v>160</v>
      </c>
      <c r="U429" s="126"/>
      <c r="V429" s="128">
        <v>1000000</v>
      </c>
      <c r="W429" s="128">
        <v>1000000</v>
      </c>
      <c r="X429" s="126" t="s">
        <v>1209</v>
      </c>
      <c r="Y429" s="126">
        <v>21156</v>
      </c>
      <c r="Z429" s="126">
        <v>0</v>
      </c>
      <c r="AA429" s="126" t="s">
        <v>0</v>
      </c>
      <c r="AB429" s="126" t="s">
        <v>140</v>
      </c>
      <c r="AC429" s="126" t="s">
        <v>165</v>
      </c>
      <c r="AD429" s="126"/>
      <c r="AE429" s="126"/>
      <c r="AF429" s="126"/>
      <c r="AG429" s="126"/>
      <c r="AH429" s="126" t="s">
        <v>228</v>
      </c>
      <c r="AI429" s="126" t="s">
        <v>2090</v>
      </c>
    </row>
    <row r="430" spans="1:35" ht="300" x14ac:dyDescent="0.25">
      <c r="A430" s="46" t="str">
        <f t="shared" si="6"/>
        <v>PERECRD022897AUTOSERVICIOBPO</v>
      </c>
      <c r="B430" s="126" t="s">
        <v>10</v>
      </c>
      <c r="C430" s="126">
        <v>25718</v>
      </c>
      <c r="D430" s="126" t="s">
        <v>140</v>
      </c>
      <c r="E430" s="126" t="s">
        <v>177</v>
      </c>
      <c r="F430" s="127">
        <v>44529</v>
      </c>
      <c r="G430" s="126" t="s">
        <v>175</v>
      </c>
      <c r="H430" s="126" t="s">
        <v>176</v>
      </c>
      <c r="I430" s="126">
        <v>1</v>
      </c>
      <c r="J430" s="126" t="s">
        <v>184</v>
      </c>
      <c r="K430" s="126" t="s">
        <v>228</v>
      </c>
      <c r="L430" s="126" t="s">
        <v>2091</v>
      </c>
      <c r="M430" s="126">
        <v>0</v>
      </c>
      <c r="N430" s="126">
        <v>0</v>
      </c>
      <c r="O430" s="126" t="s">
        <v>676</v>
      </c>
      <c r="P430" s="126" t="s">
        <v>170</v>
      </c>
      <c r="Q430" s="126" t="s">
        <v>229</v>
      </c>
      <c r="R430" s="126" t="s">
        <v>229</v>
      </c>
      <c r="S430" s="126" t="s">
        <v>230</v>
      </c>
      <c r="T430" s="126" t="s">
        <v>160</v>
      </c>
      <c r="U430" s="126"/>
      <c r="V430" s="128">
        <v>1000000</v>
      </c>
      <c r="W430" s="128">
        <v>1000000</v>
      </c>
      <c r="X430" s="126" t="s">
        <v>1209</v>
      </c>
      <c r="Y430" s="126">
        <v>0</v>
      </c>
      <c r="Z430" s="126">
        <v>0</v>
      </c>
      <c r="AA430" s="126" t="s">
        <v>0</v>
      </c>
      <c r="AB430" s="126" t="s">
        <v>161</v>
      </c>
      <c r="AC430" s="126" t="s">
        <v>165</v>
      </c>
      <c r="AD430" s="126"/>
      <c r="AE430" s="126"/>
      <c r="AF430" s="126"/>
      <c r="AG430" s="126"/>
      <c r="AH430" s="126" t="s">
        <v>228</v>
      </c>
      <c r="AI430" s="126" t="s">
        <v>2092</v>
      </c>
    </row>
    <row r="431" spans="1:35" ht="210" x14ac:dyDescent="0.25">
      <c r="A431" s="46" t="str">
        <f t="shared" si="6"/>
        <v>PERECRD019458AUTOSERVICIONUTRESA</v>
      </c>
      <c r="B431" s="126" t="s">
        <v>10</v>
      </c>
      <c r="C431" s="126">
        <v>25730</v>
      </c>
      <c r="D431" s="126" t="s">
        <v>140</v>
      </c>
      <c r="E431" s="126" t="s">
        <v>177</v>
      </c>
      <c r="F431" s="127">
        <v>44531</v>
      </c>
      <c r="G431" s="126" t="s">
        <v>175</v>
      </c>
      <c r="H431" s="126" t="s">
        <v>176</v>
      </c>
      <c r="I431" s="126">
        <v>1</v>
      </c>
      <c r="J431" s="126" t="s">
        <v>184</v>
      </c>
      <c r="K431" s="126" t="s">
        <v>228</v>
      </c>
      <c r="L431" s="126" t="s">
        <v>2093</v>
      </c>
      <c r="M431" s="126">
        <v>0</v>
      </c>
      <c r="N431" s="126">
        <v>0</v>
      </c>
      <c r="O431" s="126" t="s">
        <v>677</v>
      </c>
      <c r="P431" s="126" t="s">
        <v>170</v>
      </c>
      <c r="Q431" s="126" t="s">
        <v>621</v>
      </c>
      <c r="R431" s="126" t="s">
        <v>621</v>
      </c>
      <c r="S431" s="126" t="s">
        <v>622</v>
      </c>
      <c r="T431" s="126" t="s">
        <v>160</v>
      </c>
      <c r="U431" s="126"/>
      <c r="V431" s="128">
        <v>1000000</v>
      </c>
      <c r="W431" s="128">
        <v>1000000</v>
      </c>
      <c r="X431" s="126" t="s">
        <v>1209</v>
      </c>
      <c r="Y431" s="126">
        <v>0</v>
      </c>
      <c r="Z431" s="126">
        <v>0</v>
      </c>
      <c r="AA431" s="126" t="s">
        <v>0</v>
      </c>
      <c r="AB431" s="126" t="s">
        <v>140</v>
      </c>
      <c r="AC431" s="126" t="s">
        <v>218</v>
      </c>
      <c r="AD431" s="126"/>
      <c r="AE431" s="126"/>
      <c r="AF431" s="126"/>
      <c r="AG431" s="126"/>
      <c r="AH431" s="126" t="s">
        <v>228</v>
      </c>
      <c r="AI431" s="126" t="s">
        <v>2094</v>
      </c>
    </row>
    <row r="432" spans="1:35" ht="210" x14ac:dyDescent="0.25">
      <c r="A432" s="46" t="str">
        <f t="shared" si="6"/>
        <v>PEREACT000063TRADICIONALNUTRESA</v>
      </c>
      <c r="B432" s="126" t="s">
        <v>10</v>
      </c>
      <c r="C432" s="126">
        <v>25730</v>
      </c>
      <c r="D432" s="126" t="s">
        <v>140</v>
      </c>
      <c r="E432" s="126" t="s">
        <v>177</v>
      </c>
      <c r="F432" s="127">
        <v>44531</v>
      </c>
      <c r="G432" s="126" t="s">
        <v>175</v>
      </c>
      <c r="H432" s="126" t="s">
        <v>176</v>
      </c>
      <c r="I432" s="126">
        <v>1</v>
      </c>
      <c r="J432" s="126" t="s">
        <v>184</v>
      </c>
      <c r="K432" s="126" t="s">
        <v>228</v>
      </c>
      <c r="L432" s="126" t="s">
        <v>2093</v>
      </c>
      <c r="M432" s="126">
        <v>0</v>
      </c>
      <c r="N432" s="126">
        <v>0</v>
      </c>
      <c r="O432" s="126" t="s">
        <v>677</v>
      </c>
      <c r="P432" s="126" t="s">
        <v>170</v>
      </c>
      <c r="Q432" s="126" t="s">
        <v>135</v>
      </c>
      <c r="R432" s="126" t="s">
        <v>135</v>
      </c>
      <c r="S432" s="126" t="s">
        <v>207</v>
      </c>
      <c r="T432" s="126" t="s">
        <v>160</v>
      </c>
      <c r="U432" s="126" t="s">
        <v>135</v>
      </c>
      <c r="V432" s="128">
        <v>1000000</v>
      </c>
      <c r="W432" s="128">
        <v>1000000</v>
      </c>
      <c r="X432" s="126" t="s">
        <v>1209</v>
      </c>
      <c r="Y432" s="126">
        <v>78770</v>
      </c>
      <c r="Z432" s="126">
        <v>0</v>
      </c>
      <c r="AA432" s="126" t="s">
        <v>2</v>
      </c>
      <c r="AB432" s="126" t="s">
        <v>140</v>
      </c>
      <c r="AC432" s="126" t="s">
        <v>165</v>
      </c>
      <c r="AD432" s="126"/>
      <c r="AE432" s="126"/>
      <c r="AF432" s="126"/>
      <c r="AG432" s="126"/>
      <c r="AH432" s="126" t="s">
        <v>228</v>
      </c>
      <c r="AI432" s="126" t="s">
        <v>2095</v>
      </c>
    </row>
    <row r="433" spans="1:35" ht="180" x14ac:dyDescent="0.25">
      <c r="A433" s="46" t="str">
        <f t="shared" si="6"/>
        <v>PEREACT000436AUTOSERVICIOBPO</v>
      </c>
      <c r="B433" s="126" t="s">
        <v>10</v>
      </c>
      <c r="C433" s="126">
        <v>25731</v>
      </c>
      <c r="D433" s="126" t="s">
        <v>140</v>
      </c>
      <c r="E433" s="126" t="s">
        <v>177</v>
      </c>
      <c r="F433" s="127">
        <v>44531</v>
      </c>
      <c r="G433" s="126" t="s">
        <v>175</v>
      </c>
      <c r="H433" s="126" t="s">
        <v>176</v>
      </c>
      <c r="I433" s="126">
        <v>1</v>
      </c>
      <c r="J433" s="126" t="s">
        <v>184</v>
      </c>
      <c r="K433" s="126" t="s">
        <v>228</v>
      </c>
      <c r="L433" s="126" t="s">
        <v>2096</v>
      </c>
      <c r="M433" s="126">
        <v>0</v>
      </c>
      <c r="N433" s="126">
        <v>0</v>
      </c>
      <c r="O433" s="126" t="s">
        <v>678</v>
      </c>
      <c r="P433" s="126" t="s">
        <v>170</v>
      </c>
      <c r="Q433" s="126" t="s">
        <v>349</v>
      </c>
      <c r="R433" s="126" t="s">
        <v>349</v>
      </c>
      <c r="S433" s="126" t="s">
        <v>350</v>
      </c>
      <c r="T433" s="126" t="s">
        <v>160</v>
      </c>
      <c r="U433" s="126"/>
      <c r="V433" s="128">
        <v>1000000</v>
      </c>
      <c r="W433" s="128">
        <v>1000000</v>
      </c>
      <c r="X433" s="126" t="s">
        <v>1209</v>
      </c>
      <c r="Y433" s="126">
        <v>122384</v>
      </c>
      <c r="Z433" s="126">
        <v>0</v>
      </c>
      <c r="AA433" s="126" t="s">
        <v>0</v>
      </c>
      <c r="AB433" s="126" t="s">
        <v>161</v>
      </c>
      <c r="AC433" s="126" t="s">
        <v>162</v>
      </c>
      <c r="AD433" s="126"/>
      <c r="AE433" s="126"/>
      <c r="AF433" s="126"/>
      <c r="AG433" s="126"/>
      <c r="AH433" s="126" t="s">
        <v>228</v>
      </c>
      <c r="AI433" s="126" t="s">
        <v>2097</v>
      </c>
    </row>
    <row r="434" spans="1:35" ht="195" x14ac:dyDescent="0.25">
      <c r="A434" s="46" t="str">
        <f t="shared" si="6"/>
        <v>PEREACT000436AUTOSERVICIOBPO</v>
      </c>
      <c r="B434" s="126" t="s">
        <v>10</v>
      </c>
      <c r="C434" s="126">
        <v>25732</v>
      </c>
      <c r="D434" s="126" t="s">
        <v>140</v>
      </c>
      <c r="E434" s="126" t="s">
        <v>177</v>
      </c>
      <c r="F434" s="127">
        <v>44531</v>
      </c>
      <c r="G434" s="126" t="s">
        <v>175</v>
      </c>
      <c r="H434" s="126" t="s">
        <v>176</v>
      </c>
      <c r="I434" s="126">
        <v>1</v>
      </c>
      <c r="J434" s="126" t="s">
        <v>184</v>
      </c>
      <c r="K434" s="126" t="s">
        <v>228</v>
      </c>
      <c r="L434" s="126" t="s">
        <v>2098</v>
      </c>
      <c r="M434" s="126">
        <v>0</v>
      </c>
      <c r="N434" s="126">
        <v>0</v>
      </c>
      <c r="O434" s="126" t="s">
        <v>679</v>
      </c>
      <c r="P434" s="126" t="s">
        <v>170</v>
      </c>
      <c r="Q434" s="126" t="s">
        <v>349</v>
      </c>
      <c r="R434" s="126" t="s">
        <v>349</v>
      </c>
      <c r="S434" s="126" t="s">
        <v>350</v>
      </c>
      <c r="T434" s="126" t="s">
        <v>160</v>
      </c>
      <c r="U434" s="126"/>
      <c r="V434" s="128">
        <v>1000000</v>
      </c>
      <c r="W434" s="128">
        <v>1000000</v>
      </c>
      <c r="X434" s="126" t="s">
        <v>1209</v>
      </c>
      <c r="Y434" s="126">
        <v>122386</v>
      </c>
      <c r="Z434" s="126">
        <v>0</v>
      </c>
      <c r="AA434" s="126" t="s">
        <v>0</v>
      </c>
      <c r="AB434" s="126" t="s">
        <v>161</v>
      </c>
      <c r="AC434" s="126" t="s">
        <v>162</v>
      </c>
      <c r="AD434" s="126"/>
      <c r="AE434" s="126"/>
      <c r="AF434" s="126"/>
      <c r="AG434" s="126"/>
      <c r="AH434" s="126" t="s">
        <v>228</v>
      </c>
      <c r="AI434" s="126" t="s">
        <v>2099</v>
      </c>
    </row>
    <row r="435" spans="1:35" ht="180" x14ac:dyDescent="0.25">
      <c r="A435" s="46" t="str">
        <f t="shared" si="6"/>
        <v>PEREACT000436AUTOSERVICIOBPO</v>
      </c>
      <c r="B435" s="126" t="s">
        <v>10</v>
      </c>
      <c r="C435" s="126">
        <v>25736</v>
      </c>
      <c r="D435" s="126" t="s">
        <v>140</v>
      </c>
      <c r="E435" s="126" t="s">
        <v>177</v>
      </c>
      <c r="F435" s="127">
        <v>44531</v>
      </c>
      <c r="G435" s="126" t="s">
        <v>175</v>
      </c>
      <c r="H435" s="126" t="s">
        <v>176</v>
      </c>
      <c r="I435" s="126">
        <v>1</v>
      </c>
      <c r="J435" s="126" t="s">
        <v>184</v>
      </c>
      <c r="K435" s="126" t="s">
        <v>228</v>
      </c>
      <c r="L435" s="126" t="s">
        <v>2100</v>
      </c>
      <c r="M435" s="126">
        <v>0</v>
      </c>
      <c r="N435" s="126">
        <v>0</v>
      </c>
      <c r="O435" s="126" t="s">
        <v>680</v>
      </c>
      <c r="P435" s="126" t="s">
        <v>170</v>
      </c>
      <c r="Q435" s="126" t="s">
        <v>349</v>
      </c>
      <c r="R435" s="126" t="s">
        <v>349</v>
      </c>
      <c r="S435" s="126" t="s">
        <v>350</v>
      </c>
      <c r="T435" s="126" t="s">
        <v>160</v>
      </c>
      <c r="U435" s="126"/>
      <c r="V435" s="128">
        <v>1000000</v>
      </c>
      <c r="W435" s="128">
        <v>1000000</v>
      </c>
      <c r="X435" s="126" t="s">
        <v>1209</v>
      </c>
      <c r="Y435" s="126">
        <v>122385</v>
      </c>
      <c r="Z435" s="126">
        <v>0</v>
      </c>
      <c r="AA435" s="126" t="s">
        <v>0</v>
      </c>
      <c r="AB435" s="126" t="s">
        <v>161</v>
      </c>
      <c r="AC435" s="126" t="s">
        <v>162</v>
      </c>
      <c r="AD435" s="126"/>
      <c r="AE435" s="126"/>
      <c r="AF435" s="126"/>
      <c r="AG435" s="126"/>
      <c r="AH435" s="126" t="s">
        <v>228</v>
      </c>
      <c r="AI435" s="126" t="s">
        <v>2101</v>
      </c>
    </row>
    <row r="436" spans="1:35" ht="180" x14ac:dyDescent="0.25">
      <c r="A436" s="46" t="str">
        <f t="shared" si="6"/>
        <v>PERECRD023598AUTOSERVICIONUTRESA</v>
      </c>
      <c r="B436" s="126" t="s">
        <v>10</v>
      </c>
      <c r="C436" s="126">
        <v>25739</v>
      </c>
      <c r="D436" s="126" t="s">
        <v>140</v>
      </c>
      <c r="E436" s="126" t="s">
        <v>177</v>
      </c>
      <c r="F436" s="127">
        <v>44532</v>
      </c>
      <c r="G436" s="126" t="s">
        <v>175</v>
      </c>
      <c r="H436" s="126" t="s">
        <v>176</v>
      </c>
      <c r="I436" s="126">
        <v>1</v>
      </c>
      <c r="J436" s="126" t="s">
        <v>184</v>
      </c>
      <c r="K436" s="126" t="s">
        <v>228</v>
      </c>
      <c r="L436" s="126" t="s">
        <v>2102</v>
      </c>
      <c r="M436" s="126">
        <v>0</v>
      </c>
      <c r="N436" s="126">
        <v>0</v>
      </c>
      <c r="O436" s="126" t="s">
        <v>681</v>
      </c>
      <c r="P436" s="126" t="s">
        <v>171</v>
      </c>
      <c r="Q436" s="126" t="s">
        <v>301</v>
      </c>
      <c r="R436" s="126" t="s">
        <v>301</v>
      </c>
      <c r="S436" s="126" t="s">
        <v>302</v>
      </c>
      <c r="T436" s="126" t="s">
        <v>160</v>
      </c>
      <c r="U436" s="126"/>
      <c r="V436" s="128">
        <v>237000000</v>
      </c>
      <c r="W436" s="128">
        <v>237000000</v>
      </c>
      <c r="X436" s="126" t="s">
        <v>1209</v>
      </c>
      <c r="Y436" s="126">
        <v>0</v>
      </c>
      <c r="Z436" s="126">
        <v>0</v>
      </c>
      <c r="AA436" s="126" t="s">
        <v>0</v>
      </c>
      <c r="AB436" s="126" t="s">
        <v>140</v>
      </c>
      <c r="AC436" s="126" t="s">
        <v>162</v>
      </c>
      <c r="AD436" s="126"/>
      <c r="AE436" s="126"/>
      <c r="AF436" s="126"/>
      <c r="AG436" s="126"/>
      <c r="AH436" s="126" t="s">
        <v>228</v>
      </c>
      <c r="AI436" s="126" t="s">
        <v>2103</v>
      </c>
    </row>
    <row r="437" spans="1:35" ht="180" x14ac:dyDescent="0.25">
      <c r="A437" s="46" t="str">
        <f t="shared" si="6"/>
        <v>PERECRD023597AUTOSERVICIONUTRESA</v>
      </c>
      <c r="B437" s="126" t="s">
        <v>10</v>
      </c>
      <c r="C437" s="126">
        <v>25739</v>
      </c>
      <c r="D437" s="126" t="s">
        <v>140</v>
      </c>
      <c r="E437" s="126" t="s">
        <v>177</v>
      </c>
      <c r="F437" s="127">
        <v>44532</v>
      </c>
      <c r="G437" s="126" t="s">
        <v>175</v>
      </c>
      <c r="H437" s="126" t="s">
        <v>176</v>
      </c>
      <c r="I437" s="126">
        <v>1</v>
      </c>
      <c r="J437" s="126" t="s">
        <v>184</v>
      </c>
      <c r="K437" s="126" t="s">
        <v>228</v>
      </c>
      <c r="L437" s="126" t="s">
        <v>2102</v>
      </c>
      <c r="M437" s="126">
        <v>0</v>
      </c>
      <c r="N437" s="126">
        <v>0</v>
      </c>
      <c r="O437" s="126" t="s">
        <v>681</v>
      </c>
      <c r="P437" s="126" t="s">
        <v>171</v>
      </c>
      <c r="Q437" s="126" t="s">
        <v>303</v>
      </c>
      <c r="R437" s="126" t="s">
        <v>303</v>
      </c>
      <c r="S437" s="126" t="s">
        <v>304</v>
      </c>
      <c r="T437" s="126" t="s">
        <v>160</v>
      </c>
      <c r="U437" s="126"/>
      <c r="V437" s="128">
        <v>237000000</v>
      </c>
      <c r="W437" s="128">
        <v>237000000</v>
      </c>
      <c r="X437" s="126" t="s">
        <v>1209</v>
      </c>
      <c r="Y437" s="126">
        <v>0</v>
      </c>
      <c r="Z437" s="126">
        <v>0</v>
      </c>
      <c r="AA437" s="126" t="s">
        <v>0</v>
      </c>
      <c r="AB437" s="126" t="s">
        <v>140</v>
      </c>
      <c r="AC437" s="126" t="s">
        <v>162</v>
      </c>
      <c r="AD437" s="126"/>
      <c r="AE437" s="126"/>
      <c r="AF437" s="126"/>
      <c r="AG437" s="126"/>
      <c r="AH437" s="126" t="s">
        <v>228</v>
      </c>
      <c r="AI437" s="126" t="s">
        <v>2104</v>
      </c>
    </row>
    <row r="438" spans="1:35" ht="180" x14ac:dyDescent="0.25">
      <c r="A438" s="46" t="str">
        <f t="shared" si="6"/>
        <v>PERECRD023685AUTOSERVICIONUTRESA</v>
      </c>
      <c r="B438" s="126" t="s">
        <v>10</v>
      </c>
      <c r="C438" s="126">
        <v>25739</v>
      </c>
      <c r="D438" s="126" t="s">
        <v>140</v>
      </c>
      <c r="E438" s="126" t="s">
        <v>177</v>
      </c>
      <c r="F438" s="127">
        <v>44532</v>
      </c>
      <c r="G438" s="126" t="s">
        <v>175</v>
      </c>
      <c r="H438" s="126" t="s">
        <v>176</v>
      </c>
      <c r="I438" s="126">
        <v>1</v>
      </c>
      <c r="J438" s="126" t="s">
        <v>184</v>
      </c>
      <c r="K438" s="126" t="s">
        <v>228</v>
      </c>
      <c r="L438" s="126" t="s">
        <v>2102</v>
      </c>
      <c r="M438" s="126">
        <v>0</v>
      </c>
      <c r="N438" s="126">
        <v>0</v>
      </c>
      <c r="O438" s="126" t="s">
        <v>681</v>
      </c>
      <c r="P438" s="126" t="s">
        <v>171</v>
      </c>
      <c r="Q438" s="126" t="s">
        <v>324</v>
      </c>
      <c r="R438" s="126" t="s">
        <v>324</v>
      </c>
      <c r="S438" s="126" t="s">
        <v>325</v>
      </c>
      <c r="T438" s="126" t="s">
        <v>160</v>
      </c>
      <c r="U438" s="126"/>
      <c r="V438" s="128">
        <v>1900000000</v>
      </c>
      <c r="W438" s="128">
        <v>1900000000</v>
      </c>
      <c r="X438" s="126" t="s">
        <v>1209</v>
      </c>
      <c r="Y438" s="126">
        <v>0</v>
      </c>
      <c r="Z438" s="126">
        <v>0</v>
      </c>
      <c r="AA438" s="126" t="s">
        <v>0</v>
      </c>
      <c r="AB438" s="126" t="s">
        <v>140</v>
      </c>
      <c r="AC438" s="126" t="s">
        <v>162</v>
      </c>
      <c r="AD438" s="126"/>
      <c r="AE438" s="126"/>
      <c r="AF438" s="126"/>
      <c r="AG438" s="126"/>
      <c r="AH438" s="126" t="s">
        <v>228</v>
      </c>
      <c r="AI438" s="126" t="s">
        <v>2105</v>
      </c>
    </row>
    <row r="439" spans="1:35" ht="165" x14ac:dyDescent="0.25">
      <c r="A439" s="46" t="str">
        <f t="shared" si="6"/>
        <v>PERECRD024845CADENASBPO</v>
      </c>
      <c r="B439" s="126" t="s">
        <v>10</v>
      </c>
      <c r="C439" s="126">
        <v>25740</v>
      </c>
      <c r="D439" s="126" t="s">
        <v>140</v>
      </c>
      <c r="E439" s="126" t="s">
        <v>177</v>
      </c>
      <c r="F439" s="127">
        <v>44532</v>
      </c>
      <c r="G439" s="126" t="s">
        <v>175</v>
      </c>
      <c r="H439" s="126" t="s">
        <v>176</v>
      </c>
      <c r="I439" s="126">
        <v>1</v>
      </c>
      <c r="J439" s="126" t="s">
        <v>184</v>
      </c>
      <c r="K439" s="126" t="s">
        <v>228</v>
      </c>
      <c r="L439" s="126" t="s">
        <v>2106</v>
      </c>
      <c r="M439" s="126">
        <v>0</v>
      </c>
      <c r="N439" s="126">
        <v>52800017798</v>
      </c>
      <c r="O439" s="126" t="s">
        <v>682</v>
      </c>
      <c r="P439" s="126" t="s">
        <v>171</v>
      </c>
      <c r="Q439" s="126" t="s">
        <v>464</v>
      </c>
      <c r="R439" s="126" t="s">
        <v>464</v>
      </c>
      <c r="S439" s="126" t="s">
        <v>465</v>
      </c>
      <c r="T439" s="126" t="s">
        <v>160</v>
      </c>
      <c r="U439" s="126"/>
      <c r="V439" s="128">
        <v>1000000000</v>
      </c>
      <c r="W439" s="128">
        <v>1000000000</v>
      </c>
      <c r="X439" s="126" t="s">
        <v>1209</v>
      </c>
      <c r="Y439" s="126">
        <v>0</v>
      </c>
      <c r="Z439" s="126">
        <v>0</v>
      </c>
      <c r="AA439" s="126" t="s">
        <v>1</v>
      </c>
      <c r="AB439" s="126" t="s">
        <v>161</v>
      </c>
      <c r="AC439" s="126" t="s">
        <v>162</v>
      </c>
      <c r="AD439" s="126"/>
      <c r="AE439" s="126"/>
      <c r="AF439" s="126"/>
      <c r="AG439" s="126"/>
      <c r="AH439" s="126" t="s">
        <v>228</v>
      </c>
      <c r="AI439" s="126" t="s">
        <v>2107</v>
      </c>
    </row>
    <row r="440" spans="1:35" ht="165" x14ac:dyDescent="0.25">
      <c r="A440" s="46" t="str">
        <f t="shared" si="6"/>
        <v>PERECRD024842AUTOSERVICIOBPO</v>
      </c>
      <c r="B440" s="126" t="s">
        <v>10</v>
      </c>
      <c r="C440" s="126">
        <v>25740</v>
      </c>
      <c r="D440" s="126" t="s">
        <v>140</v>
      </c>
      <c r="E440" s="126" t="s">
        <v>177</v>
      </c>
      <c r="F440" s="127">
        <v>44532</v>
      </c>
      <c r="G440" s="126" t="s">
        <v>175</v>
      </c>
      <c r="H440" s="126" t="s">
        <v>176</v>
      </c>
      <c r="I440" s="126">
        <v>1</v>
      </c>
      <c r="J440" s="126" t="s">
        <v>184</v>
      </c>
      <c r="K440" s="126" t="s">
        <v>228</v>
      </c>
      <c r="L440" s="126" t="s">
        <v>2106</v>
      </c>
      <c r="M440" s="126">
        <v>0</v>
      </c>
      <c r="N440" s="126">
        <v>52800017798</v>
      </c>
      <c r="O440" s="126" t="s">
        <v>682</v>
      </c>
      <c r="P440" s="126" t="s">
        <v>171</v>
      </c>
      <c r="Q440" s="126" t="s">
        <v>459</v>
      </c>
      <c r="R440" s="126" t="s">
        <v>459</v>
      </c>
      <c r="S440" s="126" t="s">
        <v>460</v>
      </c>
      <c r="T440" s="126" t="s">
        <v>160</v>
      </c>
      <c r="U440" s="126"/>
      <c r="V440" s="128">
        <v>500000000</v>
      </c>
      <c r="W440" s="128">
        <v>500000000</v>
      </c>
      <c r="X440" s="126" t="s">
        <v>1209</v>
      </c>
      <c r="Y440" s="126">
        <v>0</v>
      </c>
      <c r="Z440" s="126">
        <v>0</v>
      </c>
      <c r="AA440" s="126" t="s">
        <v>0</v>
      </c>
      <c r="AB440" s="126" t="s">
        <v>161</v>
      </c>
      <c r="AC440" s="126" t="s">
        <v>162</v>
      </c>
      <c r="AD440" s="126"/>
      <c r="AE440" s="126"/>
      <c r="AF440" s="126"/>
      <c r="AG440" s="126"/>
      <c r="AH440" s="126" t="s">
        <v>228</v>
      </c>
      <c r="AI440" s="126" t="s">
        <v>2108</v>
      </c>
    </row>
    <row r="441" spans="1:35" ht="165" x14ac:dyDescent="0.25">
      <c r="A441" s="46" t="str">
        <f t="shared" si="6"/>
        <v>PERECRD024843AUTOSERVICIOBPO</v>
      </c>
      <c r="B441" s="126" t="s">
        <v>10</v>
      </c>
      <c r="C441" s="126">
        <v>25740</v>
      </c>
      <c r="D441" s="126" t="s">
        <v>140</v>
      </c>
      <c r="E441" s="126" t="s">
        <v>177</v>
      </c>
      <c r="F441" s="127">
        <v>44532</v>
      </c>
      <c r="G441" s="126" t="s">
        <v>175</v>
      </c>
      <c r="H441" s="126" t="s">
        <v>176</v>
      </c>
      <c r="I441" s="126">
        <v>1</v>
      </c>
      <c r="J441" s="126" t="s">
        <v>184</v>
      </c>
      <c r="K441" s="126" t="s">
        <v>228</v>
      </c>
      <c r="L441" s="126" t="s">
        <v>2106</v>
      </c>
      <c r="M441" s="126">
        <v>0</v>
      </c>
      <c r="N441" s="126">
        <v>52800017798</v>
      </c>
      <c r="O441" s="126" t="s">
        <v>682</v>
      </c>
      <c r="P441" s="126" t="s">
        <v>171</v>
      </c>
      <c r="Q441" s="126" t="s">
        <v>463</v>
      </c>
      <c r="R441" s="126" t="s">
        <v>463</v>
      </c>
      <c r="S441" s="126" t="s">
        <v>1214</v>
      </c>
      <c r="T441" s="126" t="s">
        <v>160</v>
      </c>
      <c r="U441" s="126"/>
      <c r="V441" s="128">
        <v>500000000</v>
      </c>
      <c r="W441" s="128">
        <v>500000000</v>
      </c>
      <c r="X441" s="126" t="s">
        <v>1209</v>
      </c>
      <c r="Y441" s="126">
        <v>0</v>
      </c>
      <c r="Z441" s="126">
        <v>0</v>
      </c>
      <c r="AA441" s="126" t="s">
        <v>0</v>
      </c>
      <c r="AB441" s="126" t="s">
        <v>161</v>
      </c>
      <c r="AC441" s="126" t="s">
        <v>162</v>
      </c>
      <c r="AD441" s="126"/>
      <c r="AE441" s="126"/>
      <c r="AF441" s="126"/>
      <c r="AG441" s="126"/>
      <c r="AH441" s="126" t="s">
        <v>228</v>
      </c>
      <c r="AI441" s="126" t="s">
        <v>2109</v>
      </c>
    </row>
    <row r="442" spans="1:35" ht="165" x14ac:dyDescent="0.25">
      <c r="A442" s="46" t="str">
        <f t="shared" si="6"/>
        <v>PERECRD024843CADENASBPO</v>
      </c>
      <c r="B442" s="126" t="s">
        <v>10</v>
      </c>
      <c r="C442" s="126">
        <v>25740</v>
      </c>
      <c r="D442" s="126" t="s">
        <v>140</v>
      </c>
      <c r="E442" s="126" t="s">
        <v>177</v>
      </c>
      <c r="F442" s="127">
        <v>44532</v>
      </c>
      <c r="G442" s="126" t="s">
        <v>175</v>
      </c>
      <c r="H442" s="126" t="s">
        <v>176</v>
      </c>
      <c r="I442" s="126">
        <v>1</v>
      </c>
      <c r="J442" s="126" t="s">
        <v>184</v>
      </c>
      <c r="K442" s="126" t="s">
        <v>228</v>
      </c>
      <c r="L442" s="126" t="s">
        <v>2106</v>
      </c>
      <c r="M442" s="126">
        <v>0</v>
      </c>
      <c r="N442" s="126">
        <v>52800017798</v>
      </c>
      <c r="O442" s="126" t="s">
        <v>682</v>
      </c>
      <c r="P442" s="126" t="s">
        <v>171</v>
      </c>
      <c r="Q442" s="126" t="s">
        <v>463</v>
      </c>
      <c r="R442" s="126" t="s">
        <v>463</v>
      </c>
      <c r="S442" s="126" t="s">
        <v>1214</v>
      </c>
      <c r="T442" s="126" t="s">
        <v>160</v>
      </c>
      <c r="U442" s="126"/>
      <c r="V442" s="128">
        <v>1000000000</v>
      </c>
      <c r="W442" s="128">
        <v>1000000000</v>
      </c>
      <c r="X442" s="126" t="s">
        <v>1209</v>
      </c>
      <c r="Y442" s="126">
        <v>0</v>
      </c>
      <c r="Z442" s="126">
        <v>0</v>
      </c>
      <c r="AA442" s="126" t="s">
        <v>1</v>
      </c>
      <c r="AB442" s="126" t="s">
        <v>161</v>
      </c>
      <c r="AC442" s="126" t="s">
        <v>162</v>
      </c>
      <c r="AD442" s="126"/>
      <c r="AE442" s="126"/>
      <c r="AF442" s="126"/>
      <c r="AG442" s="126"/>
      <c r="AH442" s="126" t="s">
        <v>228</v>
      </c>
      <c r="AI442" s="126" t="s">
        <v>2110</v>
      </c>
    </row>
    <row r="443" spans="1:35" ht="165" x14ac:dyDescent="0.25">
      <c r="A443" s="46" t="str">
        <f t="shared" si="6"/>
        <v>PERECRD024844AUTOSERVICIOBPO</v>
      </c>
      <c r="B443" s="126" t="s">
        <v>10</v>
      </c>
      <c r="C443" s="126">
        <v>25740</v>
      </c>
      <c r="D443" s="126" t="s">
        <v>140</v>
      </c>
      <c r="E443" s="126" t="s">
        <v>177</v>
      </c>
      <c r="F443" s="127">
        <v>44532</v>
      </c>
      <c r="G443" s="126" t="s">
        <v>175</v>
      </c>
      <c r="H443" s="126" t="s">
        <v>176</v>
      </c>
      <c r="I443" s="126">
        <v>1</v>
      </c>
      <c r="J443" s="126" t="s">
        <v>184</v>
      </c>
      <c r="K443" s="126" t="s">
        <v>228</v>
      </c>
      <c r="L443" s="126" t="s">
        <v>2106</v>
      </c>
      <c r="M443" s="126">
        <v>0</v>
      </c>
      <c r="N443" s="126">
        <v>52800017798</v>
      </c>
      <c r="O443" s="126" t="s">
        <v>682</v>
      </c>
      <c r="P443" s="126" t="s">
        <v>171</v>
      </c>
      <c r="Q443" s="126" t="s">
        <v>461</v>
      </c>
      <c r="R443" s="126" t="s">
        <v>461</v>
      </c>
      <c r="S443" s="126" t="s">
        <v>462</v>
      </c>
      <c r="T443" s="126" t="s">
        <v>160</v>
      </c>
      <c r="U443" s="126"/>
      <c r="V443" s="128">
        <v>500000000</v>
      </c>
      <c r="W443" s="128">
        <v>500000000</v>
      </c>
      <c r="X443" s="126" t="s">
        <v>1209</v>
      </c>
      <c r="Y443" s="126">
        <v>0</v>
      </c>
      <c r="Z443" s="126">
        <v>0</v>
      </c>
      <c r="AA443" s="126" t="s">
        <v>0</v>
      </c>
      <c r="AB443" s="126" t="s">
        <v>161</v>
      </c>
      <c r="AC443" s="126" t="s">
        <v>162</v>
      </c>
      <c r="AD443" s="126"/>
      <c r="AE443" s="126"/>
      <c r="AF443" s="126"/>
      <c r="AG443" s="126"/>
      <c r="AH443" s="126" t="s">
        <v>228</v>
      </c>
      <c r="AI443" s="126" t="s">
        <v>2111</v>
      </c>
    </row>
    <row r="444" spans="1:35" ht="165" x14ac:dyDescent="0.25">
      <c r="A444" s="46" t="str">
        <f t="shared" si="6"/>
        <v>PERECRD024844CADENASBPO</v>
      </c>
      <c r="B444" s="126" t="s">
        <v>10</v>
      </c>
      <c r="C444" s="126">
        <v>25740</v>
      </c>
      <c r="D444" s="126" t="s">
        <v>140</v>
      </c>
      <c r="E444" s="126" t="s">
        <v>177</v>
      </c>
      <c r="F444" s="127">
        <v>44532</v>
      </c>
      <c r="G444" s="126" t="s">
        <v>175</v>
      </c>
      <c r="H444" s="126" t="s">
        <v>176</v>
      </c>
      <c r="I444" s="126">
        <v>1</v>
      </c>
      <c r="J444" s="126" t="s">
        <v>184</v>
      </c>
      <c r="K444" s="126" t="s">
        <v>228</v>
      </c>
      <c r="L444" s="126" t="s">
        <v>2106</v>
      </c>
      <c r="M444" s="126">
        <v>0</v>
      </c>
      <c r="N444" s="126">
        <v>52800017798</v>
      </c>
      <c r="O444" s="126" t="s">
        <v>682</v>
      </c>
      <c r="P444" s="126" t="s">
        <v>171</v>
      </c>
      <c r="Q444" s="126" t="s">
        <v>461</v>
      </c>
      <c r="R444" s="126" t="s">
        <v>461</v>
      </c>
      <c r="S444" s="126" t="s">
        <v>462</v>
      </c>
      <c r="T444" s="126" t="s">
        <v>160</v>
      </c>
      <c r="U444" s="126"/>
      <c r="V444" s="128">
        <v>1000000000</v>
      </c>
      <c r="W444" s="128">
        <v>1000000000</v>
      </c>
      <c r="X444" s="126" t="s">
        <v>1209</v>
      </c>
      <c r="Y444" s="126">
        <v>0</v>
      </c>
      <c r="Z444" s="126">
        <v>0</v>
      </c>
      <c r="AA444" s="126" t="s">
        <v>1</v>
      </c>
      <c r="AB444" s="126" t="s">
        <v>161</v>
      </c>
      <c r="AC444" s="126" t="s">
        <v>162</v>
      </c>
      <c r="AD444" s="126"/>
      <c r="AE444" s="126"/>
      <c r="AF444" s="126"/>
      <c r="AG444" s="126"/>
      <c r="AH444" s="126" t="s">
        <v>228</v>
      </c>
      <c r="AI444" s="126" t="s">
        <v>2112</v>
      </c>
    </row>
    <row r="445" spans="1:35" ht="165" x14ac:dyDescent="0.25">
      <c r="A445" s="46" t="str">
        <f t="shared" si="6"/>
        <v>PERECRD024842CADENASBPO</v>
      </c>
      <c r="B445" s="126" t="s">
        <v>10</v>
      </c>
      <c r="C445" s="126">
        <v>25740</v>
      </c>
      <c r="D445" s="126" t="s">
        <v>140</v>
      </c>
      <c r="E445" s="126" t="s">
        <v>177</v>
      </c>
      <c r="F445" s="127">
        <v>44532</v>
      </c>
      <c r="G445" s="126" t="s">
        <v>175</v>
      </c>
      <c r="H445" s="126" t="s">
        <v>176</v>
      </c>
      <c r="I445" s="126">
        <v>1</v>
      </c>
      <c r="J445" s="126" t="s">
        <v>184</v>
      </c>
      <c r="K445" s="126" t="s">
        <v>228</v>
      </c>
      <c r="L445" s="126" t="s">
        <v>2106</v>
      </c>
      <c r="M445" s="126">
        <v>0</v>
      </c>
      <c r="N445" s="126">
        <v>52800017798</v>
      </c>
      <c r="O445" s="126" t="s">
        <v>682</v>
      </c>
      <c r="P445" s="126" t="s">
        <v>171</v>
      </c>
      <c r="Q445" s="126" t="s">
        <v>459</v>
      </c>
      <c r="R445" s="126" t="s">
        <v>459</v>
      </c>
      <c r="S445" s="126" t="s">
        <v>460</v>
      </c>
      <c r="T445" s="126" t="s">
        <v>160</v>
      </c>
      <c r="U445" s="126"/>
      <c r="V445" s="128">
        <v>1000000000</v>
      </c>
      <c r="W445" s="128">
        <v>1000000000</v>
      </c>
      <c r="X445" s="126" t="s">
        <v>1209</v>
      </c>
      <c r="Y445" s="126">
        <v>0</v>
      </c>
      <c r="Z445" s="126">
        <v>0</v>
      </c>
      <c r="AA445" s="126" t="s">
        <v>1</v>
      </c>
      <c r="AB445" s="126" t="s">
        <v>161</v>
      </c>
      <c r="AC445" s="126" t="s">
        <v>162</v>
      </c>
      <c r="AD445" s="126"/>
      <c r="AE445" s="126"/>
      <c r="AF445" s="126"/>
      <c r="AG445" s="126"/>
      <c r="AH445" s="126" t="s">
        <v>228</v>
      </c>
      <c r="AI445" s="126" t="s">
        <v>2113</v>
      </c>
    </row>
    <row r="446" spans="1:35" ht="165" x14ac:dyDescent="0.25">
      <c r="A446" s="46" t="str">
        <f t="shared" si="6"/>
        <v>PERECRD024845AUTOSERVICIOBPO</v>
      </c>
      <c r="B446" s="126" t="s">
        <v>10</v>
      </c>
      <c r="C446" s="126">
        <v>25740</v>
      </c>
      <c r="D446" s="126" t="s">
        <v>140</v>
      </c>
      <c r="E446" s="126" t="s">
        <v>177</v>
      </c>
      <c r="F446" s="127">
        <v>44532</v>
      </c>
      <c r="G446" s="126" t="s">
        <v>175</v>
      </c>
      <c r="H446" s="126" t="s">
        <v>176</v>
      </c>
      <c r="I446" s="126">
        <v>1</v>
      </c>
      <c r="J446" s="126" t="s">
        <v>184</v>
      </c>
      <c r="K446" s="126" t="s">
        <v>228</v>
      </c>
      <c r="L446" s="126" t="s">
        <v>2106</v>
      </c>
      <c r="M446" s="126">
        <v>0</v>
      </c>
      <c r="N446" s="126">
        <v>52800017798</v>
      </c>
      <c r="O446" s="126" t="s">
        <v>682</v>
      </c>
      <c r="P446" s="126" t="s">
        <v>171</v>
      </c>
      <c r="Q446" s="126" t="s">
        <v>464</v>
      </c>
      <c r="R446" s="126" t="s">
        <v>464</v>
      </c>
      <c r="S446" s="126" t="s">
        <v>465</v>
      </c>
      <c r="T446" s="126" t="s">
        <v>160</v>
      </c>
      <c r="U446" s="126"/>
      <c r="V446" s="128">
        <v>500000000</v>
      </c>
      <c r="W446" s="128">
        <v>500000000</v>
      </c>
      <c r="X446" s="126" t="s">
        <v>1209</v>
      </c>
      <c r="Y446" s="126">
        <v>0</v>
      </c>
      <c r="Z446" s="126">
        <v>0</v>
      </c>
      <c r="AA446" s="126" t="s">
        <v>0</v>
      </c>
      <c r="AB446" s="126" t="s">
        <v>161</v>
      </c>
      <c r="AC446" s="126" t="s">
        <v>162</v>
      </c>
      <c r="AD446" s="126"/>
      <c r="AE446" s="126"/>
      <c r="AF446" s="126"/>
      <c r="AG446" s="126"/>
      <c r="AH446" s="126" t="s">
        <v>228</v>
      </c>
      <c r="AI446" s="126" t="s">
        <v>2114</v>
      </c>
    </row>
    <row r="447" spans="1:35" ht="270" x14ac:dyDescent="0.25">
      <c r="A447" s="46" t="str">
        <f t="shared" si="6"/>
        <v>PEREACT000300AUTOSERVICIONUTRESA</v>
      </c>
      <c r="B447" s="126" t="s">
        <v>10</v>
      </c>
      <c r="C447" s="126">
        <v>25743</v>
      </c>
      <c r="D447" s="126" t="s">
        <v>140</v>
      </c>
      <c r="E447" s="126" t="s">
        <v>177</v>
      </c>
      <c r="F447" s="127">
        <v>44532</v>
      </c>
      <c r="G447" s="126" t="s">
        <v>175</v>
      </c>
      <c r="H447" s="126" t="s">
        <v>176</v>
      </c>
      <c r="I447" s="126">
        <v>1</v>
      </c>
      <c r="J447" s="126" t="s">
        <v>184</v>
      </c>
      <c r="K447" s="126" t="s">
        <v>228</v>
      </c>
      <c r="L447" s="126" t="s">
        <v>2115</v>
      </c>
      <c r="M447" s="126">
        <v>0</v>
      </c>
      <c r="N447" s="126">
        <v>0</v>
      </c>
      <c r="O447" s="126" t="s">
        <v>683</v>
      </c>
      <c r="P447" s="126" t="s">
        <v>170</v>
      </c>
      <c r="Q447" s="126" t="s">
        <v>155</v>
      </c>
      <c r="R447" s="126" t="s">
        <v>155</v>
      </c>
      <c r="S447" s="126" t="s">
        <v>156</v>
      </c>
      <c r="T447" s="126" t="s">
        <v>160</v>
      </c>
      <c r="U447" s="126"/>
      <c r="V447" s="128">
        <v>1000000</v>
      </c>
      <c r="W447" s="128">
        <v>1000000</v>
      </c>
      <c r="X447" s="126" t="s">
        <v>1209</v>
      </c>
      <c r="Y447" s="126">
        <v>118967</v>
      </c>
      <c r="Z447" s="126">
        <v>0</v>
      </c>
      <c r="AA447" s="126" t="s">
        <v>0</v>
      </c>
      <c r="AB447" s="126" t="s">
        <v>140</v>
      </c>
      <c r="AC447" s="126" t="s">
        <v>165</v>
      </c>
      <c r="AD447" s="126"/>
      <c r="AE447" s="126"/>
      <c r="AF447" s="126"/>
      <c r="AG447" s="126"/>
      <c r="AH447" s="126" t="s">
        <v>228</v>
      </c>
      <c r="AI447" s="126" t="s">
        <v>2116</v>
      </c>
    </row>
    <row r="448" spans="1:35" ht="165" x14ac:dyDescent="0.25">
      <c r="A448" s="46" t="str">
        <f t="shared" si="6"/>
        <v>PERECRD024849AUTOSERVICIONUTRESA</v>
      </c>
      <c r="B448" s="126" t="s">
        <v>10</v>
      </c>
      <c r="C448" s="126">
        <v>25744</v>
      </c>
      <c r="D448" s="126" t="s">
        <v>140</v>
      </c>
      <c r="E448" s="126" t="s">
        <v>177</v>
      </c>
      <c r="F448" s="127">
        <v>44533</v>
      </c>
      <c r="G448" s="126" t="s">
        <v>175</v>
      </c>
      <c r="H448" s="126" t="s">
        <v>176</v>
      </c>
      <c r="I448" s="126">
        <v>1</v>
      </c>
      <c r="J448" s="126" t="s">
        <v>184</v>
      </c>
      <c r="K448" s="126" t="s">
        <v>228</v>
      </c>
      <c r="L448" s="126" t="s">
        <v>2117</v>
      </c>
      <c r="M448" s="126">
        <v>0</v>
      </c>
      <c r="N448" s="126">
        <v>805455493</v>
      </c>
      <c r="O448" s="126" t="s">
        <v>684</v>
      </c>
      <c r="P448" s="126" t="s">
        <v>168</v>
      </c>
      <c r="Q448" s="126" t="s">
        <v>467</v>
      </c>
      <c r="R448" s="126" t="s">
        <v>467</v>
      </c>
      <c r="S448" s="126" t="s">
        <v>468</v>
      </c>
      <c r="T448" s="126" t="s">
        <v>160</v>
      </c>
      <c r="U448" s="126"/>
      <c r="V448" s="128">
        <v>15000000000</v>
      </c>
      <c r="W448" s="128">
        <v>15000000000</v>
      </c>
      <c r="X448" s="126" t="s">
        <v>1209</v>
      </c>
      <c r="Y448" s="126">
        <v>0</v>
      </c>
      <c r="Z448" s="126">
        <v>0</v>
      </c>
      <c r="AA448" s="126" t="s">
        <v>0</v>
      </c>
      <c r="AB448" s="126" t="s">
        <v>140</v>
      </c>
      <c r="AC448" s="126" t="s">
        <v>162</v>
      </c>
      <c r="AD448" s="126"/>
      <c r="AE448" s="126"/>
      <c r="AF448" s="126"/>
      <c r="AG448" s="126"/>
      <c r="AH448" s="126" t="s">
        <v>228</v>
      </c>
      <c r="AI448" s="126" t="s">
        <v>2118</v>
      </c>
    </row>
    <row r="449" spans="1:35" ht="165" x14ac:dyDescent="0.25">
      <c r="A449" s="46" t="str">
        <f t="shared" si="6"/>
        <v>PEREACT000436AUTOSERVICIOBPO</v>
      </c>
      <c r="B449" s="126" t="s">
        <v>10</v>
      </c>
      <c r="C449" s="126">
        <v>25752</v>
      </c>
      <c r="D449" s="126" t="s">
        <v>140</v>
      </c>
      <c r="E449" s="126" t="s">
        <v>177</v>
      </c>
      <c r="F449" s="127">
        <v>44533</v>
      </c>
      <c r="G449" s="126" t="s">
        <v>175</v>
      </c>
      <c r="H449" s="126" t="s">
        <v>176</v>
      </c>
      <c r="I449" s="126">
        <v>1</v>
      </c>
      <c r="J449" s="126" t="s">
        <v>184</v>
      </c>
      <c r="K449" s="126" t="s">
        <v>228</v>
      </c>
      <c r="L449" s="126" t="s">
        <v>2119</v>
      </c>
      <c r="M449" s="126">
        <v>0</v>
      </c>
      <c r="N449" s="126">
        <v>0</v>
      </c>
      <c r="O449" s="126" t="s">
        <v>685</v>
      </c>
      <c r="P449" s="126" t="s">
        <v>170</v>
      </c>
      <c r="Q449" s="126" t="s">
        <v>349</v>
      </c>
      <c r="R449" s="126" t="s">
        <v>349</v>
      </c>
      <c r="S449" s="126" t="s">
        <v>350</v>
      </c>
      <c r="T449" s="126" t="s">
        <v>160</v>
      </c>
      <c r="U449" s="126"/>
      <c r="V449" s="128">
        <v>1000000</v>
      </c>
      <c r="W449" s="128">
        <v>1000000</v>
      </c>
      <c r="X449" s="126" t="s">
        <v>1209</v>
      </c>
      <c r="Y449" s="126">
        <v>122381</v>
      </c>
      <c r="Z449" s="126">
        <v>0</v>
      </c>
      <c r="AA449" s="126" t="s">
        <v>0</v>
      </c>
      <c r="AB449" s="126" t="s">
        <v>161</v>
      </c>
      <c r="AC449" s="126" t="s">
        <v>162</v>
      </c>
      <c r="AD449" s="126"/>
      <c r="AE449" s="126"/>
      <c r="AF449" s="126"/>
      <c r="AG449" s="126"/>
      <c r="AH449" s="126" t="s">
        <v>228</v>
      </c>
      <c r="AI449" s="126" t="s">
        <v>2120</v>
      </c>
    </row>
    <row r="450" spans="1:35" ht="150" x14ac:dyDescent="0.25">
      <c r="A450" s="46" t="str">
        <f t="shared" si="6"/>
        <v>PEREACT000436AUTOSERVICIOBPO</v>
      </c>
      <c r="B450" s="126" t="s">
        <v>10</v>
      </c>
      <c r="C450" s="126">
        <v>25753</v>
      </c>
      <c r="D450" s="126" t="s">
        <v>140</v>
      </c>
      <c r="E450" s="126" t="s">
        <v>177</v>
      </c>
      <c r="F450" s="127">
        <v>44533</v>
      </c>
      <c r="G450" s="126" t="s">
        <v>175</v>
      </c>
      <c r="H450" s="126" t="s">
        <v>176</v>
      </c>
      <c r="I450" s="126">
        <v>1</v>
      </c>
      <c r="J450" s="126" t="s">
        <v>184</v>
      </c>
      <c r="K450" s="126" t="s">
        <v>228</v>
      </c>
      <c r="L450" s="126" t="s">
        <v>2121</v>
      </c>
      <c r="M450" s="126">
        <v>0</v>
      </c>
      <c r="N450" s="126">
        <v>0</v>
      </c>
      <c r="O450" s="126" t="s">
        <v>686</v>
      </c>
      <c r="P450" s="126" t="s">
        <v>170</v>
      </c>
      <c r="Q450" s="126" t="s">
        <v>349</v>
      </c>
      <c r="R450" s="126" t="s">
        <v>349</v>
      </c>
      <c r="S450" s="126" t="s">
        <v>350</v>
      </c>
      <c r="T450" s="126" t="s">
        <v>160</v>
      </c>
      <c r="U450" s="126"/>
      <c r="V450" s="128">
        <v>1000000</v>
      </c>
      <c r="W450" s="128">
        <v>1000000</v>
      </c>
      <c r="X450" s="126" t="s">
        <v>1209</v>
      </c>
      <c r="Y450" s="126">
        <v>182951</v>
      </c>
      <c r="Z450" s="126">
        <v>0</v>
      </c>
      <c r="AA450" s="126" t="s">
        <v>0</v>
      </c>
      <c r="AB450" s="126" t="s">
        <v>161</v>
      </c>
      <c r="AC450" s="126" t="s">
        <v>162</v>
      </c>
      <c r="AD450" s="126"/>
      <c r="AE450" s="126"/>
      <c r="AF450" s="126"/>
      <c r="AG450" s="126"/>
      <c r="AH450" s="126" t="s">
        <v>228</v>
      </c>
      <c r="AI450" s="126" t="s">
        <v>2122</v>
      </c>
    </row>
    <row r="451" spans="1:35" ht="195" x14ac:dyDescent="0.25">
      <c r="A451" s="46" t="str">
        <f t="shared" ref="A451:A514" si="7">+CONCATENATE(B451,Q451,AA451,AB451)</f>
        <v>PEREACT000436AUTOSERVICIOBPO</v>
      </c>
      <c r="B451" s="126" t="s">
        <v>10</v>
      </c>
      <c r="C451" s="126">
        <v>25756</v>
      </c>
      <c r="D451" s="126" t="s">
        <v>140</v>
      </c>
      <c r="E451" s="126" t="s">
        <v>177</v>
      </c>
      <c r="F451" s="127">
        <v>44533</v>
      </c>
      <c r="G451" s="126" t="s">
        <v>175</v>
      </c>
      <c r="H451" s="126" t="s">
        <v>176</v>
      </c>
      <c r="I451" s="126">
        <v>1</v>
      </c>
      <c r="J451" s="126" t="s">
        <v>184</v>
      </c>
      <c r="K451" s="126" t="s">
        <v>228</v>
      </c>
      <c r="L451" s="126" t="s">
        <v>2123</v>
      </c>
      <c r="M451" s="126">
        <v>0</v>
      </c>
      <c r="N451" s="126">
        <v>0</v>
      </c>
      <c r="O451" s="126" t="s">
        <v>687</v>
      </c>
      <c r="P451" s="126" t="s">
        <v>170</v>
      </c>
      <c r="Q451" s="126" t="s">
        <v>349</v>
      </c>
      <c r="R451" s="126" t="s">
        <v>349</v>
      </c>
      <c r="S451" s="126" t="s">
        <v>350</v>
      </c>
      <c r="T451" s="126" t="s">
        <v>160</v>
      </c>
      <c r="U451" s="126"/>
      <c r="V451" s="128">
        <v>1000000</v>
      </c>
      <c r="W451" s="128">
        <v>1000000</v>
      </c>
      <c r="X451" s="126" t="s">
        <v>1209</v>
      </c>
      <c r="Y451" s="126">
        <v>122380</v>
      </c>
      <c r="Z451" s="126">
        <v>0</v>
      </c>
      <c r="AA451" s="126" t="s">
        <v>0</v>
      </c>
      <c r="AB451" s="126" t="s">
        <v>161</v>
      </c>
      <c r="AC451" s="126" t="s">
        <v>162</v>
      </c>
      <c r="AD451" s="126"/>
      <c r="AE451" s="126"/>
      <c r="AF451" s="126"/>
      <c r="AG451" s="126"/>
      <c r="AH451" s="126" t="s">
        <v>228</v>
      </c>
      <c r="AI451" s="126" t="s">
        <v>2124</v>
      </c>
    </row>
    <row r="452" spans="1:35" ht="150" x14ac:dyDescent="0.25">
      <c r="A452" s="46" t="str">
        <f t="shared" si="7"/>
        <v>PERECRD025017CADENASNUTRESA</v>
      </c>
      <c r="B452" s="126" t="s">
        <v>10</v>
      </c>
      <c r="C452" s="126">
        <v>25762</v>
      </c>
      <c r="D452" s="126" t="s">
        <v>140</v>
      </c>
      <c r="E452" s="126" t="s">
        <v>177</v>
      </c>
      <c r="F452" s="127">
        <v>44534</v>
      </c>
      <c r="G452" s="126" t="s">
        <v>175</v>
      </c>
      <c r="H452" s="126" t="s">
        <v>176</v>
      </c>
      <c r="I452" s="126">
        <v>1</v>
      </c>
      <c r="J452" s="126" t="s">
        <v>184</v>
      </c>
      <c r="K452" s="126" t="s">
        <v>228</v>
      </c>
      <c r="L452" s="126" t="s">
        <v>2125</v>
      </c>
      <c r="M452" s="126">
        <v>0</v>
      </c>
      <c r="N452" s="126">
        <v>14000359288</v>
      </c>
      <c r="O452" s="126" t="s">
        <v>688</v>
      </c>
      <c r="P452" s="126" t="s">
        <v>171</v>
      </c>
      <c r="Q452" s="126" t="s">
        <v>473</v>
      </c>
      <c r="R452" s="126" t="s">
        <v>473</v>
      </c>
      <c r="S452" s="126" t="s">
        <v>474</v>
      </c>
      <c r="T452" s="126" t="s">
        <v>160</v>
      </c>
      <c r="U452" s="126"/>
      <c r="V452" s="128">
        <v>1000000</v>
      </c>
      <c r="W452" s="128">
        <v>1000000</v>
      </c>
      <c r="X452" s="126" t="s">
        <v>1209</v>
      </c>
      <c r="Y452" s="126">
        <v>0</v>
      </c>
      <c r="Z452" s="126">
        <v>0</v>
      </c>
      <c r="AA452" s="126" t="s">
        <v>1</v>
      </c>
      <c r="AB452" s="126" t="s">
        <v>140</v>
      </c>
      <c r="AC452" s="126" t="s">
        <v>162</v>
      </c>
      <c r="AD452" s="126"/>
      <c r="AE452" s="126"/>
      <c r="AF452" s="126"/>
      <c r="AG452" s="126"/>
      <c r="AH452" s="126" t="s">
        <v>228</v>
      </c>
      <c r="AI452" s="126" t="s">
        <v>2126</v>
      </c>
    </row>
    <row r="453" spans="1:35" ht="180" x14ac:dyDescent="0.25">
      <c r="A453" s="46" t="str">
        <f t="shared" si="7"/>
        <v>PERECRD000911CADENASNUTRESA</v>
      </c>
      <c r="B453" s="126" t="s">
        <v>10</v>
      </c>
      <c r="C453" s="126">
        <v>25769</v>
      </c>
      <c r="D453" s="126" t="s">
        <v>140</v>
      </c>
      <c r="E453" s="126" t="s">
        <v>177</v>
      </c>
      <c r="F453" s="127">
        <v>44536</v>
      </c>
      <c r="G453" s="126" t="s">
        <v>175</v>
      </c>
      <c r="H453" s="126" t="s">
        <v>176</v>
      </c>
      <c r="I453" s="126">
        <v>1</v>
      </c>
      <c r="J453" s="126" t="s">
        <v>184</v>
      </c>
      <c r="K453" s="126" t="s">
        <v>228</v>
      </c>
      <c r="L453" s="126" t="s">
        <v>2127</v>
      </c>
      <c r="M453" s="126">
        <v>0</v>
      </c>
      <c r="N453" s="126">
        <v>0</v>
      </c>
      <c r="O453" s="126" t="s">
        <v>689</v>
      </c>
      <c r="P453" s="126" t="s">
        <v>172</v>
      </c>
      <c r="Q453" s="126" t="s">
        <v>358</v>
      </c>
      <c r="R453" s="126" t="s">
        <v>358</v>
      </c>
      <c r="S453" s="126" t="s">
        <v>359</v>
      </c>
      <c r="T453" s="126" t="s">
        <v>160</v>
      </c>
      <c r="U453" s="126"/>
      <c r="V453" s="128">
        <v>1000000</v>
      </c>
      <c r="W453" s="128">
        <v>1000000</v>
      </c>
      <c r="X453" s="126" t="s">
        <v>1209</v>
      </c>
      <c r="Y453" s="126">
        <v>0</v>
      </c>
      <c r="Z453" s="126" t="s">
        <v>696</v>
      </c>
      <c r="AA453" s="126" t="s">
        <v>1</v>
      </c>
      <c r="AB453" s="126" t="s">
        <v>140</v>
      </c>
      <c r="AC453" s="126" t="s">
        <v>162</v>
      </c>
      <c r="AD453" s="127">
        <v>44755</v>
      </c>
      <c r="AE453" s="126"/>
      <c r="AF453" s="127">
        <v>44755</v>
      </c>
      <c r="AG453" s="126"/>
      <c r="AH453" s="126" t="s">
        <v>228</v>
      </c>
      <c r="AI453" s="126" t="s">
        <v>2128</v>
      </c>
    </row>
    <row r="454" spans="1:35" ht="180" x14ac:dyDescent="0.25">
      <c r="A454" s="46" t="str">
        <f t="shared" si="7"/>
        <v>PERECRD012719CADENASNUTRESA</v>
      </c>
      <c r="B454" s="126" t="s">
        <v>10</v>
      </c>
      <c r="C454" s="126">
        <v>25769</v>
      </c>
      <c r="D454" s="126" t="s">
        <v>140</v>
      </c>
      <c r="E454" s="126" t="s">
        <v>177</v>
      </c>
      <c r="F454" s="127">
        <v>44536</v>
      </c>
      <c r="G454" s="126" t="s">
        <v>175</v>
      </c>
      <c r="H454" s="126" t="s">
        <v>176</v>
      </c>
      <c r="I454" s="126">
        <v>1</v>
      </c>
      <c r="J454" s="126" t="s">
        <v>184</v>
      </c>
      <c r="K454" s="126" t="s">
        <v>228</v>
      </c>
      <c r="L454" s="126" t="s">
        <v>2127</v>
      </c>
      <c r="M454" s="126">
        <v>0</v>
      </c>
      <c r="N454" s="126">
        <v>0</v>
      </c>
      <c r="O454" s="126" t="s">
        <v>689</v>
      </c>
      <c r="P454" s="126" t="s">
        <v>172</v>
      </c>
      <c r="Q454" s="126" t="s">
        <v>533</v>
      </c>
      <c r="R454" s="126" t="s">
        <v>533</v>
      </c>
      <c r="S454" s="126" t="s">
        <v>534</v>
      </c>
      <c r="T454" s="126" t="s">
        <v>160</v>
      </c>
      <c r="U454" s="126"/>
      <c r="V454" s="128">
        <v>1000000</v>
      </c>
      <c r="W454" s="128">
        <v>1000000</v>
      </c>
      <c r="X454" s="126" t="s">
        <v>1209</v>
      </c>
      <c r="Y454" s="126">
        <v>0</v>
      </c>
      <c r="Z454" s="126" t="s">
        <v>691</v>
      </c>
      <c r="AA454" s="126" t="s">
        <v>1</v>
      </c>
      <c r="AB454" s="126" t="s">
        <v>140</v>
      </c>
      <c r="AC454" s="126" t="s">
        <v>162</v>
      </c>
      <c r="AD454" s="127">
        <v>44808</v>
      </c>
      <c r="AE454" s="126"/>
      <c r="AF454" s="127">
        <v>44808</v>
      </c>
      <c r="AG454" s="126"/>
      <c r="AH454" s="126" t="s">
        <v>228</v>
      </c>
      <c r="AI454" s="126" t="s">
        <v>2129</v>
      </c>
    </row>
    <row r="455" spans="1:35" ht="180" x14ac:dyDescent="0.25">
      <c r="A455" s="46" t="str">
        <f t="shared" si="7"/>
        <v>PERECRD012726CADENASNUTRESA</v>
      </c>
      <c r="B455" s="126" t="s">
        <v>10</v>
      </c>
      <c r="C455" s="126">
        <v>25769</v>
      </c>
      <c r="D455" s="126" t="s">
        <v>140</v>
      </c>
      <c r="E455" s="126" t="s">
        <v>177</v>
      </c>
      <c r="F455" s="127">
        <v>44536</v>
      </c>
      <c r="G455" s="126" t="s">
        <v>175</v>
      </c>
      <c r="H455" s="126" t="s">
        <v>176</v>
      </c>
      <c r="I455" s="126">
        <v>1</v>
      </c>
      <c r="J455" s="126" t="s">
        <v>184</v>
      </c>
      <c r="K455" s="126" t="s">
        <v>228</v>
      </c>
      <c r="L455" s="126" t="s">
        <v>2127</v>
      </c>
      <c r="M455" s="126">
        <v>0</v>
      </c>
      <c r="N455" s="126">
        <v>0</v>
      </c>
      <c r="O455" s="126" t="s">
        <v>689</v>
      </c>
      <c r="P455" s="126" t="s">
        <v>172</v>
      </c>
      <c r="Q455" s="126" t="s">
        <v>526</v>
      </c>
      <c r="R455" s="126" t="s">
        <v>526</v>
      </c>
      <c r="S455" s="126" t="s">
        <v>527</v>
      </c>
      <c r="T455" s="126" t="s">
        <v>160</v>
      </c>
      <c r="U455" s="126"/>
      <c r="V455" s="128">
        <v>1000000</v>
      </c>
      <c r="W455" s="128">
        <v>1000000</v>
      </c>
      <c r="X455" s="126" t="s">
        <v>1209</v>
      </c>
      <c r="Y455" s="126">
        <v>0</v>
      </c>
      <c r="Z455" s="126" t="s">
        <v>694</v>
      </c>
      <c r="AA455" s="126" t="s">
        <v>1</v>
      </c>
      <c r="AB455" s="126" t="s">
        <v>140</v>
      </c>
      <c r="AC455" s="126" t="s">
        <v>162</v>
      </c>
      <c r="AD455" s="127">
        <v>45054</v>
      </c>
      <c r="AE455" s="126"/>
      <c r="AF455" s="127">
        <v>45054</v>
      </c>
      <c r="AG455" s="126"/>
      <c r="AH455" s="126" t="s">
        <v>228</v>
      </c>
      <c r="AI455" s="126" t="s">
        <v>2130</v>
      </c>
    </row>
    <row r="456" spans="1:35" ht="180" x14ac:dyDescent="0.25">
      <c r="A456" s="46" t="str">
        <f t="shared" si="7"/>
        <v>PERECRD020909TRADICIONALNUTRESA</v>
      </c>
      <c r="B456" s="126" t="s">
        <v>10</v>
      </c>
      <c r="C456" s="126">
        <v>25769</v>
      </c>
      <c r="D456" s="126" t="s">
        <v>140</v>
      </c>
      <c r="E456" s="126" t="s">
        <v>177</v>
      </c>
      <c r="F456" s="127">
        <v>44536</v>
      </c>
      <c r="G456" s="126" t="s">
        <v>175</v>
      </c>
      <c r="H456" s="126" t="s">
        <v>176</v>
      </c>
      <c r="I456" s="126">
        <v>1</v>
      </c>
      <c r="J456" s="126" t="s">
        <v>184</v>
      </c>
      <c r="K456" s="126" t="s">
        <v>228</v>
      </c>
      <c r="L456" s="126" t="s">
        <v>2127</v>
      </c>
      <c r="M456" s="126">
        <v>0</v>
      </c>
      <c r="N456" s="126">
        <v>0</v>
      </c>
      <c r="O456" s="126" t="s">
        <v>689</v>
      </c>
      <c r="P456" s="126" t="s">
        <v>172</v>
      </c>
      <c r="Q456" s="126" t="s">
        <v>603</v>
      </c>
      <c r="R456" s="126" t="s">
        <v>603</v>
      </c>
      <c r="S456" s="126" t="s">
        <v>604</v>
      </c>
      <c r="T456" s="126" t="s">
        <v>160</v>
      </c>
      <c r="U456" s="126"/>
      <c r="V456" s="128">
        <v>800000000</v>
      </c>
      <c r="W456" s="128">
        <v>800000000</v>
      </c>
      <c r="X456" s="126" t="s">
        <v>1209</v>
      </c>
      <c r="Y456" s="126">
        <v>0</v>
      </c>
      <c r="Z456" s="126" t="s">
        <v>700</v>
      </c>
      <c r="AA456" s="126" t="s">
        <v>2</v>
      </c>
      <c r="AB456" s="126" t="s">
        <v>140</v>
      </c>
      <c r="AC456" s="126" t="s">
        <v>162</v>
      </c>
      <c r="AD456" s="127">
        <v>44861</v>
      </c>
      <c r="AE456" s="126"/>
      <c r="AF456" s="127">
        <v>44861</v>
      </c>
      <c r="AG456" s="126"/>
      <c r="AH456" s="126" t="s">
        <v>228</v>
      </c>
      <c r="AI456" s="126" t="s">
        <v>2131</v>
      </c>
    </row>
    <row r="457" spans="1:35" ht="180" x14ac:dyDescent="0.25">
      <c r="A457" s="46" t="str">
        <f t="shared" si="7"/>
        <v>PERECRD024981AUTOSERVICIONUTRESA</v>
      </c>
      <c r="B457" s="126" t="s">
        <v>10</v>
      </c>
      <c r="C457" s="126">
        <v>25769</v>
      </c>
      <c r="D457" s="126" t="s">
        <v>140</v>
      </c>
      <c r="E457" s="126" t="s">
        <v>177</v>
      </c>
      <c r="F457" s="127">
        <v>44536</v>
      </c>
      <c r="G457" s="126" t="s">
        <v>175</v>
      </c>
      <c r="H457" s="126" t="s">
        <v>176</v>
      </c>
      <c r="I457" s="126">
        <v>1</v>
      </c>
      <c r="J457" s="126" t="s">
        <v>184</v>
      </c>
      <c r="K457" s="126" t="s">
        <v>228</v>
      </c>
      <c r="L457" s="126" t="s">
        <v>2127</v>
      </c>
      <c r="M457" s="126">
        <v>0</v>
      </c>
      <c r="N457" s="126">
        <v>0</v>
      </c>
      <c r="O457" s="126" t="s">
        <v>689</v>
      </c>
      <c r="P457" s="126" t="s">
        <v>172</v>
      </c>
      <c r="Q457" s="126" t="s">
        <v>513</v>
      </c>
      <c r="R457" s="126" t="s">
        <v>513</v>
      </c>
      <c r="S457" s="126" t="s">
        <v>514</v>
      </c>
      <c r="T457" s="126" t="s">
        <v>160</v>
      </c>
      <c r="U457" s="126"/>
      <c r="V457" s="128">
        <v>100000000</v>
      </c>
      <c r="W457" s="128">
        <v>100000000</v>
      </c>
      <c r="X457" s="126" t="s">
        <v>1209</v>
      </c>
      <c r="Y457" s="126">
        <v>0</v>
      </c>
      <c r="Z457" s="126" t="s">
        <v>355</v>
      </c>
      <c r="AA457" s="126" t="s">
        <v>0</v>
      </c>
      <c r="AB457" s="126" t="s">
        <v>140</v>
      </c>
      <c r="AC457" s="126" t="s">
        <v>162</v>
      </c>
      <c r="AD457" s="127">
        <v>44720</v>
      </c>
      <c r="AE457" s="126"/>
      <c r="AF457" s="127">
        <v>44720</v>
      </c>
      <c r="AG457" s="126"/>
      <c r="AH457" s="126" t="s">
        <v>228</v>
      </c>
      <c r="AI457" s="126" t="s">
        <v>2132</v>
      </c>
    </row>
    <row r="458" spans="1:35" ht="180" x14ac:dyDescent="0.25">
      <c r="A458" s="46" t="str">
        <f t="shared" si="7"/>
        <v>PERECRD023444CADENASNUTRESA</v>
      </c>
      <c r="B458" s="126" t="s">
        <v>10</v>
      </c>
      <c r="C458" s="126">
        <v>25769</v>
      </c>
      <c r="D458" s="126" t="s">
        <v>140</v>
      </c>
      <c r="E458" s="126" t="s">
        <v>177</v>
      </c>
      <c r="F458" s="127">
        <v>44536</v>
      </c>
      <c r="G458" s="126" t="s">
        <v>175</v>
      </c>
      <c r="H458" s="126" t="s">
        <v>176</v>
      </c>
      <c r="I458" s="126">
        <v>1</v>
      </c>
      <c r="J458" s="126" t="s">
        <v>184</v>
      </c>
      <c r="K458" s="126" t="s">
        <v>228</v>
      </c>
      <c r="L458" s="126" t="s">
        <v>2127</v>
      </c>
      <c r="M458" s="126">
        <v>0</v>
      </c>
      <c r="N458" s="126">
        <v>0</v>
      </c>
      <c r="O458" s="126" t="s">
        <v>689</v>
      </c>
      <c r="P458" s="126" t="s">
        <v>172</v>
      </c>
      <c r="Q458" s="126" t="s">
        <v>523</v>
      </c>
      <c r="R458" s="126" t="s">
        <v>523</v>
      </c>
      <c r="S458" s="126" t="s">
        <v>524</v>
      </c>
      <c r="T458" s="126" t="s">
        <v>160</v>
      </c>
      <c r="U458" s="126"/>
      <c r="V458" s="128">
        <v>1000000</v>
      </c>
      <c r="W458" s="128">
        <v>1000000</v>
      </c>
      <c r="X458" s="126" t="s">
        <v>1209</v>
      </c>
      <c r="Y458" s="126">
        <v>0</v>
      </c>
      <c r="Z458" s="126" t="s">
        <v>697</v>
      </c>
      <c r="AA458" s="126" t="s">
        <v>1</v>
      </c>
      <c r="AB458" s="126" t="s">
        <v>140</v>
      </c>
      <c r="AC458" s="126" t="s">
        <v>162</v>
      </c>
      <c r="AD458" s="127">
        <v>45254</v>
      </c>
      <c r="AE458" s="126"/>
      <c r="AF458" s="127">
        <v>45254</v>
      </c>
      <c r="AG458" s="126"/>
      <c r="AH458" s="126" t="s">
        <v>228</v>
      </c>
      <c r="AI458" s="126" t="s">
        <v>2133</v>
      </c>
    </row>
    <row r="459" spans="1:35" ht="180" x14ac:dyDescent="0.25">
      <c r="A459" s="46" t="str">
        <f t="shared" si="7"/>
        <v>PERECRD012466CADENASNUTRESA</v>
      </c>
      <c r="B459" s="126" t="s">
        <v>10</v>
      </c>
      <c r="C459" s="126">
        <v>25769</v>
      </c>
      <c r="D459" s="126" t="s">
        <v>140</v>
      </c>
      <c r="E459" s="126" t="s">
        <v>177</v>
      </c>
      <c r="F459" s="127">
        <v>44536</v>
      </c>
      <c r="G459" s="126" t="s">
        <v>175</v>
      </c>
      <c r="H459" s="126" t="s">
        <v>176</v>
      </c>
      <c r="I459" s="126">
        <v>1</v>
      </c>
      <c r="J459" s="126" t="s">
        <v>184</v>
      </c>
      <c r="K459" s="126" t="s">
        <v>228</v>
      </c>
      <c r="L459" s="126" t="s">
        <v>2127</v>
      </c>
      <c r="M459" s="126">
        <v>0</v>
      </c>
      <c r="N459" s="126">
        <v>0</v>
      </c>
      <c r="O459" s="126" t="s">
        <v>689</v>
      </c>
      <c r="P459" s="126" t="s">
        <v>172</v>
      </c>
      <c r="Q459" s="126" t="s">
        <v>520</v>
      </c>
      <c r="R459" s="126" t="s">
        <v>520</v>
      </c>
      <c r="S459" s="126" t="s">
        <v>521</v>
      </c>
      <c r="T459" s="126" t="s">
        <v>160</v>
      </c>
      <c r="U459" s="126"/>
      <c r="V459" s="128">
        <v>1000000</v>
      </c>
      <c r="W459" s="128">
        <v>1000000</v>
      </c>
      <c r="X459" s="126" t="s">
        <v>1209</v>
      </c>
      <c r="Y459" s="126">
        <v>0</v>
      </c>
      <c r="Z459" s="126" t="s">
        <v>695</v>
      </c>
      <c r="AA459" s="126" t="s">
        <v>1</v>
      </c>
      <c r="AB459" s="126" t="s">
        <v>140</v>
      </c>
      <c r="AC459" s="126" t="s">
        <v>162</v>
      </c>
      <c r="AD459" s="127">
        <v>45232</v>
      </c>
      <c r="AE459" s="126"/>
      <c r="AF459" s="127">
        <v>45232</v>
      </c>
      <c r="AG459" s="126"/>
      <c r="AH459" s="126" t="s">
        <v>228</v>
      </c>
      <c r="AI459" s="126" t="s">
        <v>2134</v>
      </c>
    </row>
    <row r="460" spans="1:35" ht="180" x14ac:dyDescent="0.25">
      <c r="A460" s="46" t="str">
        <f t="shared" si="7"/>
        <v>PERECRD001185CADENASNUTRESA</v>
      </c>
      <c r="B460" s="126" t="s">
        <v>10</v>
      </c>
      <c r="C460" s="126">
        <v>25769</v>
      </c>
      <c r="D460" s="126" t="s">
        <v>140</v>
      </c>
      <c r="E460" s="126" t="s">
        <v>177</v>
      </c>
      <c r="F460" s="127">
        <v>44536</v>
      </c>
      <c r="G460" s="126" t="s">
        <v>175</v>
      </c>
      <c r="H460" s="126" t="s">
        <v>176</v>
      </c>
      <c r="I460" s="126">
        <v>1</v>
      </c>
      <c r="J460" s="126" t="s">
        <v>184</v>
      </c>
      <c r="K460" s="126" t="s">
        <v>228</v>
      </c>
      <c r="L460" s="126" t="s">
        <v>2127</v>
      </c>
      <c r="M460" s="126">
        <v>0</v>
      </c>
      <c r="N460" s="126">
        <v>0</v>
      </c>
      <c r="O460" s="126" t="s">
        <v>689</v>
      </c>
      <c r="P460" s="126" t="s">
        <v>172</v>
      </c>
      <c r="Q460" s="126" t="s">
        <v>356</v>
      </c>
      <c r="R460" s="126" t="s">
        <v>356</v>
      </c>
      <c r="S460" s="126" t="s">
        <v>357</v>
      </c>
      <c r="T460" s="126" t="s">
        <v>163</v>
      </c>
      <c r="U460" s="126"/>
      <c r="V460" s="128">
        <v>1000000</v>
      </c>
      <c r="W460" s="128">
        <v>1000000</v>
      </c>
      <c r="X460" s="126" t="s">
        <v>1209</v>
      </c>
      <c r="Y460" s="126">
        <v>0</v>
      </c>
      <c r="Z460" s="126" t="s">
        <v>692</v>
      </c>
      <c r="AA460" s="126" t="s">
        <v>1</v>
      </c>
      <c r="AB460" s="126" t="s">
        <v>140</v>
      </c>
      <c r="AC460" s="126" t="s">
        <v>162</v>
      </c>
      <c r="AD460" s="127">
        <v>44881</v>
      </c>
      <c r="AE460" s="126"/>
      <c r="AF460" s="127">
        <v>44881</v>
      </c>
      <c r="AG460" s="126"/>
      <c r="AH460" s="126" t="s">
        <v>228</v>
      </c>
      <c r="AI460" s="126" t="s">
        <v>2135</v>
      </c>
    </row>
    <row r="461" spans="1:35" ht="180" x14ac:dyDescent="0.25">
      <c r="A461" s="46" t="str">
        <f t="shared" si="7"/>
        <v>PERECRD010924CADENASNUTRESA</v>
      </c>
      <c r="B461" s="126" t="s">
        <v>10</v>
      </c>
      <c r="C461" s="126">
        <v>25769</v>
      </c>
      <c r="D461" s="126" t="s">
        <v>140</v>
      </c>
      <c r="E461" s="126" t="s">
        <v>177</v>
      </c>
      <c r="F461" s="127">
        <v>44536</v>
      </c>
      <c r="G461" s="126" t="s">
        <v>175</v>
      </c>
      <c r="H461" s="126" t="s">
        <v>176</v>
      </c>
      <c r="I461" s="126">
        <v>1</v>
      </c>
      <c r="J461" s="126" t="s">
        <v>184</v>
      </c>
      <c r="K461" s="126" t="s">
        <v>228</v>
      </c>
      <c r="L461" s="126" t="s">
        <v>2127</v>
      </c>
      <c r="M461" s="126">
        <v>0</v>
      </c>
      <c r="N461" s="126">
        <v>0</v>
      </c>
      <c r="O461" s="126" t="s">
        <v>689</v>
      </c>
      <c r="P461" s="126" t="s">
        <v>172</v>
      </c>
      <c r="Q461" s="126" t="s">
        <v>351</v>
      </c>
      <c r="R461" s="126" t="s">
        <v>351</v>
      </c>
      <c r="S461" s="126" t="s">
        <v>352</v>
      </c>
      <c r="T461" s="126" t="s">
        <v>160</v>
      </c>
      <c r="U461" s="126"/>
      <c r="V461" s="128">
        <v>1000000</v>
      </c>
      <c r="W461" s="128">
        <v>1000000</v>
      </c>
      <c r="X461" s="126" t="s">
        <v>1209</v>
      </c>
      <c r="Y461" s="126">
        <v>0</v>
      </c>
      <c r="Z461" s="126" t="s">
        <v>690</v>
      </c>
      <c r="AA461" s="126" t="s">
        <v>1</v>
      </c>
      <c r="AB461" s="126" t="s">
        <v>140</v>
      </c>
      <c r="AC461" s="126" t="s">
        <v>162</v>
      </c>
      <c r="AD461" s="127">
        <v>45063</v>
      </c>
      <c r="AE461" s="126"/>
      <c r="AF461" s="127">
        <v>45063</v>
      </c>
      <c r="AG461" s="126"/>
      <c r="AH461" s="126" t="s">
        <v>228</v>
      </c>
      <c r="AI461" s="126" t="s">
        <v>2136</v>
      </c>
    </row>
    <row r="462" spans="1:35" ht="180" x14ac:dyDescent="0.25">
      <c r="A462" s="46" t="str">
        <f t="shared" si="7"/>
        <v>PERECRD002384CADENASNUTRESA</v>
      </c>
      <c r="B462" s="126" t="s">
        <v>10</v>
      </c>
      <c r="C462" s="126">
        <v>25769</v>
      </c>
      <c r="D462" s="126" t="s">
        <v>140</v>
      </c>
      <c r="E462" s="126" t="s">
        <v>177</v>
      </c>
      <c r="F462" s="127">
        <v>44536</v>
      </c>
      <c r="G462" s="126" t="s">
        <v>175</v>
      </c>
      <c r="H462" s="126" t="s">
        <v>176</v>
      </c>
      <c r="I462" s="126">
        <v>1</v>
      </c>
      <c r="J462" s="126" t="s">
        <v>184</v>
      </c>
      <c r="K462" s="126" t="s">
        <v>228</v>
      </c>
      <c r="L462" s="126" t="s">
        <v>2127</v>
      </c>
      <c r="M462" s="126">
        <v>0</v>
      </c>
      <c r="N462" s="126">
        <v>0</v>
      </c>
      <c r="O462" s="126" t="s">
        <v>689</v>
      </c>
      <c r="P462" s="126" t="s">
        <v>172</v>
      </c>
      <c r="Q462" s="126" t="s">
        <v>361</v>
      </c>
      <c r="R462" s="126" t="s">
        <v>361</v>
      </c>
      <c r="S462" s="126" t="s">
        <v>362</v>
      </c>
      <c r="T462" s="126" t="s">
        <v>160</v>
      </c>
      <c r="U462" s="126"/>
      <c r="V462" s="128">
        <v>1000000</v>
      </c>
      <c r="W462" s="128">
        <v>1000000</v>
      </c>
      <c r="X462" s="126" t="s">
        <v>1209</v>
      </c>
      <c r="Y462" s="126">
        <v>0</v>
      </c>
      <c r="Z462" s="126" t="s">
        <v>693</v>
      </c>
      <c r="AA462" s="126" t="s">
        <v>1</v>
      </c>
      <c r="AB462" s="126" t="s">
        <v>140</v>
      </c>
      <c r="AC462" s="126" t="s">
        <v>162</v>
      </c>
      <c r="AD462" s="127">
        <v>44794</v>
      </c>
      <c r="AE462" s="126"/>
      <c r="AF462" s="127">
        <v>44794</v>
      </c>
      <c r="AG462" s="126"/>
      <c r="AH462" s="126" t="s">
        <v>228</v>
      </c>
      <c r="AI462" s="126" t="s">
        <v>2137</v>
      </c>
    </row>
    <row r="463" spans="1:35" ht="180" x14ac:dyDescent="0.25">
      <c r="A463" s="46" t="str">
        <f t="shared" si="7"/>
        <v>PERECRD001182CADENASNUTRESA</v>
      </c>
      <c r="B463" s="126" t="s">
        <v>10</v>
      </c>
      <c r="C463" s="126">
        <v>25769</v>
      </c>
      <c r="D463" s="126" t="s">
        <v>140</v>
      </c>
      <c r="E463" s="126" t="s">
        <v>177</v>
      </c>
      <c r="F463" s="127">
        <v>44536</v>
      </c>
      <c r="G463" s="126" t="s">
        <v>175</v>
      </c>
      <c r="H463" s="126" t="s">
        <v>176</v>
      </c>
      <c r="I463" s="126">
        <v>1</v>
      </c>
      <c r="J463" s="126" t="s">
        <v>184</v>
      </c>
      <c r="K463" s="126" t="s">
        <v>228</v>
      </c>
      <c r="L463" s="126" t="s">
        <v>2127</v>
      </c>
      <c r="M463" s="126">
        <v>0</v>
      </c>
      <c r="N463" s="126">
        <v>0</v>
      </c>
      <c r="O463" s="126" t="s">
        <v>689</v>
      </c>
      <c r="P463" s="126" t="s">
        <v>172</v>
      </c>
      <c r="Q463" s="126" t="s">
        <v>365</v>
      </c>
      <c r="R463" s="126" t="s">
        <v>365</v>
      </c>
      <c r="S463" s="126" t="s">
        <v>366</v>
      </c>
      <c r="T463" s="126" t="s">
        <v>160</v>
      </c>
      <c r="U463" s="126"/>
      <c r="V463" s="128">
        <v>1000000</v>
      </c>
      <c r="W463" s="128">
        <v>1000000</v>
      </c>
      <c r="X463" s="126" t="s">
        <v>1209</v>
      </c>
      <c r="Y463" s="126">
        <v>0</v>
      </c>
      <c r="Z463" s="126" t="s">
        <v>698</v>
      </c>
      <c r="AA463" s="126" t="s">
        <v>1</v>
      </c>
      <c r="AB463" s="126" t="s">
        <v>140</v>
      </c>
      <c r="AC463" s="126" t="s">
        <v>162</v>
      </c>
      <c r="AD463" s="127">
        <v>45067</v>
      </c>
      <c r="AE463" s="126"/>
      <c r="AF463" s="127">
        <v>45067</v>
      </c>
      <c r="AG463" s="126"/>
      <c r="AH463" s="126" t="s">
        <v>228</v>
      </c>
      <c r="AI463" s="126" t="s">
        <v>2138</v>
      </c>
    </row>
    <row r="464" spans="1:35" ht="180" x14ac:dyDescent="0.25">
      <c r="A464" s="46" t="str">
        <f t="shared" si="7"/>
        <v>PERECRD024980AUTOSERVICIONUTRESA</v>
      </c>
      <c r="B464" s="126" t="s">
        <v>10</v>
      </c>
      <c r="C464" s="126">
        <v>25769</v>
      </c>
      <c r="D464" s="126" t="s">
        <v>140</v>
      </c>
      <c r="E464" s="126" t="s">
        <v>177</v>
      </c>
      <c r="F464" s="127">
        <v>44536</v>
      </c>
      <c r="G464" s="126" t="s">
        <v>175</v>
      </c>
      <c r="H464" s="126" t="s">
        <v>176</v>
      </c>
      <c r="I464" s="126">
        <v>1</v>
      </c>
      <c r="J464" s="126" t="s">
        <v>184</v>
      </c>
      <c r="K464" s="126" t="s">
        <v>228</v>
      </c>
      <c r="L464" s="126" t="s">
        <v>2127</v>
      </c>
      <c r="M464" s="126">
        <v>0</v>
      </c>
      <c r="N464" s="126">
        <v>0</v>
      </c>
      <c r="O464" s="126" t="s">
        <v>689</v>
      </c>
      <c r="P464" s="126" t="s">
        <v>172</v>
      </c>
      <c r="Q464" s="126" t="s">
        <v>666</v>
      </c>
      <c r="R464" s="126" t="s">
        <v>666</v>
      </c>
      <c r="S464" s="126" t="s">
        <v>667</v>
      </c>
      <c r="T464" s="126" t="s">
        <v>160</v>
      </c>
      <c r="U464" s="126"/>
      <c r="V464" s="128">
        <v>100000000</v>
      </c>
      <c r="W464" s="128">
        <v>100000000</v>
      </c>
      <c r="X464" s="126" t="s">
        <v>1209</v>
      </c>
      <c r="Y464" s="126">
        <v>0</v>
      </c>
      <c r="Z464" s="126" t="s">
        <v>699</v>
      </c>
      <c r="AA464" s="126" t="s">
        <v>0</v>
      </c>
      <c r="AB464" s="126" t="s">
        <v>140</v>
      </c>
      <c r="AC464" s="126" t="s">
        <v>162</v>
      </c>
      <c r="AD464" s="127">
        <v>44648</v>
      </c>
      <c r="AE464" s="126"/>
      <c r="AF464" s="127">
        <v>44648</v>
      </c>
      <c r="AG464" s="126"/>
      <c r="AH464" s="126" t="s">
        <v>228</v>
      </c>
      <c r="AI464" s="126" t="s">
        <v>2139</v>
      </c>
    </row>
    <row r="465" spans="1:35" ht="180" x14ac:dyDescent="0.25">
      <c r="A465" s="46" t="str">
        <f t="shared" si="7"/>
        <v>PERECRD025004TRADICIONALNUTRESA</v>
      </c>
      <c r="B465" s="126" t="s">
        <v>10</v>
      </c>
      <c r="C465" s="126">
        <v>25776</v>
      </c>
      <c r="D465" s="126" t="s">
        <v>140</v>
      </c>
      <c r="E465" s="126" t="s">
        <v>177</v>
      </c>
      <c r="F465" s="127">
        <v>44537</v>
      </c>
      <c r="G465" s="126" t="s">
        <v>175</v>
      </c>
      <c r="H465" s="126" t="s">
        <v>176</v>
      </c>
      <c r="I465" s="126">
        <v>1</v>
      </c>
      <c r="J465" s="126" t="s">
        <v>184</v>
      </c>
      <c r="K465" s="126" t="s">
        <v>228</v>
      </c>
      <c r="L465" s="126" t="s">
        <v>2140</v>
      </c>
      <c r="M465" s="126">
        <v>0</v>
      </c>
      <c r="N465" s="126">
        <v>348650672</v>
      </c>
      <c r="O465" s="126" t="s">
        <v>701</v>
      </c>
      <c r="P465" s="126" t="s">
        <v>171</v>
      </c>
      <c r="Q465" s="126" t="s">
        <v>485</v>
      </c>
      <c r="R465" s="126" t="s">
        <v>485</v>
      </c>
      <c r="S465" s="126" t="s">
        <v>1245</v>
      </c>
      <c r="T465" s="126" t="s">
        <v>160</v>
      </c>
      <c r="U465" s="126"/>
      <c r="V465" s="128">
        <v>78000000</v>
      </c>
      <c r="W465" s="128">
        <v>78000000</v>
      </c>
      <c r="X465" s="126" t="s">
        <v>1209</v>
      </c>
      <c r="Y465" s="126">
        <v>0</v>
      </c>
      <c r="Z465" s="126">
        <v>0</v>
      </c>
      <c r="AA465" s="126" t="s">
        <v>2</v>
      </c>
      <c r="AB465" s="126" t="s">
        <v>140</v>
      </c>
      <c r="AC465" s="126" t="s">
        <v>162</v>
      </c>
      <c r="AD465" s="126"/>
      <c r="AE465" s="126"/>
      <c r="AF465" s="126"/>
      <c r="AG465" s="126"/>
      <c r="AH465" s="126" t="s">
        <v>228</v>
      </c>
      <c r="AI465" s="126" t="s">
        <v>2141</v>
      </c>
    </row>
    <row r="466" spans="1:35" ht="210" x14ac:dyDescent="0.25">
      <c r="A466" s="46" t="str">
        <f t="shared" si="7"/>
        <v>PERECRD024908AUTOSERVICIONUTRESA</v>
      </c>
      <c r="B466" s="126" t="s">
        <v>10</v>
      </c>
      <c r="C466" s="126">
        <v>25785</v>
      </c>
      <c r="D466" s="126" t="s">
        <v>140</v>
      </c>
      <c r="E466" s="126" t="s">
        <v>177</v>
      </c>
      <c r="F466" s="127">
        <v>44537</v>
      </c>
      <c r="G466" s="126" t="s">
        <v>175</v>
      </c>
      <c r="H466" s="126" t="s">
        <v>176</v>
      </c>
      <c r="I466" s="126">
        <v>1</v>
      </c>
      <c r="J466" s="126" t="s">
        <v>184</v>
      </c>
      <c r="K466" s="126" t="s">
        <v>228</v>
      </c>
      <c r="L466" s="126" t="s">
        <v>2142</v>
      </c>
      <c r="M466" s="126">
        <v>0</v>
      </c>
      <c r="N466" s="126">
        <v>0</v>
      </c>
      <c r="O466" s="126" t="s">
        <v>702</v>
      </c>
      <c r="P466" s="126" t="s">
        <v>172</v>
      </c>
      <c r="Q466" s="126" t="s">
        <v>495</v>
      </c>
      <c r="R466" s="126" t="s">
        <v>495</v>
      </c>
      <c r="S466" s="126" t="s">
        <v>496</v>
      </c>
      <c r="T466" s="126" t="s">
        <v>160</v>
      </c>
      <c r="U466" s="126"/>
      <c r="V466" s="128">
        <v>10000000</v>
      </c>
      <c r="W466" s="128">
        <v>10000000</v>
      </c>
      <c r="X466" s="126" t="s">
        <v>1209</v>
      </c>
      <c r="Y466" s="126">
        <v>0</v>
      </c>
      <c r="Z466" s="126" t="s">
        <v>704</v>
      </c>
      <c r="AA466" s="126" t="s">
        <v>0</v>
      </c>
      <c r="AB466" s="126" t="s">
        <v>140</v>
      </c>
      <c r="AC466" s="126" t="s">
        <v>162</v>
      </c>
      <c r="AD466" s="127">
        <v>45183</v>
      </c>
      <c r="AE466" s="126"/>
      <c r="AF466" s="127">
        <v>45183</v>
      </c>
      <c r="AG466" s="126"/>
      <c r="AH466" s="126" t="s">
        <v>228</v>
      </c>
      <c r="AI466" s="126" t="s">
        <v>2143</v>
      </c>
    </row>
    <row r="467" spans="1:35" ht="210" x14ac:dyDescent="0.25">
      <c r="A467" s="46" t="str">
        <f t="shared" si="7"/>
        <v>PERECRD024955AUTOSERVICIONUTRESA</v>
      </c>
      <c r="B467" s="126" t="s">
        <v>10</v>
      </c>
      <c r="C467" s="126">
        <v>25785</v>
      </c>
      <c r="D467" s="126" t="s">
        <v>140</v>
      </c>
      <c r="E467" s="126" t="s">
        <v>177</v>
      </c>
      <c r="F467" s="127">
        <v>44537</v>
      </c>
      <c r="G467" s="126" t="s">
        <v>175</v>
      </c>
      <c r="H467" s="126" t="s">
        <v>176</v>
      </c>
      <c r="I467" s="126">
        <v>1</v>
      </c>
      <c r="J467" s="126" t="s">
        <v>184</v>
      </c>
      <c r="K467" s="126" t="s">
        <v>228</v>
      </c>
      <c r="L467" s="126" t="s">
        <v>2142</v>
      </c>
      <c r="M467" s="126">
        <v>0</v>
      </c>
      <c r="N467" s="126">
        <v>0</v>
      </c>
      <c r="O467" s="126" t="s">
        <v>702</v>
      </c>
      <c r="P467" s="126" t="s">
        <v>172</v>
      </c>
      <c r="Q467" s="126" t="s">
        <v>500</v>
      </c>
      <c r="R467" s="126" t="s">
        <v>500</v>
      </c>
      <c r="S467" s="126" t="s">
        <v>2144</v>
      </c>
      <c r="T467" s="126" t="s">
        <v>160</v>
      </c>
      <c r="U467" s="126"/>
      <c r="V467" s="128">
        <v>10000000</v>
      </c>
      <c r="W467" s="128">
        <v>10000000</v>
      </c>
      <c r="X467" s="126" t="s">
        <v>1209</v>
      </c>
      <c r="Y467" s="126">
        <v>0</v>
      </c>
      <c r="Z467" s="126" t="s">
        <v>703</v>
      </c>
      <c r="AA467" s="126" t="s">
        <v>0</v>
      </c>
      <c r="AB467" s="126" t="s">
        <v>140</v>
      </c>
      <c r="AC467" s="126" t="s">
        <v>162</v>
      </c>
      <c r="AD467" s="127">
        <v>45042</v>
      </c>
      <c r="AE467" s="126"/>
      <c r="AF467" s="127">
        <v>45042</v>
      </c>
      <c r="AG467" s="126"/>
      <c r="AH467" s="126" t="s">
        <v>228</v>
      </c>
      <c r="AI467" s="126" t="s">
        <v>2145</v>
      </c>
    </row>
    <row r="468" spans="1:35" ht="210" x14ac:dyDescent="0.25">
      <c r="A468" s="46" t="str">
        <f t="shared" si="7"/>
        <v>PERECRD024956AUTOSERVICIONUTRESA</v>
      </c>
      <c r="B468" s="126" t="s">
        <v>10</v>
      </c>
      <c r="C468" s="126">
        <v>25785</v>
      </c>
      <c r="D468" s="126" t="s">
        <v>140</v>
      </c>
      <c r="E468" s="126" t="s">
        <v>177</v>
      </c>
      <c r="F468" s="127">
        <v>44537</v>
      </c>
      <c r="G468" s="126" t="s">
        <v>175</v>
      </c>
      <c r="H468" s="126" t="s">
        <v>176</v>
      </c>
      <c r="I468" s="126">
        <v>1</v>
      </c>
      <c r="J468" s="126" t="s">
        <v>184</v>
      </c>
      <c r="K468" s="126" t="s">
        <v>228</v>
      </c>
      <c r="L468" s="126" t="s">
        <v>2142</v>
      </c>
      <c r="M468" s="126">
        <v>0</v>
      </c>
      <c r="N468" s="126">
        <v>0</v>
      </c>
      <c r="O468" s="126" t="s">
        <v>702</v>
      </c>
      <c r="P468" s="126" t="s">
        <v>172</v>
      </c>
      <c r="Q468" s="126" t="s">
        <v>498</v>
      </c>
      <c r="R468" s="126" t="s">
        <v>498</v>
      </c>
      <c r="S468" s="126" t="s">
        <v>499</v>
      </c>
      <c r="T468" s="126" t="s">
        <v>160</v>
      </c>
      <c r="U468" s="126"/>
      <c r="V468" s="128">
        <v>10000000</v>
      </c>
      <c r="W468" s="128">
        <v>10000000</v>
      </c>
      <c r="X468" s="126" t="s">
        <v>1209</v>
      </c>
      <c r="Y468" s="126">
        <v>0</v>
      </c>
      <c r="Z468" s="126" t="s">
        <v>700</v>
      </c>
      <c r="AA468" s="126" t="s">
        <v>0</v>
      </c>
      <c r="AB468" s="126" t="s">
        <v>140</v>
      </c>
      <c r="AC468" s="126" t="s">
        <v>162</v>
      </c>
      <c r="AD468" s="127">
        <v>44861</v>
      </c>
      <c r="AE468" s="126"/>
      <c r="AF468" s="127">
        <v>44861</v>
      </c>
      <c r="AG468" s="126"/>
      <c r="AH468" s="126" t="s">
        <v>228</v>
      </c>
      <c r="AI468" s="126" t="s">
        <v>2146</v>
      </c>
    </row>
    <row r="469" spans="1:35" ht="150" x14ac:dyDescent="0.25">
      <c r="A469" s="46" t="str">
        <f t="shared" si="7"/>
        <v>PERECRD024874AUTOSERVICIONUTRESA</v>
      </c>
      <c r="B469" s="126" t="s">
        <v>10</v>
      </c>
      <c r="C469" s="126">
        <v>25798</v>
      </c>
      <c r="D469" s="126" t="s">
        <v>140</v>
      </c>
      <c r="E469" s="126" t="s">
        <v>177</v>
      </c>
      <c r="F469" s="127">
        <v>44541</v>
      </c>
      <c r="G469" s="126" t="s">
        <v>175</v>
      </c>
      <c r="H469" s="126" t="s">
        <v>176</v>
      </c>
      <c r="I469" s="126">
        <v>1</v>
      </c>
      <c r="J469" s="126" t="s">
        <v>184</v>
      </c>
      <c r="K469" s="126" t="s">
        <v>228</v>
      </c>
      <c r="L469" s="126" t="s">
        <v>2147</v>
      </c>
      <c r="M469" s="126">
        <v>0</v>
      </c>
      <c r="N469" s="126">
        <v>0</v>
      </c>
      <c r="O469" s="126" t="s">
        <v>2148</v>
      </c>
      <c r="P469" s="126" t="s">
        <v>168</v>
      </c>
      <c r="Q469" s="126" t="s">
        <v>623</v>
      </c>
      <c r="R469" s="126" t="s">
        <v>623</v>
      </c>
      <c r="S469" s="126" t="s">
        <v>2149</v>
      </c>
      <c r="T469" s="126" t="s">
        <v>160</v>
      </c>
      <c r="U469" s="126"/>
      <c r="V469" s="128">
        <v>30000000</v>
      </c>
      <c r="W469" s="128">
        <v>30000000</v>
      </c>
      <c r="X469" s="126" t="s">
        <v>1209</v>
      </c>
      <c r="Y469" s="126">
        <v>0</v>
      </c>
      <c r="Z469" s="126">
        <v>0</v>
      </c>
      <c r="AA469" s="126" t="s">
        <v>0</v>
      </c>
      <c r="AB469" s="126" t="s">
        <v>140</v>
      </c>
      <c r="AC469" s="126" t="s">
        <v>162</v>
      </c>
      <c r="AD469" s="126"/>
      <c r="AE469" s="126"/>
      <c r="AF469" s="126"/>
      <c r="AG469" s="126"/>
      <c r="AH469" s="126" t="s">
        <v>228</v>
      </c>
      <c r="AI469" s="126" t="s">
        <v>2150</v>
      </c>
    </row>
    <row r="470" spans="1:35" ht="165" x14ac:dyDescent="0.25">
      <c r="A470" s="46" t="str">
        <f t="shared" si="7"/>
        <v>PERECRD025008TRADICIONALNUTRESA</v>
      </c>
      <c r="B470" s="126" t="s">
        <v>10</v>
      </c>
      <c r="C470" s="126">
        <v>25810</v>
      </c>
      <c r="D470" s="126" t="s">
        <v>140</v>
      </c>
      <c r="E470" s="126" t="s">
        <v>177</v>
      </c>
      <c r="F470" s="127">
        <v>44544</v>
      </c>
      <c r="G470" s="126" t="s">
        <v>175</v>
      </c>
      <c r="H470" s="126" t="s">
        <v>176</v>
      </c>
      <c r="I470" s="126">
        <v>1</v>
      </c>
      <c r="J470" s="126" t="s">
        <v>184</v>
      </c>
      <c r="K470" s="126" t="s">
        <v>228</v>
      </c>
      <c r="L470" s="126" t="s">
        <v>2151</v>
      </c>
      <c r="M470" s="126">
        <v>0</v>
      </c>
      <c r="N470" s="126">
        <v>52800017822</v>
      </c>
      <c r="O470" s="126" t="s">
        <v>705</v>
      </c>
      <c r="P470" s="126" t="s">
        <v>171</v>
      </c>
      <c r="Q470" s="126" t="s">
        <v>486</v>
      </c>
      <c r="R470" s="126" t="s">
        <v>486</v>
      </c>
      <c r="S470" s="126" t="s">
        <v>1251</v>
      </c>
      <c r="T470" s="126" t="s">
        <v>160</v>
      </c>
      <c r="U470" s="126"/>
      <c r="V470" s="128">
        <v>1400000000</v>
      </c>
      <c r="W470" s="128">
        <v>1400000000</v>
      </c>
      <c r="X470" s="126" t="s">
        <v>1209</v>
      </c>
      <c r="Y470" s="126">
        <v>0</v>
      </c>
      <c r="Z470" s="126">
        <v>0</v>
      </c>
      <c r="AA470" s="126" t="s">
        <v>2</v>
      </c>
      <c r="AB470" s="126" t="s">
        <v>140</v>
      </c>
      <c r="AC470" s="126" t="s">
        <v>162</v>
      </c>
      <c r="AD470" s="126"/>
      <c r="AE470" s="126"/>
      <c r="AF470" s="126"/>
      <c r="AG470" s="126"/>
      <c r="AH470" s="126" t="s">
        <v>228</v>
      </c>
      <c r="AI470" s="126" t="s">
        <v>2152</v>
      </c>
    </row>
    <row r="471" spans="1:35" ht="165" x14ac:dyDescent="0.25">
      <c r="A471" s="46" t="str">
        <f t="shared" si="7"/>
        <v>PERECRD025010TRADICIONALNUTRESA</v>
      </c>
      <c r="B471" s="126" t="s">
        <v>10</v>
      </c>
      <c r="C471" s="126">
        <v>25810</v>
      </c>
      <c r="D471" s="126" t="s">
        <v>140</v>
      </c>
      <c r="E471" s="126" t="s">
        <v>177</v>
      </c>
      <c r="F471" s="127">
        <v>44544</v>
      </c>
      <c r="G471" s="126" t="s">
        <v>175</v>
      </c>
      <c r="H471" s="126" t="s">
        <v>176</v>
      </c>
      <c r="I471" s="126">
        <v>1</v>
      </c>
      <c r="J471" s="126" t="s">
        <v>184</v>
      </c>
      <c r="K471" s="126" t="s">
        <v>228</v>
      </c>
      <c r="L471" s="126" t="s">
        <v>2151</v>
      </c>
      <c r="M471" s="126">
        <v>0</v>
      </c>
      <c r="N471" s="126">
        <v>52800017822</v>
      </c>
      <c r="O471" s="126" t="s">
        <v>705</v>
      </c>
      <c r="P471" s="126" t="s">
        <v>171</v>
      </c>
      <c r="Q471" s="126" t="s">
        <v>488</v>
      </c>
      <c r="R471" s="126" t="s">
        <v>488</v>
      </c>
      <c r="S471" s="126" t="s">
        <v>1255</v>
      </c>
      <c r="T471" s="126" t="s">
        <v>160</v>
      </c>
      <c r="U471" s="126"/>
      <c r="V471" s="128">
        <v>900000000</v>
      </c>
      <c r="W471" s="128">
        <v>900000000</v>
      </c>
      <c r="X471" s="126" t="s">
        <v>1209</v>
      </c>
      <c r="Y471" s="126">
        <v>0</v>
      </c>
      <c r="Z471" s="126">
        <v>0</v>
      </c>
      <c r="AA471" s="126" t="s">
        <v>2</v>
      </c>
      <c r="AB471" s="126" t="s">
        <v>140</v>
      </c>
      <c r="AC471" s="126" t="s">
        <v>162</v>
      </c>
      <c r="AD471" s="126"/>
      <c r="AE471" s="126"/>
      <c r="AF471" s="126"/>
      <c r="AG471" s="126"/>
      <c r="AH471" s="126" t="s">
        <v>228</v>
      </c>
      <c r="AI471" s="126" t="s">
        <v>2153</v>
      </c>
    </row>
    <row r="472" spans="1:35" ht="165" x14ac:dyDescent="0.25">
      <c r="A472" s="46" t="str">
        <f t="shared" si="7"/>
        <v>PERECRD025009TRADICIONALNUTRESA</v>
      </c>
      <c r="B472" s="126" t="s">
        <v>10</v>
      </c>
      <c r="C472" s="126">
        <v>25810</v>
      </c>
      <c r="D472" s="126" t="s">
        <v>140</v>
      </c>
      <c r="E472" s="126" t="s">
        <v>177</v>
      </c>
      <c r="F472" s="127">
        <v>44544</v>
      </c>
      <c r="G472" s="126" t="s">
        <v>175</v>
      </c>
      <c r="H472" s="126" t="s">
        <v>176</v>
      </c>
      <c r="I472" s="126">
        <v>1</v>
      </c>
      <c r="J472" s="126" t="s">
        <v>184</v>
      </c>
      <c r="K472" s="126" t="s">
        <v>228</v>
      </c>
      <c r="L472" s="126" t="s">
        <v>2151</v>
      </c>
      <c r="M472" s="126">
        <v>0</v>
      </c>
      <c r="N472" s="126">
        <v>52800017822</v>
      </c>
      <c r="O472" s="126" t="s">
        <v>705</v>
      </c>
      <c r="P472" s="126" t="s">
        <v>171</v>
      </c>
      <c r="Q472" s="126" t="s">
        <v>487</v>
      </c>
      <c r="R472" s="126" t="s">
        <v>487</v>
      </c>
      <c r="S472" s="126" t="s">
        <v>1253</v>
      </c>
      <c r="T472" s="126" t="s">
        <v>160</v>
      </c>
      <c r="U472" s="126"/>
      <c r="V472" s="128">
        <v>700000000</v>
      </c>
      <c r="W472" s="128">
        <v>700000000</v>
      </c>
      <c r="X472" s="126" t="s">
        <v>1209</v>
      </c>
      <c r="Y472" s="126">
        <v>0</v>
      </c>
      <c r="Z472" s="126">
        <v>0</v>
      </c>
      <c r="AA472" s="126" t="s">
        <v>2</v>
      </c>
      <c r="AB472" s="126" t="s">
        <v>140</v>
      </c>
      <c r="AC472" s="126" t="s">
        <v>162</v>
      </c>
      <c r="AD472" s="126"/>
      <c r="AE472" s="126"/>
      <c r="AF472" s="126"/>
      <c r="AG472" s="126"/>
      <c r="AH472" s="126" t="s">
        <v>228</v>
      </c>
      <c r="AI472" s="126" t="s">
        <v>2154</v>
      </c>
    </row>
    <row r="473" spans="1:35" ht="165" x14ac:dyDescent="0.25">
      <c r="A473" s="46" t="str">
        <f t="shared" si="7"/>
        <v>PERECRD025002AUTOSERVICIONUTRESA</v>
      </c>
      <c r="B473" s="126" t="s">
        <v>10</v>
      </c>
      <c r="C473" s="126">
        <v>25811</v>
      </c>
      <c r="D473" s="126" t="s">
        <v>140</v>
      </c>
      <c r="E473" s="126" t="s">
        <v>177</v>
      </c>
      <c r="F473" s="127">
        <v>44544</v>
      </c>
      <c r="G473" s="126" t="s">
        <v>175</v>
      </c>
      <c r="H473" s="126" t="s">
        <v>176</v>
      </c>
      <c r="I473" s="126">
        <v>1</v>
      </c>
      <c r="J473" s="126" t="s">
        <v>184</v>
      </c>
      <c r="K473" s="126" t="s">
        <v>228</v>
      </c>
      <c r="L473" s="126" t="s">
        <v>2155</v>
      </c>
      <c r="M473" s="126">
        <v>0</v>
      </c>
      <c r="N473" s="126">
        <v>52800017822</v>
      </c>
      <c r="O473" s="126" t="s">
        <v>706</v>
      </c>
      <c r="P473" s="126" t="s">
        <v>171</v>
      </c>
      <c r="Q473" s="126" t="s">
        <v>491</v>
      </c>
      <c r="R473" s="126" t="s">
        <v>491</v>
      </c>
      <c r="S473" s="126" t="s">
        <v>492</v>
      </c>
      <c r="T473" s="126" t="s">
        <v>160</v>
      </c>
      <c r="U473" s="126"/>
      <c r="V473" s="128">
        <v>240000000</v>
      </c>
      <c r="W473" s="128">
        <v>240000000</v>
      </c>
      <c r="X473" s="126" t="s">
        <v>1209</v>
      </c>
      <c r="Y473" s="126">
        <v>0</v>
      </c>
      <c r="Z473" s="126">
        <v>0</v>
      </c>
      <c r="AA473" s="126" t="s">
        <v>0</v>
      </c>
      <c r="AB473" s="126" t="s">
        <v>140</v>
      </c>
      <c r="AC473" s="126" t="s">
        <v>162</v>
      </c>
      <c r="AD473" s="126"/>
      <c r="AE473" s="126"/>
      <c r="AF473" s="126"/>
      <c r="AG473" s="126"/>
      <c r="AH473" s="126" t="s">
        <v>228</v>
      </c>
      <c r="AI473" s="126" t="s">
        <v>2156</v>
      </c>
    </row>
    <row r="474" spans="1:35" ht="165" x14ac:dyDescent="0.25">
      <c r="A474" s="46" t="str">
        <f t="shared" si="7"/>
        <v>PERECRD025001AUTOSERVICIONUTRESA</v>
      </c>
      <c r="B474" s="126" t="s">
        <v>10</v>
      </c>
      <c r="C474" s="126">
        <v>25811</v>
      </c>
      <c r="D474" s="126" t="s">
        <v>140</v>
      </c>
      <c r="E474" s="126" t="s">
        <v>177</v>
      </c>
      <c r="F474" s="127">
        <v>44544</v>
      </c>
      <c r="G474" s="126" t="s">
        <v>175</v>
      </c>
      <c r="H474" s="126" t="s">
        <v>176</v>
      </c>
      <c r="I474" s="126">
        <v>1</v>
      </c>
      <c r="J474" s="126" t="s">
        <v>184</v>
      </c>
      <c r="K474" s="126" t="s">
        <v>228</v>
      </c>
      <c r="L474" s="126" t="s">
        <v>2155</v>
      </c>
      <c r="M474" s="126">
        <v>0</v>
      </c>
      <c r="N474" s="126">
        <v>52800017822</v>
      </c>
      <c r="O474" s="126" t="s">
        <v>706</v>
      </c>
      <c r="P474" s="126" t="s">
        <v>171</v>
      </c>
      <c r="Q474" s="126" t="s">
        <v>489</v>
      </c>
      <c r="R474" s="126" t="s">
        <v>489</v>
      </c>
      <c r="S474" s="126" t="s">
        <v>490</v>
      </c>
      <c r="T474" s="126" t="s">
        <v>160</v>
      </c>
      <c r="U474" s="126"/>
      <c r="V474" s="128">
        <v>240000000</v>
      </c>
      <c r="W474" s="128">
        <v>240000000</v>
      </c>
      <c r="X474" s="126" t="s">
        <v>1209</v>
      </c>
      <c r="Y474" s="126">
        <v>0</v>
      </c>
      <c r="Z474" s="126">
        <v>0</v>
      </c>
      <c r="AA474" s="126" t="s">
        <v>0</v>
      </c>
      <c r="AB474" s="126" t="s">
        <v>140</v>
      </c>
      <c r="AC474" s="126" t="s">
        <v>162</v>
      </c>
      <c r="AD474" s="126"/>
      <c r="AE474" s="126"/>
      <c r="AF474" s="126"/>
      <c r="AG474" s="126"/>
      <c r="AH474" s="126" t="s">
        <v>228</v>
      </c>
      <c r="AI474" s="126" t="s">
        <v>2157</v>
      </c>
    </row>
    <row r="475" spans="1:35" ht="180" x14ac:dyDescent="0.25">
      <c r="A475" s="46" t="str">
        <f t="shared" si="7"/>
        <v>PERECRD025006TRADICIONALNUTRESA</v>
      </c>
      <c r="B475" s="126" t="s">
        <v>10</v>
      </c>
      <c r="C475" s="126">
        <v>25820</v>
      </c>
      <c r="D475" s="126" t="s">
        <v>140</v>
      </c>
      <c r="E475" s="126" t="s">
        <v>177</v>
      </c>
      <c r="F475" s="127">
        <v>44545</v>
      </c>
      <c r="G475" s="126" t="s">
        <v>175</v>
      </c>
      <c r="H475" s="126" t="s">
        <v>176</v>
      </c>
      <c r="I475" s="126">
        <v>1</v>
      </c>
      <c r="J475" s="126" t="s">
        <v>184</v>
      </c>
      <c r="K475" s="126" t="s">
        <v>228</v>
      </c>
      <c r="L475" s="126" t="s">
        <v>2158</v>
      </c>
      <c r="M475" s="126">
        <v>0</v>
      </c>
      <c r="N475" s="126">
        <v>348650876</v>
      </c>
      <c r="O475" s="126" t="s">
        <v>790</v>
      </c>
      <c r="P475" s="126" t="s">
        <v>171</v>
      </c>
      <c r="Q475" s="126" t="s">
        <v>579</v>
      </c>
      <c r="R475" s="126" t="s">
        <v>579</v>
      </c>
      <c r="S475" s="126" t="s">
        <v>1266</v>
      </c>
      <c r="T475" s="126" t="s">
        <v>160</v>
      </c>
      <c r="U475" s="126"/>
      <c r="V475" s="128">
        <v>78000000</v>
      </c>
      <c r="W475" s="128">
        <v>78000000</v>
      </c>
      <c r="X475" s="126" t="s">
        <v>1209</v>
      </c>
      <c r="Y475" s="126">
        <v>0</v>
      </c>
      <c r="Z475" s="126">
        <v>0</v>
      </c>
      <c r="AA475" s="126" t="s">
        <v>2</v>
      </c>
      <c r="AB475" s="126" t="s">
        <v>140</v>
      </c>
      <c r="AC475" s="126" t="s">
        <v>162</v>
      </c>
      <c r="AD475" s="126"/>
      <c r="AE475" s="126"/>
      <c r="AF475" s="126"/>
      <c r="AG475" s="126"/>
      <c r="AH475" s="126" t="s">
        <v>228</v>
      </c>
      <c r="AI475" s="126" t="s">
        <v>2159</v>
      </c>
    </row>
    <row r="476" spans="1:35" ht="180" x14ac:dyDescent="0.25">
      <c r="A476" s="46" t="str">
        <f t="shared" si="7"/>
        <v>PERECRD012718TRADICIONALNUTRESA</v>
      </c>
      <c r="B476" s="126" t="s">
        <v>10</v>
      </c>
      <c r="C476" s="126">
        <v>25822</v>
      </c>
      <c r="D476" s="126" t="s">
        <v>140</v>
      </c>
      <c r="E476" s="126" t="s">
        <v>177</v>
      </c>
      <c r="F476" s="127">
        <v>44545</v>
      </c>
      <c r="G476" s="126" t="s">
        <v>175</v>
      </c>
      <c r="H476" s="126" t="s">
        <v>176</v>
      </c>
      <c r="I476" s="126">
        <v>1</v>
      </c>
      <c r="J476" s="126" t="s">
        <v>184</v>
      </c>
      <c r="K476" s="126" t="s">
        <v>228</v>
      </c>
      <c r="L476" s="126" t="s">
        <v>2160</v>
      </c>
      <c r="M476" s="126">
        <v>0</v>
      </c>
      <c r="N476" s="126">
        <v>0</v>
      </c>
      <c r="O476" s="126" t="s">
        <v>2161</v>
      </c>
      <c r="P476" s="126" t="s">
        <v>172</v>
      </c>
      <c r="Q476" s="126" t="s">
        <v>802</v>
      </c>
      <c r="R476" s="126" t="s">
        <v>802</v>
      </c>
      <c r="S476" s="126" t="s">
        <v>1824</v>
      </c>
      <c r="T476" s="126" t="s">
        <v>163</v>
      </c>
      <c r="U476" s="126"/>
      <c r="V476" s="128">
        <v>202000000</v>
      </c>
      <c r="W476" s="128">
        <v>202000000</v>
      </c>
      <c r="X476" s="126" t="s">
        <v>1209</v>
      </c>
      <c r="Y476" s="126">
        <v>0</v>
      </c>
      <c r="Z476" s="126" t="s">
        <v>794</v>
      </c>
      <c r="AA476" s="126" t="s">
        <v>2</v>
      </c>
      <c r="AB476" s="126" t="s">
        <v>140</v>
      </c>
      <c r="AC476" s="126" t="s">
        <v>162</v>
      </c>
      <c r="AD476" s="127">
        <v>44854</v>
      </c>
      <c r="AE476" s="126"/>
      <c r="AF476" s="127">
        <v>44854</v>
      </c>
      <c r="AG476" s="126"/>
      <c r="AH476" s="126" t="s">
        <v>228</v>
      </c>
      <c r="AI476" s="126" t="s">
        <v>2162</v>
      </c>
    </row>
    <row r="477" spans="1:35" ht="180" x14ac:dyDescent="0.25">
      <c r="A477" s="46" t="str">
        <f t="shared" si="7"/>
        <v>PERECRD015482TRADICIONALNUTRESA</v>
      </c>
      <c r="B477" s="126" t="s">
        <v>10</v>
      </c>
      <c r="C477" s="126">
        <v>25822</v>
      </c>
      <c r="D477" s="126" t="s">
        <v>140</v>
      </c>
      <c r="E477" s="126" t="s">
        <v>177</v>
      </c>
      <c r="F477" s="127">
        <v>44545</v>
      </c>
      <c r="G477" s="126" t="s">
        <v>175</v>
      </c>
      <c r="H477" s="126" t="s">
        <v>176</v>
      </c>
      <c r="I477" s="126">
        <v>1</v>
      </c>
      <c r="J477" s="126" t="s">
        <v>184</v>
      </c>
      <c r="K477" s="126" t="s">
        <v>228</v>
      </c>
      <c r="L477" s="126" t="s">
        <v>2160</v>
      </c>
      <c r="M477" s="126">
        <v>0</v>
      </c>
      <c r="N477" s="126">
        <v>0</v>
      </c>
      <c r="O477" s="126" t="s">
        <v>2161</v>
      </c>
      <c r="P477" s="126" t="s">
        <v>172</v>
      </c>
      <c r="Q477" s="126" t="s">
        <v>799</v>
      </c>
      <c r="R477" s="126" t="s">
        <v>799</v>
      </c>
      <c r="S477" s="126" t="s">
        <v>800</v>
      </c>
      <c r="T477" s="126" t="s">
        <v>160</v>
      </c>
      <c r="U477" s="126"/>
      <c r="V477" s="128">
        <v>101000000</v>
      </c>
      <c r="W477" s="128">
        <v>101000000</v>
      </c>
      <c r="X477" s="126" t="s">
        <v>1209</v>
      </c>
      <c r="Y477" s="126">
        <v>0</v>
      </c>
      <c r="Z477" s="126" t="s">
        <v>801</v>
      </c>
      <c r="AA477" s="126" t="s">
        <v>2</v>
      </c>
      <c r="AB477" s="126" t="s">
        <v>140</v>
      </c>
      <c r="AC477" s="126" t="s">
        <v>162</v>
      </c>
      <c r="AD477" s="127">
        <v>44889</v>
      </c>
      <c r="AE477" s="126"/>
      <c r="AF477" s="127">
        <v>44889</v>
      </c>
      <c r="AG477" s="126"/>
      <c r="AH477" s="126" t="s">
        <v>228</v>
      </c>
      <c r="AI477" s="126" t="s">
        <v>2163</v>
      </c>
    </row>
    <row r="478" spans="1:35" ht="180" x14ac:dyDescent="0.25">
      <c r="A478" s="46" t="str">
        <f t="shared" si="7"/>
        <v>PERECRD022568TRADICIONALNUTRESA</v>
      </c>
      <c r="B478" s="126" t="s">
        <v>10</v>
      </c>
      <c r="C478" s="126">
        <v>25822</v>
      </c>
      <c r="D478" s="126" t="s">
        <v>140</v>
      </c>
      <c r="E478" s="126" t="s">
        <v>177</v>
      </c>
      <c r="F478" s="127">
        <v>44545</v>
      </c>
      <c r="G478" s="126" t="s">
        <v>175</v>
      </c>
      <c r="H478" s="126" t="s">
        <v>176</v>
      </c>
      <c r="I478" s="126">
        <v>1</v>
      </c>
      <c r="J478" s="126" t="s">
        <v>184</v>
      </c>
      <c r="K478" s="126" t="s">
        <v>228</v>
      </c>
      <c r="L478" s="126" t="s">
        <v>2160</v>
      </c>
      <c r="M478" s="126">
        <v>0</v>
      </c>
      <c r="N478" s="126">
        <v>0</v>
      </c>
      <c r="O478" s="126" t="s">
        <v>2161</v>
      </c>
      <c r="P478" s="126" t="s">
        <v>172</v>
      </c>
      <c r="Q478" s="126" t="s">
        <v>797</v>
      </c>
      <c r="R478" s="126" t="s">
        <v>797</v>
      </c>
      <c r="S478" s="126" t="s">
        <v>2164</v>
      </c>
      <c r="T478" s="126" t="s">
        <v>160</v>
      </c>
      <c r="U478" s="126"/>
      <c r="V478" s="128">
        <v>60000000</v>
      </c>
      <c r="W478" s="128">
        <v>60000000</v>
      </c>
      <c r="X478" s="126" t="s">
        <v>1209</v>
      </c>
      <c r="Y478" s="126">
        <v>0</v>
      </c>
      <c r="Z478" s="126" t="s">
        <v>798</v>
      </c>
      <c r="AA478" s="126" t="s">
        <v>2</v>
      </c>
      <c r="AB478" s="126" t="s">
        <v>140</v>
      </c>
      <c r="AC478" s="126" t="s">
        <v>162</v>
      </c>
      <c r="AD478" s="127">
        <v>45243</v>
      </c>
      <c r="AE478" s="126"/>
      <c r="AF478" s="127">
        <v>45243</v>
      </c>
      <c r="AG478" s="126"/>
      <c r="AH478" s="126" t="s">
        <v>228</v>
      </c>
      <c r="AI478" s="126" t="s">
        <v>2165</v>
      </c>
    </row>
    <row r="479" spans="1:35" ht="180" x14ac:dyDescent="0.25">
      <c r="A479" s="46" t="str">
        <f t="shared" si="7"/>
        <v>PERECRD000245TRADICIONALNUTRESA</v>
      </c>
      <c r="B479" s="126" t="s">
        <v>10</v>
      </c>
      <c r="C479" s="126">
        <v>25822</v>
      </c>
      <c r="D479" s="126" t="s">
        <v>140</v>
      </c>
      <c r="E479" s="126" t="s">
        <v>177</v>
      </c>
      <c r="F479" s="127">
        <v>44545</v>
      </c>
      <c r="G479" s="126" t="s">
        <v>175</v>
      </c>
      <c r="H479" s="126" t="s">
        <v>176</v>
      </c>
      <c r="I479" s="126">
        <v>1</v>
      </c>
      <c r="J479" s="126" t="s">
        <v>184</v>
      </c>
      <c r="K479" s="126" t="s">
        <v>228</v>
      </c>
      <c r="L479" s="126" t="s">
        <v>2160</v>
      </c>
      <c r="M479" s="126">
        <v>0</v>
      </c>
      <c r="N479" s="126">
        <v>0</v>
      </c>
      <c r="O479" s="126" t="s">
        <v>2161</v>
      </c>
      <c r="P479" s="126" t="s">
        <v>172</v>
      </c>
      <c r="Q479" s="126" t="s">
        <v>388</v>
      </c>
      <c r="R479" s="126" t="s">
        <v>388</v>
      </c>
      <c r="S479" s="126" t="s">
        <v>389</v>
      </c>
      <c r="T479" s="126" t="s">
        <v>160</v>
      </c>
      <c r="U479" s="126"/>
      <c r="V479" s="128">
        <v>245000000</v>
      </c>
      <c r="W479" s="128">
        <v>245000000</v>
      </c>
      <c r="X479" s="126" t="s">
        <v>1209</v>
      </c>
      <c r="Y479" s="126">
        <v>0</v>
      </c>
      <c r="Z479" s="126" t="s">
        <v>807</v>
      </c>
      <c r="AA479" s="126" t="s">
        <v>2</v>
      </c>
      <c r="AB479" s="126" t="s">
        <v>140</v>
      </c>
      <c r="AC479" s="126" t="s">
        <v>162</v>
      </c>
      <c r="AD479" s="127">
        <v>44744</v>
      </c>
      <c r="AE479" s="126"/>
      <c r="AF479" s="127">
        <v>44744</v>
      </c>
      <c r="AG479" s="126"/>
      <c r="AH479" s="126" t="s">
        <v>228</v>
      </c>
      <c r="AI479" s="126" t="s">
        <v>2166</v>
      </c>
    </row>
    <row r="480" spans="1:35" ht="180" x14ac:dyDescent="0.25">
      <c r="A480" s="46" t="str">
        <f t="shared" si="7"/>
        <v>PERECRD013796TRADICIONALNUTRESA</v>
      </c>
      <c r="B480" s="126" t="s">
        <v>10</v>
      </c>
      <c r="C480" s="126">
        <v>25822</v>
      </c>
      <c r="D480" s="126" t="s">
        <v>140</v>
      </c>
      <c r="E480" s="126" t="s">
        <v>177</v>
      </c>
      <c r="F480" s="127">
        <v>44545</v>
      </c>
      <c r="G480" s="126" t="s">
        <v>175</v>
      </c>
      <c r="H480" s="126" t="s">
        <v>176</v>
      </c>
      <c r="I480" s="126">
        <v>1</v>
      </c>
      <c r="J480" s="126" t="s">
        <v>184</v>
      </c>
      <c r="K480" s="126" t="s">
        <v>228</v>
      </c>
      <c r="L480" s="126" t="s">
        <v>2160</v>
      </c>
      <c r="M480" s="126">
        <v>0</v>
      </c>
      <c r="N480" s="126">
        <v>0</v>
      </c>
      <c r="O480" s="126" t="s">
        <v>2161</v>
      </c>
      <c r="P480" s="126" t="s">
        <v>172</v>
      </c>
      <c r="Q480" s="126" t="s">
        <v>808</v>
      </c>
      <c r="R480" s="126" t="s">
        <v>808</v>
      </c>
      <c r="S480" s="126" t="s">
        <v>809</v>
      </c>
      <c r="T480" s="126" t="s">
        <v>160</v>
      </c>
      <c r="U480" s="126"/>
      <c r="V480" s="128">
        <v>736000000</v>
      </c>
      <c r="W480" s="128">
        <v>736000000</v>
      </c>
      <c r="X480" s="126" t="s">
        <v>1209</v>
      </c>
      <c r="Y480" s="126">
        <v>0</v>
      </c>
      <c r="Z480" s="126" t="s">
        <v>810</v>
      </c>
      <c r="AA480" s="126" t="s">
        <v>2</v>
      </c>
      <c r="AB480" s="126" t="s">
        <v>140</v>
      </c>
      <c r="AC480" s="126" t="s">
        <v>162</v>
      </c>
      <c r="AD480" s="127">
        <v>45078</v>
      </c>
      <c r="AE480" s="126"/>
      <c r="AF480" s="127">
        <v>45078</v>
      </c>
      <c r="AG480" s="126"/>
      <c r="AH480" s="126" t="s">
        <v>228</v>
      </c>
      <c r="AI480" s="126" t="s">
        <v>2167</v>
      </c>
    </row>
    <row r="481" spans="1:35" ht="180" x14ac:dyDescent="0.25">
      <c r="A481" s="46" t="str">
        <f t="shared" si="7"/>
        <v>PERECRD023441TRADICIONALNUTRESA</v>
      </c>
      <c r="B481" s="126" t="s">
        <v>10</v>
      </c>
      <c r="C481" s="126">
        <v>25822</v>
      </c>
      <c r="D481" s="126" t="s">
        <v>140</v>
      </c>
      <c r="E481" s="126" t="s">
        <v>177</v>
      </c>
      <c r="F481" s="127">
        <v>44545</v>
      </c>
      <c r="G481" s="126" t="s">
        <v>175</v>
      </c>
      <c r="H481" s="126" t="s">
        <v>176</v>
      </c>
      <c r="I481" s="126">
        <v>1</v>
      </c>
      <c r="J481" s="126" t="s">
        <v>184</v>
      </c>
      <c r="K481" s="126" t="s">
        <v>228</v>
      </c>
      <c r="L481" s="126" t="s">
        <v>2160</v>
      </c>
      <c r="M481" s="126">
        <v>0</v>
      </c>
      <c r="N481" s="126">
        <v>0</v>
      </c>
      <c r="O481" s="126" t="s">
        <v>2161</v>
      </c>
      <c r="P481" s="126" t="s">
        <v>172</v>
      </c>
      <c r="Q481" s="126" t="s">
        <v>253</v>
      </c>
      <c r="R481" s="126" t="s">
        <v>253</v>
      </c>
      <c r="S481" s="126" t="s">
        <v>254</v>
      </c>
      <c r="T481" s="126" t="s">
        <v>160</v>
      </c>
      <c r="U481" s="126"/>
      <c r="V481" s="128">
        <v>101000000</v>
      </c>
      <c r="W481" s="128">
        <v>101000000</v>
      </c>
      <c r="X481" s="126" t="s">
        <v>1209</v>
      </c>
      <c r="Y481" s="126">
        <v>0</v>
      </c>
      <c r="Z481" s="126" t="s">
        <v>796</v>
      </c>
      <c r="AA481" s="126" t="s">
        <v>2</v>
      </c>
      <c r="AB481" s="126" t="s">
        <v>140</v>
      </c>
      <c r="AC481" s="126" t="s">
        <v>162</v>
      </c>
      <c r="AD481" s="127">
        <v>44891</v>
      </c>
      <c r="AE481" s="126"/>
      <c r="AF481" s="127">
        <v>44891</v>
      </c>
      <c r="AG481" s="126"/>
      <c r="AH481" s="126" t="s">
        <v>228</v>
      </c>
      <c r="AI481" s="126" t="s">
        <v>2168</v>
      </c>
    </row>
    <row r="482" spans="1:35" ht="180" x14ac:dyDescent="0.25">
      <c r="A482" s="46" t="str">
        <f t="shared" si="7"/>
        <v>PERECRD025005TRADICIONALNUTRESA</v>
      </c>
      <c r="B482" s="126" t="s">
        <v>10</v>
      </c>
      <c r="C482" s="126">
        <v>25822</v>
      </c>
      <c r="D482" s="126" t="s">
        <v>140</v>
      </c>
      <c r="E482" s="126" t="s">
        <v>177</v>
      </c>
      <c r="F482" s="127">
        <v>44545</v>
      </c>
      <c r="G482" s="126" t="s">
        <v>175</v>
      </c>
      <c r="H482" s="126" t="s">
        <v>176</v>
      </c>
      <c r="I482" s="126">
        <v>1</v>
      </c>
      <c r="J482" s="126" t="s">
        <v>184</v>
      </c>
      <c r="K482" s="126" t="s">
        <v>228</v>
      </c>
      <c r="L482" s="126" t="s">
        <v>2160</v>
      </c>
      <c r="M482" s="126">
        <v>0</v>
      </c>
      <c r="N482" s="126">
        <v>0</v>
      </c>
      <c r="O482" s="126" t="s">
        <v>2161</v>
      </c>
      <c r="P482" s="126" t="s">
        <v>172</v>
      </c>
      <c r="Q482" s="126" t="s">
        <v>565</v>
      </c>
      <c r="R482" s="126" t="s">
        <v>565</v>
      </c>
      <c r="S482" s="126" t="s">
        <v>566</v>
      </c>
      <c r="T482" s="126" t="s">
        <v>160</v>
      </c>
      <c r="U482" s="126"/>
      <c r="V482" s="128">
        <v>78000000</v>
      </c>
      <c r="W482" s="128">
        <v>78000000</v>
      </c>
      <c r="X482" s="126" t="s">
        <v>1209</v>
      </c>
      <c r="Y482" s="126">
        <v>0</v>
      </c>
      <c r="Z482" s="126" t="s">
        <v>795</v>
      </c>
      <c r="AA482" s="126" t="s">
        <v>2</v>
      </c>
      <c r="AB482" s="126" t="s">
        <v>140</v>
      </c>
      <c r="AC482" s="126" t="s">
        <v>162</v>
      </c>
      <c r="AD482" s="127">
        <v>44801</v>
      </c>
      <c r="AE482" s="126"/>
      <c r="AF482" s="127">
        <v>44801</v>
      </c>
      <c r="AG482" s="126"/>
      <c r="AH482" s="126" t="s">
        <v>228</v>
      </c>
      <c r="AI482" s="126" t="s">
        <v>2169</v>
      </c>
    </row>
    <row r="483" spans="1:35" ht="180" x14ac:dyDescent="0.25">
      <c r="A483" s="46" t="str">
        <f t="shared" si="7"/>
        <v>PERECRD003574TRADICIONALNUTRESA</v>
      </c>
      <c r="B483" s="126" t="s">
        <v>10</v>
      </c>
      <c r="C483" s="126">
        <v>25822</v>
      </c>
      <c r="D483" s="126" t="s">
        <v>140</v>
      </c>
      <c r="E483" s="126" t="s">
        <v>177</v>
      </c>
      <c r="F483" s="127">
        <v>44545</v>
      </c>
      <c r="G483" s="126" t="s">
        <v>175</v>
      </c>
      <c r="H483" s="126" t="s">
        <v>176</v>
      </c>
      <c r="I483" s="126">
        <v>1</v>
      </c>
      <c r="J483" s="126" t="s">
        <v>184</v>
      </c>
      <c r="K483" s="126" t="s">
        <v>228</v>
      </c>
      <c r="L483" s="126" t="s">
        <v>2160</v>
      </c>
      <c r="M483" s="126">
        <v>0</v>
      </c>
      <c r="N483" s="126">
        <v>0</v>
      </c>
      <c r="O483" s="126" t="s">
        <v>2161</v>
      </c>
      <c r="P483" s="126" t="s">
        <v>172</v>
      </c>
      <c r="Q483" s="126" t="s">
        <v>718</v>
      </c>
      <c r="R483" s="126" t="s">
        <v>718</v>
      </c>
      <c r="S483" s="126" t="s">
        <v>719</v>
      </c>
      <c r="T483" s="126" t="s">
        <v>160</v>
      </c>
      <c r="U483" s="126"/>
      <c r="V483" s="128">
        <v>526000000</v>
      </c>
      <c r="W483" s="128">
        <v>526000000</v>
      </c>
      <c r="X483" s="126" t="s">
        <v>1209</v>
      </c>
      <c r="Y483" s="126">
        <v>0</v>
      </c>
      <c r="Z483" s="126" t="s">
        <v>700</v>
      </c>
      <c r="AA483" s="126" t="s">
        <v>2</v>
      </c>
      <c r="AB483" s="126" t="s">
        <v>140</v>
      </c>
      <c r="AC483" s="126" t="s">
        <v>162</v>
      </c>
      <c r="AD483" s="127">
        <v>44861</v>
      </c>
      <c r="AE483" s="126"/>
      <c r="AF483" s="127">
        <v>44861</v>
      </c>
      <c r="AG483" s="126"/>
      <c r="AH483" s="126" t="s">
        <v>228</v>
      </c>
      <c r="AI483" s="126" t="s">
        <v>2170</v>
      </c>
    </row>
    <row r="484" spans="1:35" ht="180" x14ac:dyDescent="0.25">
      <c r="A484" s="46" t="str">
        <f t="shared" si="7"/>
        <v>PERECRD003576TRADICIONALNUTRESA</v>
      </c>
      <c r="B484" s="126" t="s">
        <v>10</v>
      </c>
      <c r="C484" s="126">
        <v>25822</v>
      </c>
      <c r="D484" s="126" t="s">
        <v>140</v>
      </c>
      <c r="E484" s="126" t="s">
        <v>177</v>
      </c>
      <c r="F484" s="127">
        <v>44545</v>
      </c>
      <c r="G484" s="126" t="s">
        <v>175</v>
      </c>
      <c r="H484" s="126" t="s">
        <v>176</v>
      </c>
      <c r="I484" s="126">
        <v>1</v>
      </c>
      <c r="J484" s="126" t="s">
        <v>184</v>
      </c>
      <c r="K484" s="126" t="s">
        <v>228</v>
      </c>
      <c r="L484" s="126" t="s">
        <v>2160</v>
      </c>
      <c r="M484" s="126">
        <v>0</v>
      </c>
      <c r="N484" s="126">
        <v>0</v>
      </c>
      <c r="O484" s="126" t="s">
        <v>2161</v>
      </c>
      <c r="P484" s="126" t="s">
        <v>172</v>
      </c>
      <c r="Q484" s="126" t="s">
        <v>792</v>
      </c>
      <c r="R484" s="126" t="s">
        <v>792</v>
      </c>
      <c r="S484" s="126" t="s">
        <v>793</v>
      </c>
      <c r="T484" s="126" t="s">
        <v>160</v>
      </c>
      <c r="U484" s="126"/>
      <c r="V484" s="128">
        <v>101000000</v>
      </c>
      <c r="W484" s="128">
        <v>101000000</v>
      </c>
      <c r="X484" s="126" t="s">
        <v>1209</v>
      </c>
      <c r="Y484" s="126">
        <v>0</v>
      </c>
      <c r="Z484" s="126" t="s">
        <v>794</v>
      </c>
      <c r="AA484" s="126" t="s">
        <v>2</v>
      </c>
      <c r="AB484" s="126" t="s">
        <v>140</v>
      </c>
      <c r="AC484" s="126" t="s">
        <v>162</v>
      </c>
      <c r="AD484" s="127">
        <v>44854</v>
      </c>
      <c r="AE484" s="126"/>
      <c r="AF484" s="127">
        <v>44854</v>
      </c>
      <c r="AG484" s="126"/>
      <c r="AH484" s="126" t="s">
        <v>228</v>
      </c>
      <c r="AI484" s="126" t="s">
        <v>2171</v>
      </c>
    </row>
    <row r="485" spans="1:35" ht="180" x14ac:dyDescent="0.25">
      <c r="A485" s="46" t="str">
        <f t="shared" si="7"/>
        <v>PERECRD024517TRADICIONALNUTRESA</v>
      </c>
      <c r="B485" s="126" t="s">
        <v>10</v>
      </c>
      <c r="C485" s="126">
        <v>25822</v>
      </c>
      <c r="D485" s="126" t="s">
        <v>140</v>
      </c>
      <c r="E485" s="126" t="s">
        <v>177</v>
      </c>
      <c r="F485" s="127">
        <v>44545</v>
      </c>
      <c r="G485" s="126" t="s">
        <v>175</v>
      </c>
      <c r="H485" s="126" t="s">
        <v>176</v>
      </c>
      <c r="I485" s="126">
        <v>1</v>
      </c>
      <c r="J485" s="126" t="s">
        <v>184</v>
      </c>
      <c r="K485" s="126" t="s">
        <v>228</v>
      </c>
      <c r="L485" s="126" t="s">
        <v>2160</v>
      </c>
      <c r="M485" s="126">
        <v>0</v>
      </c>
      <c r="N485" s="126">
        <v>0</v>
      </c>
      <c r="O485" s="126" t="s">
        <v>2161</v>
      </c>
      <c r="P485" s="126" t="s">
        <v>172</v>
      </c>
      <c r="Q485" s="126" t="s">
        <v>343</v>
      </c>
      <c r="R485" s="126" t="s">
        <v>343</v>
      </c>
      <c r="S485" s="126" t="s">
        <v>344</v>
      </c>
      <c r="T485" s="126" t="s">
        <v>160</v>
      </c>
      <c r="U485" s="126"/>
      <c r="V485" s="128">
        <v>101000000</v>
      </c>
      <c r="W485" s="128">
        <v>101000000</v>
      </c>
      <c r="X485" s="126" t="s">
        <v>1209</v>
      </c>
      <c r="Y485" s="126">
        <v>0</v>
      </c>
      <c r="Z485" s="126" t="s">
        <v>791</v>
      </c>
      <c r="AA485" s="126" t="s">
        <v>2</v>
      </c>
      <c r="AB485" s="126" t="s">
        <v>140</v>
      </c>
      <c r="AC485" s="126" t="s">
        <v>162</v>
      </c>
      <c r="AD485" s="127">
        <v>44780</v>
      </c>
      <c r="AE485" s="126"/>
      <c r="AF485" s="127">
        <v>44780</v>
      </c>
      <c r="AG485" s="126"/>
      <c r="AH485" s="126" t="s">
        <v>228</v>
      </c>
      <c r="AI485" s="126" t="s">
        <v>2172</v>
      </c>
    </row>
    <row r="486" spans="1:35" ht="180" x14ac:dyDescent="0.25">
      <c r="A486" s="46" t="str">
        <f t="shared" si="7"/>
        <v>PERECRD009805TRADICIONALNUTRESA</v>
      </c>
      <c r="B486" s="126" t="s">
        <v>10</v>
      </c>
      <c r="C486" s="126">
        <v>25822</v>
      </c>
      <c r="D486" s="126" t="s">
        <v>140</v>
      </c>
      <c r="E486" s="126" t="s">
        <v>177</v>
      </c>
      <c r="F486" s="127">
        <v>44545</v>
      </c>
      <c r="G486" s="126" t="s">
        <v>175</v>
      </c>
      <c r="H486" s="126" t="s">
        <v>176</v>
      </c>
      <c r="I486" s="126">
        <v>1</v>
      </c>
      <c r="J486" s="126" t="s">
        <v>184</v>
      </c>
      <c r="K486" s="126" t="s">
        <v>228</v>
      </c>
      <c r="L486" s="126" t="s">
        <v>2160</v>
      </c>
      <c r="M486" s="126">
        <v>0</v>
      </c>
      <c r="N486" s="126">
        <v>0</v>
      </c>
      <c r="O486" s="126" t="s">
        <v>2161</v>
      </c>
      <c r="P486" s="126" t="s">
        <v>172</v>
      </c>
      <c r="Q486" s="126" t="s">
        <v>811</v>
      </c>
      <c r="R486" s="126" t="s">
        <v>811</v>
      </c>
      <c r="S486" s="126" t="s">
        <v>812</v>
      </c>
      <c r="T486" s="126" t="s">
        <v>160</v>
      </c>
      <c r="U486" s="126"/>
      <c r="V486" s="128">
        <v>101000000</v>
      </c>
      <c r="W486" s="128">
        <v>101000000</v>
      </c>
      <c r="X486" s="126" t="s">
        <v>1209</v>
      </c>
      <c r="Y486" s="126">
        <v>0</v>
      </c>
      <c r="Z486" s="126" t="s">
        <v>798</v>
      </c>
      <c r="AA486" s="126" t="s">
        <v>2</v>
      </c>
      <c r="AB486" s="126" t="s">
        <v>140</v>
      </c>
      <c r="AC486" s="126" t="s">
        <v>162</v>
      </c>
      <c r="AD486" s="127">
        <v>45243</v>
      </c>
      <c r="AE486" s="126"/>
      <c r="AF486" s="127">
        <v>45243</v>
      </c>
      <c r="AG486" s="126"/>
      <c r="AH486" s="126" t="s">
        <v>228</v>
      </c>
      <c r="AI486" s="126" t="s">
        <v>2173</v>
      </c>
    </row>
    <row r="487" spans="1:35" ht="180" x14ac:dyDescent="0.25">
      <c r="A487" s="46" t="str">
        <f t="shared" si="7"/>
        <v>PERECRD003973TRADICIONALNUTRESA</v>
      </c>
      <c r="B487" s="126" t="s">
        <v>10</v>
      </c>
      <c r="C487" s="126">
        <v>25822</v>
      </c>
      <c r="D487" s="126" t="s">
        <v>140</v>
      </c>
      <c r="E487" s="126" t="s">
        <v>177</v>
      </c>
      <c r="F487" s="127">
        <v>44545</v>
      </c>
      <c r="G487" s="126" t="s">
        <v>175</v>
      </c>
      <c r="H487" s="126" t="s">
        <v>176</v>
      </c>
      <c r="I487" s="126">
        <v>1</v>
      </c>
      <c r="J487" s="126" t="s">
        <v>184</v>
      </c>
      <c r="K487" s="126" t="s">
        <v>228</v>
      </c>
      <c r="L487" s="126" t="s">
        <v>2160</v>
      </c>
      <c r="M487" s="126">
        <v>0</v>
      </c>
      <c r="N487" s="126">
        <v>0</v>
      </c>
      <c r="O487" s="126" t="s">
        <v>2161</v>
      </c>
      <c r="P487" s="126" t="s">
        <v>172</v>
      </c>
      <c r="Q487" s="126" t="s">
        <v>803</v>
      </c>
      <c r="R487" s="126" t="s">
        <v>803</v>
      </c>
      <c r="S487" s="126" t="s">
        <v>804</v>
      </c>
      <c r="T487" s="126" t="s">
        <v>160</v>
      </c>
      <c r="U487" s="126"/>
      <c r="V487" s="128">
        <v>101000000</v>
      </c>
      <c r="W487" s="128">
        <v>101000000</v>
      </c>
      <c r="X487" s="126" t="s">
        <v>1209</v>
      </c>
      <c r="Y487" s="126">
        <v>0</v>
      </c>
      <c r="Z487" s="126" t="s">
        <v>690</v>
      </c>
      <c r="AA487" s="126" t="s">
        <v>2</v>
      </c>
      <c r="AB487" s="126" t="s">
        <v>140</v>
      </c>
      <c r="AC487" s="126" t="s">
        <v>162</v>
      </c>
      <c r="AD487" s="127">
        <v>45063</v>
      </c>
      <c r="AE487" s="126"/>
      <c r="AF487" s="127">
        <v>45063</v>
      </c>
      <c r="AG487" s="126"/>
      <c r="AH487" s="126" t="s">
        <v>228</v>
      </c>
      <c r="AI487" s="126" t="s">
        <v>2174</v>
      </c>
    </row>
    <row r="488" spans="1:35" ht="180" x14ac:dyDescent="0.25">
      <c r="A488" s="46" t="str">
        <f t="shared" si="7"/>
        <v>PERECRD003605TRADICIONALNUTRESA</v>
      </c>
      <c r="B488" s="126" t="s">
        <v>10</v>
      </c>
      <c r="C488" s="126">
        <v>25822</v>
      </c>
      <c r="D488" s="126" t="s">
        <v>140</v>
      </c>
      <c r="E488" s="126" t="s">
        <v>177</v>
      </c>
      <c r="F488" s="127">
        <v>44545</v>
      </c>
      <c r="G488" s="126" t="s">
        <v>175</v>
      </c>
      <c r="H488" s="126" t="s">
        <v>176</v>
      </c>
      <c r="I488" s="126">
        <v>1</v>
      </c>
      <c r="J488" s="126" t="s">
        <v>184</v>
      </c>
      <c r="K488" s="126" t="s">
        <v>228</v>
      </c>
      <c r="L488" s="126" t="s">
        <v>2160</v>
      </c>
      <c r="M488" s="126">
        <v>0</v>
      </c>
      <c r="N488" s="126">
        <v>0</v>
      </c>
      <c r="O488" s="126" t="s">
        <v>2161</v>
      </c>
      <c r="P488" s="126" t="s">
        <v>172</v>
      </c>
      <c r="Q488" s="126" t="s">
        <v>805</v>
      </c>
      <c r="R488" s="126" t="s">
        <v>805</v>
      </c>
      <c r="S488" s="126" t="s">
        <v>806</v>
      </c>
      <c r="T488" s="126" t="s">
        <v>160</v>
      </c>
      <c r="U488" s="126"/>
      <c r="V488" s="128">
        <v>630000000</v>
      </c>
      <c r="W488" s="128">
        <v>630000000</v>
      </c>
      <c r="X488" s="126" t="s">
        <v>1209</v>
      </c>
      <c r="Y488" s="126">
        <v>0</v>
      </c>
      <c r="Z488" s="126" t="s">
        <v>795</v>
      </c>
      <c r="AA488" s="126" t="s">
        <v>2</v>
      </c>
      <c r="AB488" s="126" t="s">
        <v>140</v>
      </c>
      <c r="AC488" s="126" t="s">
        <v>162</v>
      </c>
      <c r="AD488" s="127">
        <v>44801</v>
      </c>
      <c r="AE488" s="126"/>
      <c r="AF488" s="127">
        <v>44801</v>
      </c>
      <c r="AG488" s="126"/>
      <c r="AH488" s="126" t="s">
        <v>228</v>
      </c>
      <c r="AI488" s="126" t="s">
        <v>2175</v>
      </c>
    </row>
    <row r="489" spans="1:35" ht="165" x14ac:dyDescent="0.25">
      <c r="A489" s="46" t="str">
        <f t="shared" si="7"/>
        <v>PERECRD022897CADENASBPO</v>
      </c>
      <c r="B489" s="126" t="s">
        <v>10</v>
      </c>
      <c r="C489" s="126">
        <v>25832</v>
      </c>
      <c r="D489" s="126" t="s">
        <v>140</v>
      </c>
      <c r="E489" s="126" t="s">
        <v>177</v>
      </c>
      <c r="F489" s="127">
        <v>44546</v>
      </c>
      <c r="G489" s="126" t="s">
        <v>175</v>
      </c>
      <c r="H489" s="126" t="s">
        <v>176</v>
      </c>
      <c r="I489" s="126">
        <v>1</v>
      </c>
      <c r="J489" s="126" t="s">
        <v>184</v>
      </c>
      <c r="K489" s="126" t="s">
        <v>228</v>
      </c>
      <c r="L489" s="126" t="s">
        <v>2176</v>
      </c>
      <c r="M489" s="126">
        <v>0</v>
      </c>
      <c r="N489" s="126">
        <v>0</v>
      </c>
      <c r="O489" s="126" t="s">
        <v>813</v>
      </c>
      <c r="P489" s="126" t="s">
        <v>170</v>
      </c>
      <c r="Q489" s="126" t="s">
        <v>229</v>
      </c>
      <c r="R489" s="126" t="s">
        <v>229</v>
      </c>
      <c r="S489" s="126" t="s">
        <v>230</v>
      </c>
      <c r="T489" s="126" t="s">
        <v>160</v>
      </c>
      <c r="U489" s="126"/>
      <c r="V489" s="128">
        <v>1000000</v>
      </c>
      <c r="W489" s="128">
        <v>1000000</v>
      </c>
      <c r="X489" s="126" t="s">
        <v>1209</v>
      </c>
      <c r="Y489" s="126">
        <v>0</v>
      </c>
      <c r="Z489" s="126">
        <v>0</v>
      </c>
      <c r="AA489" s="126" t="s">
        <v>1</v>
      </c>
      <c r="AB489" s="126" t="s">
        <v>161</v>
      </c>
      <c r="AC489" s="126" t="s">
        <v>162</v>
      </c>
      <c r="AD489" s="126"/>
      <c r="AE489" s="126"/>
      <c r="AF489" s="126"/>
      <c r="AG489" s="126"/>
      <c r="AH489" s="126" t="s">
        <v>228</v>
      </c>
      <c r="AI489" s="126" t="s">
        <v>2177</v>
      </c>
    </row>
    <row r="490" spans="1:35" ht="180" x14ac:dyDescent="0.25">
      <c r="A490" s="46" t="str">
        <f t="shared" si="7"/>
        <v>PERECRD025021AUTOSERVICIONUTRESA</v>
      </c>
      <c r="B490" s="126" t="s">
        <v>10</v>
      </c>
      <c r="C490" s="126">
        <v>25839</v>
      </c>
      <c r="D490" s="126" t="s">
        <v>140</v>
      </c>
      <c r="E490" s="126" t="s">
        <v>177</v>
      </c>
      <c r="F490" s="127">
        <v>44547</v>
      </c>
      <c r="G490" s="126" t="s">
        <v>175</v>
      </c>
      <c r="H490" s="126" t="s">
        <v>176</v>
      </c>
      <c r="I490" s="126">
        <v>1</v>
      </c>
      <c r="J490" s="126" t="s">
        <v>184</v>
      </c>
      <c r="K490" s="126" t="s">
        <v>228</v>
      </c>
      <c r="L490" s="126" t="s">
        <v>2178</v>
      </c>
      <c r="M490" s="126">
        <v>0</v>
      </c>
      <c r="N490" s="126">
        <v>332043768</v>
      </c>
      <c r="O490" s="126" t="s">
        <v>814</v>
      </c>
      <c r="P490" s="126" t="s">
        <v>171</v>
      </c>
      <c r="Q490" s="126" t="s">
        <v>815</v>
      </c>
      <c r="R490" s="126" t="s">
        <v>815</v>
      </c>
      <c r="S490" s="126" t="s">
        <v>816</v>
      </c>
      <c r="T490" s="126" t="s">
        <v>160</v>
      </c>
      <c r="U490" s="126"/>
      <c r="V490" s="128">
        <v>200000000</v>
      </c>
      <c r="W490" s="128">
        <v>200000000</v>
      </c>
      <c r="X490" s="126" t="s">
        <v>1209</v>
      </c>
      <c r="Y490" s="126">
        <v>0</v>
      </c>
      <c r="Z490" s="126">
        <v>0</v>
      </c>
      <c r="AA490" s="126" t="s">
        <v>0</v>
      </c>
      <c r="AB490" s="126" t="s">
        <v>140</v>
      </c>
      <c r="AC490" s="126" t="s">
        <v>162</v>
      </c>
      <c r="AD490" s="126"/>
      <c r="AE490" s="126"/>
      <c r="AF490" s="126"/>
      <c r="AG490" s="126"/>
      <c r="AH490" s="126" t="s">
        <v>228</v>
      </c>
      <c r="AI490" s="126" t="s">
        <v>2179</v>
      </c>
    </row>
    <row r="491" spans="1:35" ht="180" x14ac:dyDescent="0.25">
      <c r="A491" s="46" t="str">
        <f t="shared" si="7"/>
        <v>PERECRD025020AUTOSERVICIONUTRESA</v>
      </c>
      <c r="B491" s="126" t="s">
        <v>10</v>
      </c>
      <c r="C491" s="126">
        <v>25839</v>
      </c>
      <c r="D491" s="126" t="s">
        <v>140</v>
      </c>
      <c r="E491" s="126" t="s">
        <v>177</v>
      </c>
      <c r="F491" s="127">
        <v>44547</v>
      </c>
      <c r="G491" s="126" t="s">
        <v>175</v>
      </c>
      <c r="H491" s="126" t="s">
        <v>176</v>
      </c>
      <c r="I491" s="126">
        <v>1</v>
      </c>
      <c r="J491" s="126" t="s">
        <v>184</v>
      </c>
      <c r="K491" s="126" t="s">
        <v>228</v>
      </c>
      <c r="L491" s="126" t="s">
        <v>2178</v>
      </c>
      <c r="M491" s="126">
        <v>0</v>
      </c>
      <c r="N491" s="126">
        <v>332043768</v>
      </c>
      <c r="O491" s="126" t="s">
        <v>814</v>
      </c>
      <c r="P491" s="126" t="s">
        <v>171</v>
      </c>
      <c r="Q491" s="126" t="s">
        <v>817</v>
      </c>
      <c r="R491" s="126" t="s">
        <v>817</v>
      </c>
      <c r="S491" s="126" t="s">
        <v>818</v>
      </c>
      <c r="T491" s="126" t="s">
        <v>160</v>
      </c>
      <c r="U491" s="126"/>
      <c r="V491" s="128">
        <v>120000000</v>
      </c>
      <c r="W491" s="128">
        <v>120000000</v>
      </c>
      <c r="X491" s="126" t="s">
        <v>1209</v>
      </c>
      <c r="Y491" s="126">
        <v>0</v>
      </c>
      <c r="Z491" s="126">
        <v>0</v>
      </c>
      <c r="AA491" s="126" t="s">
        <v>0</v>
      </c>
      <c r="AB491" s="126" t="s">
        <v>140</v>
      </c>
      <c r="AC491" s="126" t="s">
        <v>162</v>
      </c>
      <c r="AD491" s="126"/>
      <c r="AE491" s="126"/>
      <c r="AF491" s="126"/>
      <c r="AG491" s="126"/>
      <c r="AH491" s="126" t="s">
        <v>228</v>
      </c>
      <c r="AI491" s="126" t="s">
        <v>2180</v>
      </c>
    </row>
    <row r="492" spans="1:35" ht="195" x14ac:dyDescent="0.25">
      <c r="A492" s="46" t="str">
        <f t="shared" si="7"/>
        <v>PEREACT000225TRADICIONALNUTRESA</v>
      </c>
      <c r="B492" s="126" t="s">
        <v>10</v>
      </c>
      <c r="C492" s="126">
        <v>25842</v>
      </c>
      <c r="D492" s="126" t="s">
        <v>140</v>
      </c>
      <c r="E492" s="126" t="s">
        <v>177</v>
      </c>
      <c r="F492" s="127">
        <v>44547</v>
      </c>
      <c r="G492" s="126" t="s">
        <v>175</v>
      </c>
      <c r="H492" s="126" t="s">
        <v>176</v>
      </c>
      <c r="I492" s="126">
        <v>1</v>
      </c>
      <c r="J492" s="126" t="s">
        <v>184</v>
      </c>
      <c r="K492" s="126" t="s">
        <v>228</v>
      </c>
      <c r="L492" s="126" t="s">
        <v>2181</v>
      </c>
      <c r="M492" s="126">
        <v>0</v>
      </c>
      <c r="N492" s="126">
        <v>0</v>
      </c>
      <c r="O492" s="126" t="s">
        <v>2182</v>
      </c>
      <c r="P492" s="126" t="s">
        <v>170</v>
      </c>
      <c r="Q492" s="126" t="s">
        <v>136</v>
      </c>
      <c r="R492" s="126" t="s">
        <v>136</v>
      </c>
      <c r="S492" s="126" t="s">
        <v>173</v>
      </c>
      <c r="T492" s="126" t="s">
        <v>160</v>
      </c>
      <c r="U492" s="126" t="s">
        <v>136</v>
      </c>
      <c r="V492" s="128">
        <v>1000000</v>
      </c>
      <c r="W492" s="128">
        <v>1000000</v>
      </c>
      <c r="X492" s="126" t="s">
        <v>1209</v>
      </c>
      <c r="Y492" s="126">
        <v>129807</v>
      </c>
      <c r="Z492" s="126">
        <v>0</v>
      </c>
      <c r="AA492" s="126" t="s">
        <v>2</v>
      </c>
      <c r="AB492" s="126" t="s">
        <v>140</v>
      </c>
      <c r="AC492" s="126" t="s">
        <v>162</v>
      </c>
      <c r="AD492" s="126"/>
      <c r="AE492" s="126"/>
      <c r="AF492" s="126"/>
      <c r="AG492" s="126"/>
      <c r="AH492" s="126" t="s">
        <v>228</v>
      </c>
      <c r="AI492" s="126" t="s">
        <v>2183</v>
      </c>
    </row>
    <row r="493" spans="1:35" ht="150" x14ac:dyDescent="0.25">
      <c r="A493" s="46" t="str">
        <f t="shared" si="7"/>
        <v>PERECRD025023AUTOSERVICIONUTRESA</v>
      </c>
      <c r="B493" s="126" t="s">
        <v>10</v>
      </c>
      <c r="C493" s="126">
        <v>25852</v>
      </c>
      <c r="D493" s="126" t="s">
        <v>140</v>
      </c>
      <c r="E493" s="126" t="s">
        <v>177</v>
      </c>
      <c r="F493" s="127">
        <v>44548</v>
      </c>
      <c r="G493" s="126" t="s">
        <v>175</v>
      </c>
      <c r="H493" s="126" t="s">
        <v>176</v>
      </c>
      <c r="I493" s="126">
        <v>1</v>
      </c>
      <c r="J493" s="126" t="s">
        <v>184</v>
      </c>
      <c r="K493" s="126" t="s">
        <v>228</v>
      </c>
      <c r="L493" s="126" t="s">
        <v>2184</v>
      </c>
      <c r="M493" s="126">
        <v>0</v>
      </c>
      <c r="N493" s="126">
        <v>300002755115</v>
      </c>
      <c r="O493" s="126" t="s">
        <v>2185</v>
      </c>
      <c r="P493" s="126" t="s">
        <v>170</v>
      </c>
      <c r="Q493" s="126" t="s">
        <v>765</v>
      </c>
      <c r="R493" s="126" t="s">
        <v>765</v>
      </c>
      <c r="S493" s="126" t="s">
        <v>766</v>
      </c>
      <c r="T493" s="126" t="s">
        <v>160</v>
      </c>
      <c r="U493" s="126"/>
      <c r="V493" s="128">
        <v>80000000</v>
      </c>
      <c r="W493" s="128">
        <v>80000000</v>
      </c>
      <c r="X493" s="126" t="s">
        <v>1209</v>
      </c>
      <c r="Y493" s="126">
        <v>0</v>
      </c>
      <c r="Z493" s="126">
        <v>0</v>
      </c>
      <c r="AA493" s="126" t="s">
        <v>0</v>
      </c>
      <c r="AB493" s="126" t="s">
        <v>140</v>
      </c>
      <c r="AC493" s="126" t="s">
        <v>162</v>
      </c>
      <c r="AD493" s="126"/>
      <c r="AE493" s="126"/>
      <c r="AF493" s="126"/>
      <c r="AG493" s="126"/>
      <c r="AH493" s="126" t="s">
        <v>228</v>
      </c>
      <c r="AI493" s="126" t="s">
        <v>2186</v>
      </c>
    </row>
    <row r="494" spans="1:35" ht="270" x14ac:dyDescent="0.25">
      <c r="A494" s="46" t="str">
        <f t="shared" si="7"/>
        <v>PERECRD024874AUTOSERVICIONUTRESA</v>
      </c>
      <c r="B494" s="126" t="s">
        <v>10</v>
      </c>
      <c r="C494" s="126">
        <v>25855</v>
      </c>
      <c r="D494" s="126" t="s">
        <v>140</v>
      </c>
      <c r="E494" s="126" t="s">
        <v>177</v>
      </c>
      <c r="F494" s="127">
        <v>44550</v>
      </c>
      <c r="G494" s="126" t="s">
        <v>175</v>
      </c>
      <c r="H494" s="126" t="s">
        <v>176</v>
      </c>
      <c r="I494" s="126">
        <v>1</v>
      </c>
      <c r="J494" s="126" t="s">
        <v>184</v>
      </c>
      <c r="K494" s="126" t="s">
        <v>228</v>
      </c>
      <c r="L494" s="126" t="s">
        <v>2187</v>
      </c>
      <c r="M494" s="126">
        <v>0</v>
      </c>
      <c r="N494" s="126">
        <v>0</v>
      </c>
      <c r="O494" s="126" t="s">
        <v>2188</v>
      </c>
      <c r="P494" s="126" t="s">
        <v>168</v>
      </c>
      <c r="Q494" s="126" t="s">
        <v>623</v>
      </c>
      <c r="R494" s="126" t="s">
        <v>623</v>
      </c>
      <c r="S494" s="126" t="s">
        <v>2149</v>
      </c>
      <c r="T494" s="126" t="s">
        <v>160</v>
      </c>
      <c r="U494" s="126"/>
      <c r="V494" s="128">
        <v>1000000</v>
      </c>
      <c r="W494" s="128">
        <v>1000000</v>
      </c>
      <c r="X494" s="126" t="s">
        <v>1209</v>
      </c>
      <c r="Y494" s="126">
        <v>0</v>
      </c>
      <c r="Z494" s="126">
        <v>0</v>
      </c>
      <c r="AA494" s="126" t="s">
        <v>0</v>
      </c>
      <c r="AB494" s="126" t="s">
        <v>140</v>
      </c>
      <c r="AC494" s="126" t="s">
        <v>165</v>
      </c>
      <c r="AD494" s="126"/>
      <c r="AE494" s="126"/>
      <c r="AF494" s="126"/>
      <c r="AG494" s="126"/>
      <c r="AH494" s="126" t="s">
        <v>228</v>
      </c>
      <c r="AI494" s="126" t="s">
        <v>2189</v>
      </c>
    </row>
    <row r="495" spans="1:35" ht="150" x14ac:dyDescent="0.25">
      <c r="A495" s="46" t="str">
        <f t="shared" si="7"/>
        <v>PERECRD025041AUTOSERVICIONUTRESA</v>
      </c>
      <c r="B495" s="126" t="s">
        <v>10</v>
      </c>
      <c r="C495" s="126">
        <v>25863</v>
      </c>
      <c r="D495" s="126" t="s">
        <v>140</v>
      </c>
      <c r="E495" s="126" t="s">
        <v>177</v>
      </c>
      <c r="F495" s="127">
        <v>44550</v>
      </c>
      <c r="G495" s="126" t="s">
        <v>175</v>
      </c>
      <c r="H495" s="126" t="s">
        <v>176</v>
      </c>
      <c r="I495" s="126">
        <v>1</v>
      </c>
      <c r="J495" s="126" t="s">
        <v>184</v>
      </c>
      <c r="K495" s="126" t="s">
        <v>228</v>
      </c>
      <c r="L495" s="126" t="s">
        <v>2190</v>
      </c>
      <c r="M495" s="126">
        <v>0</v>
      </c>
      <c r="N495" s="126">
        <v>0</v>
      </c>
      <c r="O495" s="126" t="s">
        <v>2191</v>
      </c>
      <c r="P495" s="126" t="s">
        <v>170</v>
      </c>
      <c r="Q495" s="126" t="s">
        <v>1327</v>
      </c>
      <c r="R495" s="126" t="s">
        <v>1327</v>
      </c>
      <c r="S495" s="126" t="s">
        <v>1328</v>
      </c>
      <c r="T495" s="126" t="s">
        <v>160</v>
      </c>
      <c r="U495" s="126"/>
      <c r="V495" s="128">
        <v>12000000</v>
      </c>
      <c r="W495" s="128">
        <v>12000000</v>
      </c>
      <c r="X495" s="126" t="s">
        <v>1209</v>
      </c>
      <c r="Y495" s="126">
        <v>0</v>
      </c>
      <c r="Z495" s="126">
        <v>0</v>
      </c>
      <c r="AA495" s="126" t="s">
        <v>0</v>
      </c>
      <c r="AB495" s="126" t="s">
        <v>140</v>
      </c>
      <c r="AC495" s="126" t="s">
        <v>162</v>
      </c>
      <c r="AD495" s="126"/>
      <c r="AE495" s="126"/>
      <c r="AF495" s="126"/>
      <c r="AG495" s="126"/>
      <c r="AH495" s="126" t="s">
        <v>228</v>
      </c>
      <c r="AI495" s="126" t="s">
        <v>2192</v>
      </c>
    </row>
    <row r="496" spans="1:35" ht="150" x14ac:dyDescent="0.25">
      <c r="A496" s="46" t="str">
        <f t="shared" si="7"/>
        <v>PERECRD025040AUTOSERVICIONUTRESA</v>
      </c>
      <c r="B496" s="126" t="s">
        <v>10</v>
      </c>
      <c r="C496" s="126">
        <v>25863</v>
      </c>
      <c r="D496" s="126" t="s">
        <v>140</v>
      </c>
      <c r="E496" s="126" t="s">
        <v>177</v>
      </c>
      <c r="F496" s="127">
        <v>44550</v>
      </c>
      <c r="G496" s="126" t="s">
        <v>175</v>
      </c>
      <c r="H496" s="126" t="s">
        <v>176</v>
      </c>
      <c r="I496" s="126">
        <v>1</v>
      </c>
      <c r="J496" s="126" t="s">
        <v>184</v>
      </c>
      <c r="K496" s="126" t="s">
        <v>228</v>
      </c>
      <c r="L496" s="126" t="s">
        <v>2190</v>
      </c>
      <c r="M496" s="126">
        <v>0</v>
      </c>
      <c r="N496" s="126">
        <v>0</v>
      </c>
      <c r="O496" s="126" t="s">
        <v>2191</v>
      </c>
      <c r="P496" s="126" t="s">
        <v>170</v>
      </c>
      <c r="Q496" s="126" t="s">
        <v>1461</v>
      </c>
      <c r="R496" s="126" t="s">
        <v>1461</v>
      </c>
      <c r="S496" s="126" t="s">
        <v>1462</v>
      </c>
      <c r="T496" s="126" t="s">
        <v>160</v>
      </c>
      <c r="U496" s="126"/>
      <c r="V496" s="128">
        <v>6000000</v>
      </c>
      <c r="W496" s="128">
        <v>6000000</v>
      </c>
      <c r="X496" s="126" t="s">
        <v>1209</v>
      </c>
      <c r="Y496" s="126">
        <v>0</v>
      </c>
      <c r="Z496" s="126">
        <v>0</v>
      </c>
      <c r="AA496" s="126" t="s">
        <v>0</v>
      </c>
      <c r="AB496" s="126" t="s">
        <v>140</v>
      </c>
      <c r="AC496" s="126" t="s">
        <v>162</v>
      </c>
      <c r="AD496" s="126"/>
      <c r="AE496" s="126"/>
      <c r="AF496" s="126"/>
      <c r="AG496" s="126"/>
      <c r="AH496" s="126" t="s">
        <v>228</v>
      </c>
      <c r="AI496" s="126" t="s">
        <v>2193</v>
      </c>
    </row>
    <row r="497" spans="1:35" ht="180" x14ac:dyDescent="0.25">
      <c r="A497" s="46" t="str">
        <f t="shared" si="7"/>
        <v>PERECRD025039AUTOSERVICIONUTRESA</v>
      </c>
      <c r="B497" s="126" t="s">
        <v>10</v>
      </c>
      <c r="C497" s="126">
        <v>25869</v>
      </c>
      <c r="D497" s="126" t="s">
        <v>140</v>
      </c>
      <c r="E497" s="126" t="s">
        <v>177</v>
      </c>
      <c r="F497" s="127">
        <v>44552</v>
      </c>
      <c r="G497" s="126" t="s">
        <v>175</v>
      </c>
      <c r="H497" s="126" t="s">
        <v>176</v>
      </c>
      <c r="I497" s="126">
        <v>1</v>
      </c>
      <c r="J497" s="126" t="s">
        <v>184</v>
      </c>
      <c r="K497" s="126"/>
      <c r="L497" s="126" t="s">
        <v>2194</v>
      </c>
      <c r="M497" s="126">
        <v>0</v>
      </c>
      <c r="N497" s="126">
        <v>0</v>
      </c>
      <c r="O497" s="126" t="s">
        <v>2195</v>
      </c>
      <c r="P497" s="126" t="s">
        <v>172</v>
      </c>
      <c r="Q497" s="126" t="s">
        <v>721</v>
      </c>
      <c r="R497" s="126" t="s">
        <v>721</v>
      </c>
      <c r="S497" s="126" t="s">
        <v>722</v>
      </c>
      <c r="T497" s="126" t="s">
        <v>160</v>
      </c>
      <c r="U497" s="126"/>
      <c r="V497" s="128">
        <v>60000000</v>
      </c>
      <c r="W497" s="128">
        <v>60000000</v>
      </c>
      <c r="X497" s="126" t="s">
        <v>1209</v>
      </c>
      <c r="Y497" s="126">
        <v>0</v>
      </c>
      <c r="Z497" s="126" t="s">
        <v>2196</v>
      </c>
      <c r="AA497" s="126" t="s">
        <v>0</v>
      </c>
      <c r="AB497" s="126" t="s">
        <v>140</v>
      </c>
      <c r="AC497" s="126" t="s">
        <v>162</v>
      </c>
      <c r="AD497" s="127">
        <v>44853</v>
      </c>
      <c r="AE497" s="126"/>
      <c r="AF497" s="127">
        <v>44853</v>
      </c>
      <c r="AG497" s="126"/>
      <c r="AH497" s="126" t="s">
        <v>228</v>
      </c>
      <c r="AI497" s="126" t="s">
        <v>2197</v>
      </c>
    </row>
    <row r="498" spans="1:35" ht="150" x14ac:dyDescent="0.25">
      <c r="A498" s="46" t="str">
        <f t="shared" si="7"/>
        <v>VILACRD024946CADENASNUTRESA</v>
      </c>
      <c r="B498" s="126" t="s">
        <v>150</v>
      </c>
      <c r="C498" s="126">
        <v>1528</v>
      </c>
      <c r="D498" s="126" t="s">
        <v>140</v>
      </c>
      <c r="E498" s="126" t="s">
        <v>177</v>
      </c>
      <c r="F498" s="127">
        <v>44530</v>
      </c>
      <c r="G498" s="126" t="s">
        <v>175</v>
      </c>
      <c r="H498" s="126" t="s">
        <v>176</v>
      </c>
      <c r="I498" s="126">
        <v>1</v>
      </c>
      <c r="J498" s="126" t="s">
        <v>184</v>
      </c>
      <c r="K498" s="126" t="s">
        <v>287</v>
      </c>
      <c r="L498" s="126" t="s">
        <v>2198</v>
      </c>
      <c r="M498" s="126">
        <v>0</v>
      </c>
      <c r="N498" s="126">
        <v>0</v>
      </c>
      <c r="O498" s="126" t="s">
        <v>707</v>
      </c>
      <c r="P498" s="126" t="s">
        <v>171</v>
      </c>
      <c r="Q498" s="126" t="s">
        <v>449</v>
      </c>
      <c r="R498" s="126" t="s">
        <v>449</v>
      </c>
      <c r="S498" s="126" t="s">
        <v>454</v>
      </c>
      <c r="T498" s="126" t="s">
        <v>160</v>
      </c>
      <c r="U498" s="126"/>
      <c r="V498" s="128">
        <v>1000000</v>
      </c>
      <c r="W498" s="128">
        <v>1000000</v>
      </c>
      <c r="X498" s="126" t="s">
        <v>1209</v>
      </c>
      <c r="Y498" s="126">
        <v>0</v>
      </c>
      <c r="Z498" s="126">
        <v>0</v>
      </c>
      <c r="AA498" s="126" t="s">
        <v>1</v>
      </c>
      <c r="AB498" s="126" t="s">
        <v>140</v>
      </c>
      <c r="AC498" s="126" t="s">
        <v>162</v>
      </c>
      <c r="AD498" s="126"/>
      <c r="AE498" s="126"/>
      <c r="AF498" s="126"/>
      <c r="AG498" s="126"/>
      <c r="AH498" s="126" t="s">
        <v>287</v>
      </c>
      <c r="AI498" s="126" t="s">
        <v>2199</v>
      </c>
    </row>
    <row r="499" spans="1:35" ht="105" x14ac:dyDescent="0.25">
      <c r="A499" s="46" t="str">
        <f t="shared" si="7"/>
        <v>VILACRD024849AUTOSERVICIONUTRESA</v>
      </c>
      <c r="B499" s="126" t="s">
        <v>150</v>
      </c>
      <c r="C499" s="126">
        <v>1529</v>
      </c>
      <c r="D499" s="126" t="s">
        <v>140</v>
      </c>
      <c r="E499" s="126" t="s">
        <v>177</v>
      </c>
      <c r="F499" s="127">
        <v>44532</v>
      </c>
      <c r="G499" s="126" t="s">
        <v>175</v>
      </c>
      <c r="H499" s="126" t="s">
        <v>176</v>
      </c>
      <c r="I499" s="126">
        <v>1</v>
      </c>
      <c r="J499" s="126" t="s">
        <v>184</v>
      </c>
      <c r="K499" s="126" t="s">
        <v>287</v>
      </c>
      <c r="L499" s="126" t="s">
        <v>2200</v>
      </c>
      <c r="M499" s="126">
        <v>0</v>
      </c>
      <c r="N499" s="126">
        <v>0</v>
      </c>
      <c r="O499" s="126" t="s">
        <v>708</v>
      </c>
      <c r="P499" s="126" t="s">
        <v>168</v>
      </c>
      <c r="Q499" s="126" t="s">
        <v>467</v>
      </c>
      <c r="R499" s="126" t="s">
        <v>467</v>
      </c>
      <c r="S499" s="126" t="s">
        <v>468</v>
      </c>
      <c r="T499" s="126" t="s">
        <v>160</v>
      </c>
      <c r="U499" s="126"/>
      <c r="V499" s="128">
        <v>10000000000</v>
      </c>
      <c r="W499" s="128">
        <v>10000000000</v>
      </c>
      <c r="X499" s="126" t="s">
        <v>1209</v>
      </c>
      <c r="Y499" s="126">
        <v>0</v>
      </c>
      <c r="Z499" s="126">
        <v>0</v>
      </c>
      <c r="AA499" s="126" t="s">
        <v>0</v>
      </c>
      <c r="AB499" s="126" t="s">
        <v>140</v>
      </c>
      <c r="AC499" s="126" t="s">
        <v>162</v>
      </c>
      <c r="AD499" s="126"/>
      <c r="AE499" s="126"/>
      <c r="AF499" s="126"/>
      <c r="AG499" s="126"/>
      <c r="AH499" s="126" t="s">
        <v>287</v>
      </c>
      <c r="AI499" s="126" t="s">
        <v>2201</v>
      </c>
    </row>
    <row r="500" spans="1:35" ht="120" x14ac:dyDescent="0.25">
      <c r="A500" s="46" t="str">
        <f t="shared" si="7"/>
        <v>VILACRD025018TRADICIONALNUTRESA</v>
      </c>
      <c r="B500" s="126" t="s">
        <v>150</v>
      </c>
      <c r="C500" s="126">
        <v>1530</v>
      </c>
      <c r="D500" s="126" t="s">
        <v>140</v>
      </c>
      <c r="E500" s="126" t="s">
        <v>177</v>
      </c>
      <c r="F500" s="127">
        <v>44533</v>
      </c>
      <c r="G500" s="126" t="s">
        <v>175</v>
      </c>
      <c r="H500" s="126" t="s">
        <v>176</v>
      </c>
      <c r="I500" s="126">
        <v>1</v>
      </c>
      <c r="J500" s="126" t="s">
        <v>184</v>
      </c>
      <c r="K500" s="126" t="s">
        <v>287</v>
      </c>
      <c r="L500" s="126" t="s">
        <v>2202</v>
      </c>
      <c r="M500" s="126">
        <v>0</v>
      </c>
      <c r="N500" s="126">
        <v>0</v>
      </c>
      <c r="O500" s="126" t="s">
        <v>709</v>
      </c>
      <c r="P500" s="126" t="s">
        <v>171</v>
      </c>
      <c r="Q500" s="126" t="s">
        <v>710</v>
      </c>
      <c r="R500" s="126" t="s">
        <v>710</v>
      </c>
      <c r="S500" s="126" t="s">
        <v>711</v>
      </c>
      <c r="T500" s="126" t="s">
        <v>160</v>
      </c>
      <c r="U500" s="126"/>
      <c r="V500" s="128">
        <v>30000000</v>
      </c>
      <c r="W500" s="128">
        <v>30000000</v>
      </c>
      <c r="X500" s="126" t="s">
        <v>1209</v>
      </c>
      <c r="Y500" s="126">
        <v>0</v>
      </c>
      <c r="Z500" s="126">
        <v>0</v>
      </c>
      <c r="AA500" s="126" t="s">
        <v>2</v>
      </c>
      <c r="AB500" s="126" t="s">
        <v>140</v>
      </c>
      <c r="AC500" s="126" t="s">
        <v>162</v>
      </c>
      <c r="AD500" s="126"/>
      <c r="AE500" s="126"/>
      <c r="AF500" s="126"/>
      <c r="AG500" s="126"/>
      <c r="AH500" s="126" t="s">
        <v>287</v>
      </c>
      <c r="AI500" s="126" t="s">
        <v>2203</v>
      </c>
    </row>
    <row r="501" spans="1:35" ht="120" x14ac:dyDescent="0.25">
      <c r="A501" s="46" t="str">
        <f t="shared" si="7"/>
        <v>VILACRD022322TRADICIONALNUTRESA</v>
      </c>
      <c r="B501" s="126" t="s">
        <v>150</v>
      </c>
      <c r="C501" s="126">
        <v>1530</v>
      </c>
      <c r="D501" s="126" t="s">
        <v>140</v>
      </c>
      <c r="E501" s="126" t="s">
        <v>177</v>
      </c>
      <c r="F501" s="127">
        <v>44533</v>
      </c>
      <c r="G501" s="126" t="s">
        <v>175</v>
      </c>
      <c r="H501" s="126" t="s">
        <v>176</v>
      </c>
      <c r="I501" s="126">
        <v>1</v>
      </c>
      <c r="J501" s="126" t="s">
        <v>184</v>
      </c>
      <c r="K501" s="126" t="s">
        <v>287</v>
      </c>
      <c r="L501" s="126" t="s">
        <v>2202</v>
      </c>
      <c r="M501" s="126">
        <v>0</v>
      </c>
      <c r="N501" s="126">
        <v>0</v>
      </c>
      <c r="O501" s="126" t="s">
        <v>709</v>
      </c>
      <c r="P501" s="126" t="s">
        <v>171</v>
      </c>
      <c r="Q501" s="126" t="s">
        <v>398</v>
      </c>
      <c r="R501" s="126" t="s">
        <v>398</v>
      </c>
      <c r="S501" s="126" t="s">
        <v>399</v>
      </c>
      <c r="T501" s="126" t="s">
        <v>163</v>
      </c>
      <c r="U501" s="126"/>
      <c r="V501" s="128">
        <v>13000000</v>
      </c>
      <c r="W501" s="128">
        <v>13000000</v>
      </c>
      <c r="X501" s="126" t="s">
        <v>1209</v>
      </c>
      <c r="Y501" s="126">
        <v>0</v>
      </c>
      <c r="Z501" s="126">
        <v>0</v>
      </c>
      <c r="AA501" s="126" t="s">
        <v>2</v>
      </c>
      <c r="AB501" s="126" t="s">
        <v>140</v>
      </c>
      <c r="AC501" s="126" t="s">
        <v>162</v>
      </c>
      <c r="AD501" s="126"/>
      <c r="AE501" s="126"/>
      <c r="AF501" s="126"/>
      <c r="AG501" s="126"/>
      <c r="AH501" s="126" t="s">
        <v>287</v>
      </c>
      <c r="AI501" s="126" t="s">
        <v>2204</v>
      </c>
    </row>
    <row r="502" spans="1:35" ht="120" x14ac:dyDescent="0.25">
      <c r="A502" s="46" t="str">
        <f t="shared" si="7"/>
        <v>VILACRD022322AUTOSERVICIONUTRESA</v>
      </c>
      <c r="B502" s="126" t="s">
        <v>150</v>
      </c>
      <c r="C502" s="126">
        <v>1531</v>
      </c>
      <c r="D502" s="126" t="s">
        <v>140</v>
      </c>
      <c r="E502" s="126" t="s">
        <v>177</v>
      </c>
      <c r="F502" s="127">
        <v>44533</v>
      </c>
      <c r="G502" s="126" t="s">
        <v>175</v>
      </c>
      <c r="H502" s="126" t="s">
        <v>176</v>
      </c>
      <c r="I502" s="126">
        <v>1</v>
      </c>
      <c r="J502" s="126" t="s">
        <v>184</v>
      </c>
      <c r="K502" s="126" t="s">
        <v>287</v>
      </c>
      <c r="L502" s="126" t="s">
        <v>2205</v>
      </c>
      <c r="M502" s="126">
        <v>0</v>
      </c>
      <c r="N502" s="126">
        <v>0</v>
      </c>
      <c r="O502" s="126" t="s">
        <v>712</v>
      </c>
      <c r="P502" s="126" t="s">
        <v>171</v>
      </c>
      <c r="Q502" s="126" t="s">
        <v>398</v>
      </c>
      <c r="R502" s="126" t="s">
        <v>398</v>
      </c>
      <c r="S502" s="126" t="s">
        <v>399</v>
      </c>
      <c r="T502" s="126" t="s">
        <v>163</v>
      </c>
      <c r="U502" s="126"/>
      <c r="V502" s="128">
        <v>5000000</v>
      </c>
      <c r="W502" s="128">
        <v>5000000</v>
      </c>
      <c r="X502" s="126" t="s">
        <v>1209</v>
      </c>
      <c r="Y502" s="126">
        <v>0</v>
      </c>
      <c r="Z502" s="126">
        <v>0</v>
      </c>
      <c r="AA502" s="126" t="s">
        <v>0</v>
      </c>
      <c r="AB502" s="126" t="s">
        <v>140</v>
      </c>
      <c r="AC502" s="126" t="s">
        <v>162</v>
      </c>
      <c r="AD502" s="126"/>
      <c r="AE502" s="126"/>
      <c r="AF502" s="126"/>
      <c r="AG502" s="126"/>
      <c r="AH502" s="126" t="s">
        <v>287</v>
      </c>
      <c r="AI502" s="126" t="s">
        <v>2206</v>
      </c>
    </row>
    <row r="503" spans="1:35" ht="120" x14ac:dyDescent="0.25">
      <c r="A503" s="46" t="str">
        <f t="shared" si="7"/>
        <v>VILACRD024971TRADICIONALNUTRESA</v>
      </c>
      <c r="B503" s="126" t="s">
        <v>150</v>
      </c>
      <c r="C503" s="126">
        <v>1535</v>
      </c>
      <c r="D503" s="126" t="s">
        <v>140</v>
      </c>
      <c r="E503" s="126" t="s">
        <v>177</v>
      </c>
      <c r="F503" s="127">
        <v>44541</v>
      </c>
      <c r="G503" s="126" t="s">
        <v>175</v>
      </c>
      <c r="H503" s="126" t="s">
        <v>176</v>
      </c>
      <c r="I503" s="126">
        <v>1</v>
      </c>
      <c r="J503" s="126" t="s">
        <v>184</v>
      </c>
      <c r="K503" s="126" t="s">
        <v>287</v>
      </c>
      <c r="L503" s="126" t="s">
        <v>2207</v>
      </c>
      <c r="M503" s="126">
        <v>0</v>
      </c>
      <c r="N503" s="126">
        <v>0</v>
      </c>
      <c r="O503" s="126" t="s">
        <v>713</v>
      </c>
      <c r="P503" s="126" t="s">
        <v>170</v>
      </c>
      <c r="Q503" s="126" t="s">
        <v>555</v>
      </c>
      <c r="R503" s="126" t="s">
        <v>555</v>
      </c>
      <c r="S503" s="126" t="s">
        <v>556</v>
      </c>
      <c r="T503" s="126" t="s">
        <v>160</v>
      </c>
      <c r="U503" s="126"/>
      <c r="V503" s="128">
        <v>52000000</v>
      </c>
      <c r="W503" s="128">
        <v>52000000</v>
      </c>
      <c r="X503" s="126" t="s">
        <v>1209</v>
      </c>
      <c r="Y503" s="126">
        <v>0</v>
      </c>
      <c r="Z503" s="126">
        <v>0</v>
      </c>
      <c r="AA503" s="126" t="s">
        <v>2</v>
      </c>
      <c r="AB503" s="126" t="s">
        <v>140</v>
      </c>
      <c r="AC503" s="126" t="s">
        <v>162</v>
      </c>
      <c r="AD503" s="126"/>
      <c r="AE503" s="126"/>
      <c r="AF503" s="126"/>
      <c r="AG503" s="126"/>
      <c r="AH503" s="126" t="s">
        <v>287</v>
      </c>
      <c r="AI503" s="126" t="s">
        <v>2208</v>
      </c>
    </row>
    <row r="504" spans="1:35" ht="105" x14ac:dyDescent="0.25">
      <c r="A504" s="46" t="str">
        <f t="shared" si="7"/>
        <v>VILACRD025001AUTOSERVICIONUTRESA</v>
      </c>
      <c r="B504" s="126" t="s">
        <v>150</v>
      </c>
      <c r="C504" s="126">
        <v>1539</v>
      </c>
      <c r="D504" s="126" t="s">
        <v>140</v>
      </c>
      <c r="E504" s="126" t="s">
        <v>177</v>
      </c>
      <c r="F504" s="127">
        <v>44544</v>
      </c>
      <c r="G504" s="126" t="s">
        <v>175</v>
      </c>
      <c r="H504" s="126" t="s">
        <v>176</v>
      </c>
      <c r="I504" s="126">
        <v>1</v>
      </c>
      <c r="J504" s="126" t="s">
        <v>184</v>
      </c>
      <c r="K504" s="126" t="s">
        <v>287</v>
      </c>
      <c r="L504" s="126" t="s">
        <v>2209</v>
      </c>
      <c r="M504" s="126">
        <v>0</v>
      </c>
      <c r="N504" s="126">
        <v>0</v>
      </c>
      <c r="O504" s="126" t="s">
        <v>714</v>
      </c>
      <c r="P504" s="126" t="s">
        <v>171</v>
      </c>
      <c r="Q504" s="126" t="s">
        <v>489</v>
      </c>
      <c r="R504" s="126" t="s">
        <v>489</v>
      </c>
      <c r="S504" s="126" t="s">
        <v>490</v>
      </c>
      <c r="T504" s="126" t="s">
        <v>160</v>
      </c>
      <c r="U504" s="126"/>
      <c r="V504" s="128">
        <v>100000000</v>
      </c>
      <c r="W504" s="128">
        <v>100000000</v>
      </c>
      <c r="X504" s="126" t="s">
        <v>1209</v>
      </c>
      <c r="Y504" s="126">
        <v>0</v>
      </c>
      <c r="Z504" s="126">
        <v>0</v>
      </c>
      <c r="AA504" s="126" t="s">
        <v>0</v>
      </c>
      <c r="AB504" s="126" t="s">
        <v>140</v>
      </c>
      <c r="AC504" s="126" t="s">
        <v>162</v>
      </c>
      <c r="AD504" s="126"/>
      <c r="AE504" s="126"/>
      <c r="AF504" s="126"/>
      <c r="AG504" s="126"/>
      <c r="AH504" s="126" t="s">
        <v>287</v>
      </c>
      <c r="AI504" s="126" t="s">
        <v>2210</v>
      </c>
    </row>
    <row r="505" spans="1:35" ht="105" x14ac:dyDescent="0.25">
      <c r="A505" s="46" t="str">
        <f t="shared" si="7"/>
        <v>VILACRD025002AUTOSERVICIONUTRESA</v>
      </c>
      <c r="B505" s="126" t="s">
        <v>150</v>
      </c>
      <c r="C505" s="126">
        <v>1539</v>
      </c>
      <c r="D505" s="126" t="s">
        <v>140</v>
      </c>
      <c r="E505" s="126" t="s">
        <v>177</v>
      </c>
      <c r="F505" s="127">
        <v>44544</v>
      </c>
      <c r="G505" s="126" t="s">
        <v>175</v>
      </c>
      <c r="H505" s="126" t="s">
        <v>176</v>
      </c>
      <c r="I505" s="126">
        <v>1</v>
      </c>
      <c r="J505" s="126" t="s">
        <v>184</v>
      </c>
      <c r="K505" s="126" t="s">
        <v>287</v>
      </c>
      <c r="L505" s="126" t="s">
        <v>2209</v>
      </c>
      <c r="M505" s="126">
        <v>0</v>
      </c>
      <c r="N505" s="126">
        <v>0</v>
      </c>
      <c r="O505" s="126" t="s">
        <v>714</v>
      </c>
      <c r="P505" s="126" t="s">
        <v>171</v>
      </c>
      <c r="Q505" s="126" t="s">
        <v>491</v>
      </c>
      <c r="R505" s="126" t="s">
        <v>491</v>
      </c>
      <c r="S505" s="126" t="s">
        <v>492</v>
      </c>
      <c r="T505" s="126" t="s">
        <v>160</v>
      </c>
      <c r="U505" s="126"/>
      <c r="V505" s="128">
        <v>100000000</v>
      </c>
      <c r="W505" s="128">
        <v>100000000</v>
      </c>
      <c r="X505" s="126" t="s">
        <v>1209</v>
      </c>
      <c r="Y505" s="126">
        <v>0</v>
      </c>
      <c r="Z505" s="126">
        <v>0</v>
      </c>
      <c r="AA505" s="126" t="s">
        <v>0</v>
      </c>
      <c r="AB505" s="126" t="s">
        <v>140</v>
      </c>
      <c r="AC505" s="126" t="s">
        <v>162</v>
      </c>
      <c r="AD505" s="126"/>
      <c r="AE505" s="126"/>
      <c r="AF505" s="126"/>
      <c r="AG505" s="126"/>
      <c r="AH505" s="126" t="s">
        <v>287</v>
      </c>
      <c r="AI505" s="126" t="s">
        <v>2211</v>
      </c>
    </row>
    <row r="506" spans="1:35" ht="105" x14ac:dyDescent="0.25">
      <c r="A506" s="46" t="str">
        <f t="shared" si="7"/>
        <v>VILACRD025010TRADICIONALNUTRESA</v>
      </c>
      <c r="B506" s="126" t="s">
        <v>150</v>
      </c>
      <c r="C506" s="126">
        <v>1540</v>
      </c>
      <c r="D506" s="126" t="s">
        <v>140</v>
      </c>
      <c r="E506" s="126" t="s">
        <v>177</v>
      </c>
      <c r="F506" s="127">
        <v>44544</v>
      </c>
      <c r="G506" s="126" t="s">
        <v>175</v>
      </c>
      <c r="H506" s="126" t="s">
        <v>176</v>
      </c>
      <c r="I506" s="126">
        <v>1</v>
      </c>
      <c r="J506" s="126" t="s">
        <v>184</v>
      </c>
      <c r="K506" s="126" t="s">
        <v>287</v>
      </c>
      <c r="L506" s="126" t="s">
        <v>2212</v>
      </c>
      <c r="M506" s="126">
        <v>0</v>
      </c>
      <c r="N506" s="126">
        <v>0</v>
      </c>
      <c r="O506" s="126" t="s">
        <v>715</v>
      </c>
      <c r="P506" s="126" t="s">
        <v>171</v>
      </c>
      <c r="Q506" s="126" t="s">
        <v>488</v>
      </c>
      <c r="R506" s="126" t="s">
        <v>488</v>
      </c>
      <c r="S506" s="126" t="s">
        <v>1255</v>
      </c>
      <c r="T506" s="126" t="s">
        <v>160</v>
      </c>
      <c r="U506" s="126"/>
      <c r="V506" s="128">
        <v>100000000</v>
      </c>
      <c r="W506" s="128">
        <v>100000000</v>
      </c>
      <c r="X506" s="126" t="s">
        <v>1209</v>
      </c>
      <c r="Y506" s="126">
        <v>0</v>
      </c>
      <c r="Z506" s="126">
        <v>0</v>
      </c>
      <c r="AA506" s="126" t="s">
        <v>2</v>
      </c>
      <c r="AB506" s="126" t="s">
        <v>140</v>
      </c>
      <c r="AC506" s="126" t="s">
        <v>162</v>
      </c>
      <c r="AD506" s="126"/>
      <c r="AE506" s="126"/>
      <c r="AF506" s="126"/>
      <c r="AG506" s="126"/>
      <c r="AH506" s="126" t="s">
        <v>287</v>
      </c>
      <c r="AI506" s="126" t="s">
        <v>2213</v>
      </c>
    </row>
    <row r="507" spans="1:35" ht="105" x14ac:dyDescent="0.25">
      <c r="A507" s="46" t="str">
        <f t="shared" si="7"/>
        <v>VILACRD025009TRADICIONALNUTRESA</v>
      </c>
      <c r="B507" s="126" t="s">
        <v>150</v>
      </c>
      <c r="C507" s="126">
        <v>1540</v>
      </c>
      <c r="D507" s="126" t="s">
        <v>140</v>
      </c>
      <c r="E507" s="126" t="s">
        <v>177</v>
      </c>
      <c r="F507" s="127">
        <v>44544</v>
      </c>
      <c r="G507" s="126" t="s">
        <v>175</v>
      </c>
      <c r="H507" s="126" t="s">
        <v>176</v>
      </c>
      <c r="I507" s="126">
        <v>1</v>
      </c>
      <c r="J507" s="126" t="s">
        <v>184</v>
      </c>
      <c r="K507" s="126" t="s">
        <v>287</v>
      </c>
      <c r="L507" s="126" t="s">
        <v>2212</v>
      </c>
      <c r="M507" s="126">
        <v>0</v>
      </c>
      <c r="N507" s="126">
        <v>0</v>
      </c>
      <c r="O507" s="126" t="s">
        <v>715</v>
      </c>
      <c r="P507" s="126" t="s">
        <v>171</v>
      </c>
      <c r="Q507" s="126" t="s">
        <v>487</v>
      </c>
      <c r="R507" s="126" t="s">
        <v>487</v>
      </c>
      <c r="S507" s="126" t="s">
        <v>1253</v>
      </c>
      <c r="T507" s="126" t="s">
        <v>160</v>
      </c>
      <c r="U507" s="126"/>
      <c r="V507" s="128">
        <v>150000000</v>
      </c>
      <c r="W507" s="128">
        <v>150000000</v>
      </c>
      <c r="X507" s="126" t="s">
        <v>1209</v>
      </c>
      <c r="Y507" s="126">
        <v>0</v>
      </c>
      <c r="Z507" s="126">
        <v>0</v>
      </c>
      <c r="AA507" s="126" t="s">
        <v>2</v>
      </c>
      <c r="AB507" s="126" t="s">
        <v>140</v>
      </c>
      <c r="AC507" s="126" t="s">
        <v>162</v>
      </c>
      <c r="AD507" s="126"/>
      <c r="AE507" s="126"/>
      <c r="AF507" s="126"/>
      <c r="AG507" s="126"/>
      <c r="AH507" s="126" t="s">
        <v>287</v>
      </c>
      <c r="AI507" s="126" t="s">
        <v>2214</v>
      </c>
    </row>
    <row r="508" spans="1:35" ht="105" x14ac:dyDescent="0.25">
      <c r="A508" s="46" t="str">
        <f t="shared" si="7"/>
        <v>VILACRD025008TRADICIONALNUTRESA</v>
      </c>
      <c r="B508" s="126" t="s">
        <v>150</v>
      </c>
      <c r="C508" s="126">
        <v>1540</v>
      </c>
      <c r="D508" s="126" t="s">
        <v>140</v>
      </c>
      <c r="E508" s="126" t="s">
        <v>177</v>
      </c>
      <c r="F508" s="127">
        <v>44544</v>
      </c>
      <c r="G508" s="126" t="s">
        <v>175</v>
      </c>
      <c r="H508" s="126" t="s">
        <v>176</v>
      </c>
      <c r="I508" s="126">
        <v>1</v>
      </c>
      <c r="J508" s="126" t="s">
        <v>184</v>
      </c>
      <c r="K508" s="126" t="s">
        <v>287</v>
      </c>
      <c r="L508" s="126" t="s">
        <v>2212</v>
      </c>
      <c r="M508" s="126">
        <v>0</v>
      </c>
      <c r="N508" s="126">
        <v>0</v>
      </c>
      <c r="O508" s="126" t="s">
        <v>715</v>
      </c>
      <c r="P508" s="126" t="s">
        <v>171</v>
      </c>
      <c r="Q508" s="126" t="s">
        <v>486</v>
      </c>
      <c r="R508" s="126" t="s">
        <v>486</v>
      </c>
      <c r="S508" s="126" t="s">
        <v>1251</v>
      </c>
      <c r="T508" s="126" t="s">
        <v>160</v>
      </c>
      <c r="U508" s="126"/>
      <c r="V508" s="128">
        <v>100000000</v>
      </c>
      <c r="W508" s="128">
        <v>100000000</v>
      </c>
      <c r="X508" s="126" t="s">
        <v>1209</v>
      </c>
      <c r="Y508" s="126">
        <v>0</v>
      </c>
      <c r="Z508" s="126">
        <v>0</v>
      </c>
      <c r="AA508" s="126" t="s">
        <v>2</v>
      </c>
      <c r="AB508" s="126" t="s">
        <v>140</v>
      </c>
      <c r="AC508" s="126" t="s">
        <v>162</v>
      </c>
      <c r="AD508" s="126"/>
      <c r="AE508" s="126"/>
      <c r="AF508" s="126"/>
      <c r="AG508" s="126"/>
      <c r="AH508" s="126" t="s">
        <v>287</v>
      </c>
      <c r="AI508" s="126" t="s">
        <v>2215</v>
      </c>
    </row>
    <row r="509" spans="1:35" ht="105" x14ac:dyDescent="0.25">
      <c r="A509" s="46" t="str">
        <f t="shared" si="7"/>
        <v>VILACRD025021AUTOSERVICIONUTRESA</v>
      </c>
      <c r="B509" s="126" t="s">
        <v>150</v>
      </c>
      <c r="C509" s="126">
        <v>1541</v>
      </c>
      <c r="D509" s="126" t="s">
        <v>140</v>
      </c>
      <c r="E509" s="126" t="s">
        <v>177</v>
      </c>
      <c r="F509" s="127">
        <v>44547</v>
      </c>
      <c r="G509" s="126" t="s">
        <v>175</v>
      </c>
      <c r="H509" s="126" t="s">
        <v>176</v>
      </c>
      <c r="I509" s="126">
        <v>1</v>
      </c>
      <c r="J509" s="126" t="s">
        <v>184</v>
      </c>
      <c r="K509" s="126" t="s">
        <v>287</v>
      </c>
      <c r="L509" s="126" t="s">
        <v>2216</v>
      </c>
      <c r="M509" s="126">
        <v>0</v>
      </c>
      <c r="N509" s="126">
        <v>0</v>
      </c>
      <c r="O509" s="126" t="s">
        <v>819</v>
      </c>
      <c r="P509" s="126" t="s">
        <v>171</v>
      </c>
      <c r="Q509" s="126" t="s">
        <v>815</v>
      </c>
      <c r="R509" s="126" t="s">
        <v>815</v>
      </c>
      <c r="S509" s="126" t="s">
        <v>816</v>
      </c>
      <c r="T509" s="126" t="s">
        <v>160</v>
      </c>
      <c r="U509" s="126"/>
      <c r="V509" s="128">
        <v>77000000</v>
      </c>
      <c r="W509" s="128">
        <v>77000000</v>
      </c>
      <c r="X509" s="126" t="s">
        <v>1209</v>
      </c>
      <c r="Y509" s="126">
        <v>0</v>
      </c>
      <c r="Z509" s="126">
        <v>0</v>
      </c>
      <c r="AA509" s="126" t="s">
        <v>0</v>
      </c>
      <c r="AB509" s="126" t="s">
        <v>140</v>
      </c>
      <c r="AC509" s="126" t="s">
        <v>162</v>
      </c>
      <c r="AD509" s="126"/>
      <c r="AE509" s="126"/>
      <c r="AF509" s="126"/>
      <c r="AG509" s="126"/>
      <c r="AH509" s="126" t="s">
        <v>287</v>
      </c>
      <c r="AI509" s="126" t="s">
        <v>2217</v>
      </c>
    </row>
    <row r="510" spans="1:35" ht="105" x14ac:dyDescent="0.25">
      <c r="A510" s="46" t="str">
        <f t="shared" si="7"/>
        <v>VILACRD025020AUTOSERVICIONUTRESA</v>
      </c>
      <c r="B510" s="126" t="s">
        <v>150</v>
      </c>
      <c r="C510" s="126">
        <v>1541</v>
      </c>
      <c r="D510" s="126" t="s">
        <v>140</v>
      </c>
      <c r="E510" s="126" t="s">
        <v>177</v>
      </c>
      <c r="F510" s="127">
        <v>44547</v>
      </c>
      <c r="G510" s="126" t="s">
        <v>175</v>
      </c>
      <c r="H510" s="126" t="s">
        <v>176</v>
      </c>
      <c r="I510" s="126">
        <v>1</v>
      </c>
      <c r="J510" s="126" t="s">
        <v>184</v>
      </c>
      <c r="K510" s="126" t="s">
        <v>287</v>
      </c>
      <c r="L510" s="126" t="s">
        <v>2216</v>
      </c>
      <c r="M510" s="126">
        <v>0</v>
      </c>
      <c r="N510" s="126">
        <v>0</v>
      </c>
      <c r="O510" s="126" t="s">
        <v>819</v>
      </c>
      <c r="P510" s="126" t="s">
        <v>171</v>
      </c>
      <c r="Q510" s="126" t="s">
        <v>817</v>
      </c>
      <c r="R510" s="126" t="s">
        <v>817</v>
      </c>
      <c r="S510" s="126" t="s">
        <v>818</v>
      </c>
      <c r="T510" s="126" t="s">
        <v>160</v>
      </c>
      <c r="U510" s="126"/>
      <c r="V510" s="128">
        <v>30000000</v>
      </c>
      <c r="W510" s="128">
        <v>30000000</v>
      </c>
      <c r="X510" s="126" t="s">
        <v>1209</v>
      </c>
      <c r="Y510" s="126">
        <v>0</v>
      </c>
      <c r="Z510" s="126">
        <v>0</v>
      </c>
      <c r="AA510" s="126" t="s">
        <v>0</v>
      </c>
      <c r="AB510" s="126" t="s">
        <v>140</v>
      </c>
      <c r="AC510" s="126" t="s">
        <v>162</v>
      </c>
      <c r="AD510" s="126"/>
      <c r="AE510" s="126"/>
      <c r="AF510" s="126"/>
      <c r="AG510" s="126"/>
      <c r="AH510" s="126" t="s">
        <v>287</v>
      </c>
      <c r="AI510" s="126" t="s">
        <v>2218</v>
      </c>
    </row>
    <row r="511" spans="1:35" ht="120" x14ac:dyDescent="0.25">
      <c r="A511" s="46" t="str">
        <f t="shared" si="7"/>
        <v>VILACRD025022AUTOSERVICIONUTRESA</v>
      </c>
      <c r="B511" s="126" t="s">
        <v>150</v>
      </c>
      <c r="C511" s="126">
        <v>1544</v>
      </c>
      <c r="D511" s="126" t="s">
        <v>140</v>
      </c>
      <c r="E511" s="126" t="s">
        <v>177</v>
      </c>
      <c r="F511" s="127">
        <v>44551</v>
      </c>
      <c r="G511" s="126" t="s">
        <v>175</v>
      </c>
      <c r="H511" s="126" t="s">
        <v>176</v>
      </c>
      <c r="I511" s="126">
        <v>1</v>
      </c>
      <c r="J511" s="126" t="s">
        <v>184</v>
      </c>
      <c r="K511" s="126" t="s">
        <v>287</v>
      </c>
      <c r="L511" s="126" t="s">
        <v>2219</v>
      </c>
      <c r="M511" s="126">
        <v>0</v>
      </c>
      <c r="N511" s="126">
        <v>0</v>
      </c>
      <c r="O511" s="126" t="s">
        <v>2220</v>
      </c>
      <c r="P511" s="126" t="s">
        <v>171</v>
      </c>
      <c r="Q511" s="126" t="s">
        <v>769</v>
      </c>
      <c r="R511" s="126" t="s">
        <v>769</v>
      </c>
      <c r="S511" s="126" t="s">
        <v>770</v>
      </c>
      <c r="T511" s="126" t="s">
        <v>160</v>
      </c>
      <c r="U511" s="126"/>
      <c r="V511" s="128">
        <v>10000000</v>
      </c>
      <c r="W511" s="128">
        <v>10000000</v>
      </c>
      <c r="X511" s="126" t="s">
        <v>1209</v>
      </c>
      <c r="Y511" s="126">
        <v>0</v>
      </c>
      <c r="Z511" s="126">
        <v>0</v>
      </c>
      <c r="AA511" s="126" t="s">
        <v>0</v>
      </c>
      <c r="AB511" s="126" t="s">
        <v>140</v>
      </c>
      <c r="AC511" s="126" t="s">
        <v>162</v>
      </c>
      <c r="AD511" s="126"/>
      <c r="AE511" s="126"/>
      <c r="AF511" s="126"/>
      <c r="AG511" s="126"/>
      <c r="AH511" s="126" t="s">
        <v>287</v>
      </c>
      <c r="AI511" s="126" t="s">
        <v>2221</v>
      </c>
    </row>
    <row r="512" spans="1:35" ht="120" x14ac:dyDescent="0.25">
      <c r="A512" s="46" t="str">
        <f t="shared" si="7"/>
        <v>VILACRD025023AUTOSERVICIONUTRESA</v>
      </c>
      <c r="B512" s="126" t="s">
        <v>150</v>
      </c>
      <c r="C512" s="126">
        <v>1544</v>
      </c>
      <c r="D512" s="126" t="s">
        <v>140</v>
      </c>
      <c r="E512" s="126" t="s">
        <v>177</v>
      </c>
      <c r="F512" s="127">
        <v>44551</v>
      </c>
      <c r="G512" s="126" t="s">
        <v>175</v>
      </c>
      <c r="H512" s="126" t="s">
        <v>176</v>
      </c>
      <c r="I512" s="126">
        <v>1</v>
      </c>
      <c r="J512" s="126" t="s">
        <v>184</v>
      </c>
      <c r="K512" s="126" t="s">
        <v>287</v>
      </c>
      <c r="L512" s="126" t="s">
        <v>2219</v>
      </c>
      <c r="M512" s="126">
        <v>0</v>
      </c>
      <c r="N512" s="126">
        <v>0</v>
      </c>
      <c r="O512" s="126" t="s">
        <v>2220</v>
      </c>
      <c r="P512" s="126" t="s">
        <v>170</v>
      </c>
      <c r="Q512" s="126" t="s">
        <v>765</v>
      </c>
      <c r="R512" s="126" t="s">
        <v>765</v>
      </c>
      <c r="S512" s="126" t="s">
        <v>766</v>
      </c>
      <c r="T512" s="126" t="s">
        <v>160</v>
      </c>
      <c r="U512" s="126"/>
      <c r="V512" s="128">
        <v>22000000</v>
      </c>
      <c r="W512" s="128">
        <v>22000000</v>
      </c>
      <c r="X512" s="126" t="s">
        <v>1209</v>
      </c>
      <c r="Y512" s="126">
        <v>0</v>
      </c>
      <c r="Z512" s="126">
        <v>0</v>
      </c>
      <c r="AA512" s="126" t="s">
        <v>0</v>
      </c>
      <c r="AB512" s="126" t="s">
        <v>140</v>
      </c>
      <c r="AC512" s="126" t="s">
        <v>162</v>
      </c>
      <c r="AD512" s="126"/>
      <c r="AE512" s="126"/>
      <c r="AF512" s="126"/>
      <c r="AG512" s="126"/>
      <c r="AH512" s="126" t="s">
        <v>287</v>
      </c>
      <c r="AI512" s="126" t="s">
        <v>2222</v>
      </c>
    </row>
    <row r="513" spans="1:35" ht="210" x14ac:dyDescent="0.25">
      <c r="A513" s="46" t="str">
        <f t="shared" si="7"/>
        <v>VILACRD025041AUTOSERVICIONUTRESA</v>
      </c>
      <c r="B513" s="126" t="s">
        <v>150</v>
      </c>
      <c r="C513" s="126">
        <v>1545</v>
      </c>
      <c r="D513" s="126" t="s">
        <v>140</v>
      </c>
      <c r="E513" s="126" t="s">
        <v>177</v>
      </c>
      <c r="F513" s="127">
        <v>44551</v>
      </c>
      <c r="G513" s="126" t="s">
        <v>175</v>
      </c>
      <c r="H513" s="126" t="s">
        <v>176</v>
      </c>
      <c r="I513" s="126">
        <v>1</v>
      </c>
      <c r="J513" s="126" t="s">
        <v>184</v>
      </c>
      <c r="K513" s="126" t="s">
        <v>287</v>
      </c>
      <c r="L513" s="126" t="s">
        <v>2223</v>
      </c>
      <c r="M513" s="126">
        <v>0</v>
      </c>
      <c r="N513" s="126">
        <v>0</v>
      </c>
      <c r="O513" s="126" t="s">
        <v>2224</v>
      </c>
      <c r="P513" s="126" t="s">
        <v>170</v>
      </c>
      <c r="Q513" s="126" t="s">
        <v>1327</v>
      </c>
      <c r="R513" s="126" t="s">
        <v>1327</v>
      </c>
      <c r="S513" s="126" t="s">
        <v>1328</v>
      </c>
      <c r="T513" s="126" t="s">
        <v>160</v>
      </c>
      <c r="U513" s="126"/>
      <c r="V513" s="128">
        <v>10000000</v>
      </c>
      <c r="W513" s="128">
        <v>10000000</v>
      </c>
      <c r="X513" s="126" t="s">
        <v>1209</v>
      </c>
      <c r="Y513" s="126">
        <v>0</v>
      </c>
      <c r="Z513" s="126">
        <v>0</v>
      </c>
      <c r="AA513" s="126" t="s">
        <v>0</v>
      </c>
      <c r="AB513" s="126" t="s">
        <v>140</v>
      </c>
      <c r="AC513" s="126" t="s">
        <v>162</v>
      </c>
      <c r="AD513" s="126"/>
      <c r="AE513" s="126"/>
      <c r="AF513" s="126"/>
      <c r="AG513" s="126"/>
      <c r="AH513" s="126" t="s">
        <v>287</v>
      </c>
      <c r="AI513" s="126" t="s">
        <v>2225</v>
      </c>
    </row>
    <row r="514" spans="1:35" ht="105" x14ac:dyDescent="0.25">
      <c r="A514" s="46" t="str">
        <f t="shared" si="7"/>
        <v>VILACRD025041TRADICIONALNUTRESA</v>
      </c>
      <c r="B514" s="126" t="s">
        <v>150</v>
      </c>
      <c r="C514" s="126">
        <v>1546</v>
      </c>
      <c r="D514" s="126" t="s">
        <v>140</v>
      </c>
      <c r="E514" s="126" t="s">
        <v>177</v>
      </c>
      <c r="F514" s="127">
        <v>44551</v>
      </c>
      <c r="G514" s="126" t="s">
        <v>175</v>
      </c>
      <c r="H514" s="126" t="s">
        <v>176</v>
      </c>
      <c r="I514" s="126">
        <v>1</v>
      </c>
      <c r="J514" s="126" t="s">
        <v>184</v>
      </c>
      <c r="K514" s="126" t="s">
        <v>287</v>
      </c>
      <c r="L514" s="126" t="s">
        <v>2226</v>
      </c>
      <c r="M514" s="126">
        <v>0</v>
      </c>
      <c r="N514" s="126">
        <v>0</v>
      </c>
      <c r="O514" s="126" t="s">
        <v>2227</v>
      </c>
      <c r="P514" s="126" t="s">
        <v>170</v>
      </c>
      <c r="Q514" s="126" t="s">
        <v>1327</v>
      </c>
      <c r="R514" s="126" t="s">
        <v>1327</v>
      </c>
      <c r="S514" s="126" t="s">
        <v>1328</v>
      </c>
      <c r="T514" s="126" t="s">
        <v>160</v>
      </c>
      <c r="U514" s="126"/>
      <c r="V514" s="128">
        <v>69000000</v>
      </c>
      <c r="W514" s="128">
        <v>69000000</v>
      </c>
      <c r="X514" s="126" t="s">
        <v>1209</v>
      </c>
      <c r="Y514" s="126">
        <v>0</v>
      </c>
      <c r="Z514" s="126">
        <v>0</v>
      </c>
      <c r="AA514" s="126" t="s">
        <v>2</v>
      </c>
      <c r="AB514" s="126" t="s">
        <v>140</v>
      </c>
      <c r="AC514" s="126" t="s">
        <v>162</v>
      </c>
      <c r="AD514" s="126"/>
      <c r="AE514" s="126"/>
      <c r="AF514" s="126"/>
      <c r="AG514" s="126"/>
      <c r="AH514" s="126" t="s">
        <v>287</v>
      </c>
      <c r="AI514" s="126" t="s">
        <v>2228</v>
      </c>
    </row>
    <row r="515" spans="1:35" ht="105" x14ac:dyDescent="0.25">
      <c r="A515" s="46" t="str">
        <f t="shared" ref="A515" si="8">+CONCATENATE(B515,Q515,AA515,AB515)</f>
        <v>VILACRD025040AUTOSERVICIONUTRESA</v>
      </c>
      <c r="B515" s="126" t="s">
        <v>150</v>
      </c>
      <c r="C515" s="126">
        <v>1547</v>
      </c>
      <c r="D515" s="126" t="s">
        <v>140</v>
      </c>
      <c r="E515" s="126" t="s">
        <v>177</v>
      </c>
      <c r="F515" s="127">
        <v>44551</v>
      </c>
      <c r="G515" s="126" t="s">
        <v>175</v>
      </c>
      <c r="H515" s="126" t="s">
        <v>176</v>
      </c>
      <c r="I515" s="126">
        <v>1</v>
      </c>
      <c r="J515" s="126" t="s">
        <v>184</v>
      </c>
      <c r="K515" s="126" t="s">
        <v>287</v>
      </c>
      <c r="L515" s="126" t="s">
        <v>2229</v>
      </c>
      <c r="M515" s="126">
        <v>0</v>
      </c>
      <c r="N515" s="126">
        <v>0</v>
      </c>
      <c r="O515" s="126" t="s">
        <v>2230</v>
      </c>
      <c r="P515" s="126" t="s">
        <v>170</v>
      </c>
      <c r="Q515" s="126" t="s">
        <v>1461</v>
      </c>
      <c r="R515" s="126" t="s">
        <v>1461</v>
      </c>
      <c r="S515" s="126" t="s">
        <v>1462</v>
      </c>
      <c r="T515" s="126" t="s">
        <v>160</v>
      </c>
      <c r="U515" s="126"/>
      <c r="V515" s="128">
        <v>2000000</v>
      </c>
      <c r="W515" s="128">
        <v>2000000</v>
      </c>
      <c r="X515" s="126" t="s">
        <v>1209</v>
      </c>
      <c r="Y515" s="126">
        <v>0</v>
      </c>
      <c r="Z515" s="126">
        <v>0</v>
      </c>
      <c r="AA515" s="126" t="s">
        <v>0</v>
      </c>
      <c r="AB515" s="126" t="s">
        <v>140</v>
      </c>
      <c r="AC515" s="126" t="s">
        <v>162</v>
      </c>
      <c r="AD515" s="126"/>
      <c r="AE515" s="126"/>
      <c r="AF515" s="126"/>
      <c r="AG515" s="126"/>
      <c r="AH515" s="126" t="s">
        <v>287</v>
      </c>
      <c r="AI515" s="126" t="s">
        <v>2231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/>
  <dimension ref="A1:AI2"/>
  <sheetViews>
    <sheetView workbookViewId="0">
      <selection activeCell="A3" sqref="A3:XFD3473"/>
    </sheetView>
  </sheetViews>
  <sheetFormatPr baseColWidth="10" defaultRowHeight="15" x14ac:dyDescent="0.25"/>
  <cols>
    <col min="1" max="1" width="29.7109375" style="6" bestFit="1" customWidth="1"/>
    <col min="2" max="8" width="11.42578125" style="6"/>
    <col min="9" max="9" width="37.140625" style="6" customWidth="1"/>
    <col min="10" max="16384" width="11.42578125" style="6"/>
  </cols>
  <sheetData>
    <row r="1" spans="1:35" x14ac:dyDescent="0.25">
      <c r="A1" s="6" t="s">
        <v>51</v>
      </c>
      <c r="B1" s="6" t="s">
        <v>52</v>
      </c>
      <c r="C1" s="6" t="s">
        <v>86</v>
      </c>
      <c r="D1" s="6" t="s">
        <v>58</v>
      </c>
      <c r="E1" s="6" t="s">
        <v>87</v>
      </c>
      <c r="F1" s="6" t="s">
        <v>66</v>
      </c>
      <c r="G1" s="6" t="s">
        <v>88</v>
      </c>
      <c r="H1" s="6" t="s">
        <v>67</v>
      </c>
      <c r="I1" s="6" t="s">
        <v>89</v>
      </c>
      <c r="J1" s="6" t="s">
        <v>70</v>
      </c>
      <c r="K1" s="6" t="s">
        <v>90</v>
      </c>
      <c r="L1" s="6" t="s">
        <v>91</v>
      </c>
      <c r="M1" s="6" t="s">
        <v>72</v>
      </c>
      <c r="N1" s="6" t="s">
        <v>92</v>
      </c>
      <c r="O1" s="6" t="s">
        <v>93</v>
      </c>
      <c r="P1" s="6" t="s">
        <v>94</v>
      </c>
      <c r="Q1" s="6" t="s">
        <v>95</v>
      </c>
      <c r="R1" s="6" t="s">
        <v>96</v>
      </c>
      <c r="S1" s="6" t="s">
        <v>76</v>
      </c>
      <c r="T1" s="6" t="s">
        <v>75</v>
      </c>
      <c r="U1" s="6" t="s">
        <v>77</v>
      </c>
      <c r="V1" s="6" t="s">
        <v>78</v>
      </c>
      <c r="W1" s="6" t="s">
        <v>79</v>
      </c>
      <c r="X1" s="6" t="s">
        <v>97</v>
      </c>
      <c r="Y1" s="6" t="s">
        <v>98</v>
      </c>
      <c r="Z1" s="6" t="s">
        <v>99</v>
      </c>
      <c r="AA1" s="6" t="s">
        <v>100</v>
      </c>
      <c r="AB1" s="6" t="s">
        <v>101</v>
      </c>
      <c r="AC1" s="6" t="s">
        <v>102</v>
      </c>
      <c r="AD1" s="6" t="s">
        <v>103</v>
      </c>
      <c r="AE1" s="6" t="s">
        <v>104</v>
      </c>
      <c r="AF1" s="6" t="s">
        <v>105</v>
      </c>
      <c r="AG1" s="6" t="s">
        <v>106</v>
      </c>
      <c r="AH1" s="6" t="s">
        <v>125</v>
      </c>
    </row>
    <row r="2" spans="1:35" ht="15" customHeight="1" x14ac:dyDescent="0.25">
      <c r="A2" s="6" t="str">
        <f>+CONCATENATE(B2,H2,U2,V2)</f>
        <v>BARRCRD011367TRADICIONALBPO</v>
      </c>
      <c r="B2" s="46" t="s">
        <v>3</v>
      </c>
      <c r="C2" s="46" t="s">
        <v>186</v>
      </c>
      <c r="D2" s="46" t="s">
        <v>187</v>
      </c>
      <c r="E2" s="46" t="s">
        <v>188</v>
      </c>
      <c r="F2" s="46" t="s">
        <v>189</v>
      </c>
      <c r="G2" s="46">
        <v>1</v>
      </c>
      <c r="H2" s="46" t="s">
        <v>158</v>
      </c>
      <c r="I2" s="46" t="s">
        <v>190</v>
      </c>
      <c r="J2" s="46" t="s">
        <v>160</v>
      </c>
      <c r="K2" s="46" t="s">
        <v>191</v>
      </c>
      <c r="L2" s="47">
        <v>51501</v>
      </c>
      <c r="M2" s="46">
        <v>1</v>
      </c>
      <c r="N2" s="46">
        <v>1</v>
      </c>
      <c r="O2" s="46">
        <v>0</v>
      </c>
      <c r="P2" s="46">
        <v>0</v>
      </c>
      <c r="Q2" s="46">
        <v>32550</v>
      </c>
      <c r="R2" s="46">
        <v>32550</v>
      </c>
      <c r="S2" s="46">
        <v>0</v>
      </c>
      <c r="T2" s="46">
        <v>0</v>
      </c>
      <c r="U2" s="46" t="s">
        <v>2</v>
      </c>
      <c r="V2" s="46" t="s">
        <v>161</v>
      </c>
      <c r="W2" s="46" t="s">
        <v>162</v>
      </c>
      <c r="X2" s="46"/>
      <c r="Y2" s="47">
        <v>43525</v>
      </c>
      <c r="Z2" s="47">
        <v>44470</v>
      </c>
      <c r="AA2" s="46"/>
      <c r="AB2" s="48">
        <v>43871.714082245373</v>
      </c>
      <c r="AC2" s="46" t="s">
        <v>192</v>
      </c>
      <c r="AD2" s="46" t="s">
        <v>193</v>
      </c>
      <c r="AE2" s="46" t="s">
        <v>194</v>
      </c>
      <c r="AF2" s="46" t="s">
        <v>195</v>
      </c>
      <c r="AG2" s="46" t="s">
        <v>196</v>
      </c>
      <c r="AH2" s="47">
        <v>42181</v>
      </c>
      <c r="AI2" s="46"/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1:F459"/>
  <sheetViews>
    <sheetView workbookViewId="0">
      <selection activeCell="C31" sqref="C31"/>
    </sheetView>
  </sheetViews>
  <sheetFormatPr baseColWidth="10" defaultRowHeight="15" x14ac:dyDescent="0.25"/>
  <cols>
    <col min="1" max="1" width="43.5703125" bestFit="1" customWidth="1"/>
    <col min="2" max="2" width="10.5703125" bestFit="1" customWidth="1"/>
    <col min="3" max="3" width="16.7109375" bestFit="1" customWidth="1"/>
    <col min="4" max="4" width="10.42578125" customWidth="1"/>
    <col min="5" max="32" width="10.5703125" customWidth="1"/>
    <col min="33" max="33" width="11" customWidth="1"/>
    <col min="34" max="34" width="12.5703125" bestFit="1" customWidth="1"/>
  </cols>
  <sheetData>
    <row r="1" spans="1:6" x14ac:dyDescent="0.25">
      <c r="A1" s="1" t="s">
        <v>77</v>
      </c>
      <c r="B1" s="46" t="s">
        <v>50</v>
      </c>
    </row>
    <row r="3" spans="1:6" x14ac:dyDescent="0.25">
      <c r="A3" s="1" t="s">
        <v>51</v>
      </c>
      <c r="B3" s="1" t="s">
        <v>67</v>
      </c>
      <c r="C3" t="s">
        <v>120</v>
      </c>
    </row>
    <row r="4" spans="1:6" x14ac:dyDescent="0.25">
      <c r="A4" s="46" t="s">
        <v>822</v>
      </c>
      <c r="B4" s="46" t="s">
        <v>155</v>
      </c>
      <c r="C4" s="12">
        <v>1000000</v>
      </c>
      <c r="F4" s="46"/>
    </row>
    <row r="5" spans="1:6" x14ac:dyDescent="0.25">
      <c r="A5" s="46" t="s">
        <v>841</v>
      </c>
      <c r="B5" s="46" t="s">
        <v>349</v>
      </c>
      <c r="C5" s="12">
        <v>1000000</v>
      </c>
      <c r="F5" s="46"/>
    </row>
    <row r="6" spans="1:6" x14ac:dyDescent="0.25">
      <c r="A6" s="46" t="s">
        <v>838</v>
      </c>
      <c r="B6" s="46" t="s">
        <v>270</v>
      </c>
      <c r="C6" s="12">
        <v>1000000</v>
      </c>
      <c r="F6" s="46"/>
    </row>
    <row r="7" spans="1:6" x14ac:dyDescent="0.25">
      <c r="A7" s="46" t="s">
        <v>855</v>
      </c>
      <c r="B7" s="46" t="s">
        <v>284</v>
      </c>
      <c r="C7" s="12">
        <v>7000000</v>
      </c>
      <c r="F7" s="46"/>
    </row>
    <row r="8" spans="1:6" x14ac:dyDescent="0.25">
      <c r="A8" s="46" t="s">
        <v>853</v>
      </c>
      <c r="B8" s="46" t="s">
        <v>493</v>
      </c>
      <c r="C8" s="12">
        <v>1196000000</v>
      </c>
    </row>
    <row r="9" spans="1:6" x14ac:dyDescent="0.25">
      <c r="A9" s="46" t="s">
        <v>843</v>
      </c>
      <c r="B9" s="46" t="s">
        <v>478</v>
      </c>
      <c r="C9" s="12">
        <v>1200000000</v>
      </c>
    </row>
    <row r="10" spans="1:6" x14ac:dyDescent="0.25">
      <c r="A10" s="46" t="s">
        <v>845</v>
      </c>
      <c r="B10" s="46" t="s">
        <v>476</v>
      </c>
      <c r="C10" s="12">
        <v>1200000000</v>
      </c>
    </row>
    <row r="11" spans="1:6" x14ac:dyDescent="0.25">
      <c r="A11" s="46" t="s">
        <v>844</v>
      </c>
      <c r="B11" s="46" t="s">
        <v>482</v>
      </c>
      <c r="C11" s="12">
        <v>1200000000</v>
      </c>
    </row>
    <row r="12" spans="1:6" x14ac:dyDescent="0.25">
      <c r="A12" s="46" t="s">
        <v>846</v>
      </c>
      <c r="B12" s="46" t="s">
        <v>480</v>
      </c>
      <c r="C12" s="12">
        <v>1198000000</v>
      </c>
    </row>
    <row r="13" spans="1:6" x14ac:dyDescent="0.25">
      <c r="A13" s="46" t="s">
        <v>824</v>
      </c>
      <c r="B13" s="46" t="s">
        <v>396</v>
      </c>
      <c r="C13" s="12">
        <v>12000000</v>
      </c>
    </row>
    <row r="14" spans="1:6" x14ac:dyDescent="0.25">
      <c r="A14" s="46" t="s">
        <v>831</v>
      </c>
      <c r="B14" s="46" t="s">
        <v>459</v>
      </c>
      <c r="C14" s="12">
        <v>500000000</v>
      </c>
    </row>
    <row r="15" spans="1:6" x14ac:dyDescent="0.25">
      <c r="A15" s="46" t="s">
        <v>832</v>
      </c>
      <c r="B15" s="46" t="s">
        <v>459</v>
      </c>
      <c r="C15" s="12">
        <v>1500000000</v>
      </c>
    </row>
    <row r="16" spans="1:6" x14ac:dyDescent="0.25">
      <c r="A16" s="46" t="s">
        <v>833</v>
      </c>
      <c r="B16" s="46" t="s">
        <v>463</v>
      </c>
      <c r="C16" s="12">
        <v>500000000</v>
      </c>
    </row>
    <row r="17" spans="1:3" x14ac:dyDescent="0.25">
      <c r="A17" s="46" t="s">
        <v>834</v>
      </c>
      <c r="B17" s="46" t="s">
        <v>463</v>
      </c>
      <c r="C17" s="12">
        <v>1500000000</v>
      </c>
    </row>
    <row r="18" spans="1:3" x14ac:dyDescent="0.25">
      <c r="A18" s="46" t="s">
        <v>837</v>
      </c>
      <c r="B18" s="46" t="s">
        <v>461</v>
      </c>
      <c r="C18" s="12">
        <v>500000000</v>
      </c>
    </row>
    <row r="19" spans="1:3" x14ac:dyDescent="0.25">
      <c r="A19" s="46" t="s">
        <v>830</v>
      </c>
      <c r="B19" s="46" t="s">
        <v>461</v>
      </c>
      <c r="C19" s="12">
        <v>1500000000</v>
      </c>
    </row>
    <row r="20" spans="1:3" x14ac:dyDescent="0.25">
      <c r="A20" s="46" t="s">
        <v>836</v>
      </c>
      <c r="B20" s="46" t="s">
        <v>464</v>
      </c>
      <c r="C20" s="12">
        <v>500000000</v>
      </c>
    </row>
    <row r="21" spans="1:3" x14ac:dyDescent="0.25">
      <c r="A21" s="46" t="s">
        <v>835</v>
      </c>
      <c r="B21" s="46" t="s">
        <v>464</v>
      </c>
      <c r="C21" s="12">
        <v>1500000000</v>
      </c>
    </row>
    <row r="22" spans="1:3" x14ac:dyDescent="0.25">
      <c r="A22" s="46" t="s">
        <v>854</v>
      </c>
      <c r="B22" s="46" t="s">
        <v>380</v>
      </c>
      <c r="C22" s="12">
        <v>28000000</v>
      </c>
    </row>
    <row r="23" spans="1:3" x14ac:dyDescent="0.25">
      <c r="A23" s="46" t="s">
        <v>839</v>
      </c>
      <c r="B23" s="46" t="s">
        <v>467</v>
      </c>
      <c r="C23" s="12">
        <v>3000000000</v>
      </c>
    </row>
    <row r="24" spans="1:3" x14ac:dyDescent="0.25">
      <c r="A24" s="46" t="s">
        <v>829</v>
      </c>
      <c r="B24" s="46" t="s">
        <v>446</v>
      </c>
      <c r="C24" s="12">
        <v>150000000</v>
      </c>
    </row>
    <row r="25" spans="1:3" x14ac:dyDescent="0.25">
      <c r="A25" s="46" t="s">
        <v>856</v>
      </c>
      <c r="B25" s="46" t="s">
        <v>555</v>
      </c>
      <c r="C25" s="12">
        <v>348000000</v>
      </c>
    </row>
    <row r="26" spans="1:3" x14ac:dyDescent="0.25">
      <c r="A26" s="46" t="s">
        <v>850</v>
      </c>
      <c r="B26" s="46" t="s">
        <v>489</v>
      </c>
      <c r="C26" s="12">
        <v>20000000</v>
      </c>
    </row>
    <row r="27" spans="1:3" x14ac:dyDescent="0.25">
      <c r="A27" s="46" t="s">
        <v>851</v>
      </c>
      <c r="B27" s="46" t="s">
        <v>491</v>
      </c>
      <c r="C27" s="12">
        <v>20000000</v>
      </c>
    </row>
    <row r="28" spans="1:3" x14ac:dyDescent="0.25">
      <c r="A28" s="46" t="s">
        <v>840</v>
      </c>
      <c r="B28" s="46" t="s">
        <v>469</v>
      </c>
      <c r="C28" s="12">
        <v>80000000</v>
      </c>
    </row>
    <row r="29" spans="1:3" x14ac:dyDescent="0.25">
      <c r="A29" s="46" t="s">
        <v>847</v>
      </c>
      <c r="B29" s="46" t="s">
        <v>485</v>
      </c>
      <c r="C29" s="12">
        <v>53000000</v>
      </c>
    </row>
    <row r="30" spans="1:3" x14ac:dyDescent="0.25">
      <c r="A30" s="46" t="s">
        <v>857</v>
      </c>
      <c r="B30" s="46" t="s">
        <v>579</v>
      </c>
      <c r="C30" s="12">
        <v>53000000</v>
      </c>
    </row>
    <row r="31" spans="1:3" x14ac:dyDescent="0.25">
      <c r="A31" s="46" t="s">
        <v>848</v>
      </c>
      <c r="B31" s="46" t="s">
        <v>486</v>
      </c>
      <c r="C31" s="12">
        <v>2000000000</v>
      </c>
    </row>
    <row r="32" spans="1:3" x14ac:dyDescent="0.25">
      <c r="A32" s="46" t="s">
        <v>849</v>
      </c>
      <c r="B32" s="46" t="s">
        <v>487</v>
      </c>
      <c r="C32" s="12">
        <v>1400000000</v>
      </c>
    </row>
    <row r="33" spans="1:3" x14ac:dyDescent="0.25">
      <c r="A33" s="46" t="s">
        <v>852</v>
      </c>
      <c r="B33" s="46" t="s">
        <v>488</v>
      </c>
      <c r="C33" s="12">
        <v>1000000000</v>
      </c>
    </row>
    <row r="34" spans="1:3" x14ac:dyDescent="0.25">
      <c r="A34" s="46" t="s">
        <v>842</v>
      </c>
      <c r="B34" s="46" t="s">
        <v>473</v>
      </c>
      <c r="C34" s="12">
        <v>1000000</v>
      </c>
    </row>
    <row r="35" spans="1:3" x14ac:dyDescent="0.25">
      <c r="A35" s="46" t="s">
        <v>872</v>
      </c>
      <c r="B35" s="46" t="s">
        <v>504</v>
      </c>
      <c r="C35" s="12">
        <v>1000000</v>
      </c>
    </row>
    <row r="36" spans="1:3" x14ac:dyDescent="0.25">
      <c r="A36" s="46" t="s">
        <v>883</v>
      </c>
      <c r="B36" s="46" t="s">
        <v>356</v>
      </c>
      <c r="C36" s="12">
        <v>4000000</v>
      </c>
    </row>
    <row r="37" spans="1:3" x14ac:dyDescent="0.25">
      <c r="A37" s="46" t="s">
        <v>884</v>
      </c>
      <c r="B37" s="46" t="s">
        <v>361</v>
      </c>
      <c r="C37" s="12">
        <v>4000000</v>
      </c>
    </row>
    <row r="38" spans="1:3" x14ac:dyDescent="0.25">
      <c r="A38" s="46" t="s">
        <v>881</v>
      </c>
      <c r="B38" s="46" t="s">
        <v>520</v>
      </c>
      <c r="C38" s="12">
        <v>4000000</v>
      </c>
    </row>
    <row r="39" spans="1:3" x14ac:dyDescent="0.25">
      <c r="A39" s="46" t="s">
        <v>885</v>
      </c>
      <c r="B39" s="46" t="s">
        <v>533</v>
      </c>
      <c r="C39" s="12">
        <v>4000000</v>
      </c>
    </row>
    <row r="40" spans="1:3" x14ac:dyDescent="0.25">
      <c r="A40" s="46" t="s">
        <v>886</v>
      </c>
      <c r="B40" s="46" t="s">
        <v>536</v>
      </c>
      <c r="C40" s="12">
        <v>4000000</v>
      </c>
    </row>
    <row r="41" spans="1:3" x14ac:dyDescent="0.25">
      <c r="A41" s="46" t="s">
        <v>882</v>
      </c>
      <c r="B41" s="46" t="s">
        <v>526</v>
      </c>
      <c r="C41" s="12">
        <v>4000000</v>
      </c>
    </row>
    <row r="42" spans="1:3" x14ac:dyDescent="0.25">
      <c r="A42" s="46" t="s">
        <v>873</v>
      </c>
      <c r="B42" s="46" t="s">
        <v>508</v>
      </c>
      <c r="C42" s="12">
        <v>220000000</v>
      </c>
    </row>
    <row r="43" spans="1:3" x14ac:dyDescent="0.25">
      <c r="A43" s="46" t="s">
        <v>874</v>
      </c>
      <c r="B43" s="46" t="s">
        <v>146</v>
      </c>
      <c r="C43" s="12">
        <v>220000000</v>
      </c>
    </row>
    <row r="44" spans="1:3" x14ac:dyDescent="0.25">
      <c r="A44" s="46" t="s">
        <v>896</v>
      </c>
      <c r="B44" s="46" t="s">
        <v>401</v>
      </c>
      <c r="C44" s="12">
        <v>400000000</v>
      </c>
    </row>
    <row r="45" spans="1:3" x14ac:dyDescent="0.25">
      <c r="A45" s="46" t="s">
        <v>879</v>
      </c>
      <c r="B45" s="46" t="s">
        <v>529</v>
      </c>
      <c r="C45" s="12">
        <v>3000000</v>
      </c>
    </row>
    <row r="46" spans="1:3" x14ac:dyDescent="0.25">
      <c r="A46" s="46" t="s">
        <v>875</v>
      </c>
      <c r="B46" s="46" t="s">
        <v>309</v>
      </c>
      <c r="C46" s="12">
        <v>220000000</v>
      </c>
    </row>
    <row r="47" spans="1:3" x14ac:dyDescent="0.25">
      <c r="A47" s="46" t="s">
        <v>880</v>
      </c>
      <c r="B47" s="46" t="s">
        <v>523</v>
      </c>
      <c r="C47" s="12">
        <v>4000000</v>
      </c>
    </row>
    <row r="48" spans="1:3" x14ac:dyDescent="0.25">
      <c r="A48" s="46" t="s">
        <v>891</v>
      </c>
      <c r="B48" s="46" t="s">
        <v>272</v>
      </c>
      <c r="C48" s="12">
        <v>1000000</v>
      </c>
    </row>
    <row r="49" spans="1:3" x14ac:dyDescent="0.25">
      <c r="A49" s="46" t="s">
        <v>825</v>
      </c>
      <c r="B49" s="46" t="s">
        <v>297</v>
      </c>
      <c r="C49" s="12">
        <v>4000000</v>
      </c>
    </row>
    <row r="50" spans="1:3" x14ac:dyDescent="0.25">
      <c r="A50" s="46" t="s">
        <v>908</v>
      </c>
      <c r="B50" s="46" t="s">
        <v>452</v>
      </c>
      <c r="C50" s="12">
        <v>61110000000</v>
      </c>
    </row>
    <row r="51" spans="1:3" x14ac:dyDescent="0.25">
      <c r="A51" s="46" t="s">
        <v>890</v>
      </c>
      <c r="B51" s="46" t="s">
        <v>548</v>
      </c>
      <c r="C51" s="12">
        <v>4000000</v>
      </c>
    </row>
    <row r="52" spans="1:3" x14ac:dyDescent="0.25">
      <c r="A52" s="46" t="s">
        <v>868</v>
      </c>
      <c r="B52" s="46" t="s">
        <v>459</v>
      </c>
      <c r="C52" s="12">
        <v>500000000</v>
      </c>
    </row>
    <row r="53" spans="1:3" x14ac:dyDescent="0.25">
      <c r="A53" s="46" t="s">
        <v>867</v>
      </c>
      <c r="B53" s="46" t="s">
        <v>459</v>
      </c>
      <c r="C53" s="12">
        <v>1000000000</v>
      </c>
    </row>
    <row r="54" spans="1:3" x14ac:dyDescent="0.25">
      <c r="A54" s="46" t="s">
        <v>860</v>
      </c>
      <c r="B54" s="46" t="s">
        <v>459</v>
      </c>
      <c r="C54" s="12">
        <v>3000000000</v>
      </c>
    </row>
    <row r="55" spans="1:3" x14ac:dyDescent="0.25">
      <c r="A55" s="46" t="s">
        <v>865</v>
      </c>
      <c r="B55" s="46" t="s">
        <v>463</v>
      </c>
      <c r="C55" s="12">
        <v>500000000</v>
      </c>
    </row>
    <row r="56" spans="1:3" x14ac:dyDescent="0.25">
      <c r="A56" s="46" t="s">
        <v>866</v>
      </c>
      <c r="B56" s="46" t="s">
        <v>463</v>
      </c>
      <c r="C56" s="12">
        <v>1000000000</v>
      </c>
    </row>
    <row r="57" spans="1:3" x14ac:dyDescent="0.25">
      <c r="A57" s="46" t="s">
        <v>871</v>
      </c>
      <c r="B57" s="46" t="s">
        <v>463</v>
      </c>
      <c r="C57" s="12">
        <v>3000000000</v>
      </c>
    </row>
    <row r="58" spans="1:3" x14ac:dyDescent="0.25">
      <c r="A58" s="46" t="s">
        <v>862</v>
      </c>
      <c r="B58" s="46" t="s">
        <v>461</v>
      </c>
      <c r="C58" s="12">
        <v>500000000</v>
      </c>
    </row>
    <row r="59" spans="1:3" x14ac:dyDescent="0.25">
      <c r="A59" s="46" t="s">
        <v>863</v>
      </c>
      <c r="B59" s="46" t="s">
        <v>461</v>
      </c>
      <c r="C59" s="12">
        <v>1000000000</v>
      </c>
    </row>
    <row r="60" spans="1:3" x14ac:dyDescent="0.25">
      <c r="A60" s="46" t="s">
        <v>864</v>
      </c>
      <c r="B60" s="46" t="s">
        <v>461</v>
      </c>
      <c r="C60" s="12">
        <v>3000000000</v>
      </c>
    </row>
    <row r="61" spans="1:3" x14ac:dyDescent="0.25">
      <c r="A61" s="46" t="s">
        <v>870</v>
      </c>
      <c r="B61" s="46" t="s">
        <v>464</v>
      </c>
      <c r="C61" s="12">
        <v>500000000</v>
      </c>
    </row>
    <row r="62" spans="1:3" x14ac:dyDescent="0.25">
      <c r="A62" s="46" t="s">
        <v>869</v>
      </c>
      <c r="B62" s="46" t="s">
        <v>464</v>
      </c>
      <c r="C62" s="12">
        <v>1000000000</v>
      </c>
    </row>
    <row r="63" spans="1:3" x14ac:dyDescent="0.25">
      <c r="A63" s="46" t="s">
        <v>861</v>
      </c>
      <c r="B63" s="46" t="s">
        <v>464</v>
      </c>
      <c r="C63" s="12">
        <v>3000000000</v>
      </c>
    </row>
    <row r="64" spans="1:3" x14ac:dyDescent="0.25">
      <c r="A64" s="46" t="s">
        <v>888</v>
      </c>
      <c r="B64" s="46" t="s">
        <v>467</v>
      </c>
      <c r="C64" s="12">
        <v>50000000000</v>
      </c>
    </row>
    <row r="65" spans="1:3" x14ac:dyDescent="0.25">
      <c r="A65" s="46" t="s">
        <v>858</v>
      </c>
      <c r="B65" s="46" t="s">
        <v>447</v>
      </c>
      <c r="C65" s="12">
        <v>3000000</v>
      </c>
    </row>
    <row r="66" spans="1:3" x14ac:dyDescent="0.25">
      <c r="A66" s="46" t="s">
        <v>859</v>
      </c>
      <c r="B66" s="46" t="s">
        <v>449</v>
      </c>
      <c r="C66" s="12">
        <v>2000000</v>
      </c>
    </row>
    <row r="67" spans="1:3" x14ac:dyDescent="0.25">
      <c r="A67" s="46" t="s">
        <v>894</v>
      </c>
      <c r="B67" s="46" t="s">
        <v>555</v>
      </c>
      <c r="C67" s="12">
        <v>143000000</v>
      </c>
    </row>
    <row r="68" spans="1:3" x14ac:dyDescent="0.25">
      <c r="A68" s="46" t="s">
        <v>895</v>
      </c>
      <c r="B68" s="46" t="s">
        <v>555</v>
      </c>
      <c r="C68" s="12">
        <v>2914000000</v>
      </c>
    </row>
    <row r="69" spans="1:3" x14ac:dyDescent="0.25">
      <c r="A69" s="46" t="s">
        <v>878</v>
      </c>
      <c r="B69" s="46" t="s">
        <v>513</v>
      </c>
      <c r="C69" s="12">
        <v>67000000</v>
      </c>
    </row>
    <row r="70" spans="1:3" x14ac:dyDescent="0.25">
      <c r="A70" s="46" t="s">
        <v>877</v>
      </c>
      <c r="B70" s="46" t="s">
        <v>513</v>
      </c>
      <c r="C70" s="12">
        <v>275000000</v>
      </c>
    </row>
    <row r="71" spans="1:3" x14ac:dyDescent="0.25">
      <c r="A71" s="46" t="s">
        <v>902</v>
      </c>
      <c r="B71" s="46" t="s">
        <v>489</v>
      </c>
      <c r="C71" s="12">
        <v>150000000</v>
      </c>
    </row>
    <row r="72" spans="1:3" x14ac:dyDescent="0.25">
      <c r="A72" s="46" t="s">
        <v>903</v>
      </c>
      <c r="B72" s="46" t="s">
        <v>489</v>
      </c>
      <c r="C72" s="12">
        <v>150000000</v>
      </c>
    </row>
    <row r="73" spans="1:3" x14ac:dyDescent="0.25">
      <c r="A73" s="46" t="s">
        <v>905</v>
      </c>
      <c r="B73" s="46" t="s">
        <v>491</v>
      </c>
      <c r="C73" s="12">
        <v>150000000</v>
      </c>
    </row>
    <row r="74" spans="1:3" x14ac:dyDescent="0.25">
      <c r="A74" s="46" t="s">
        <v>904</v>
      </c>
      <c r="B74" s="46" t="s">
        <v>491</v>
      </c>
      <c r="C74" s="12">
        <v>150000000</v>
      </c>
    </row>
    <row r="75" spans="1:3" x14ac:dyDescent="0.25">
      <c r="A75" s="46" t="s">
        <v>876</v>
      </c>
      <c r="B75" s="46" t="s">
        <v>469</v>
      </c>
      <c r="C75" s="12">
        <v>220000000</v>
      </c>
    </row>
    <row r="76" spans="1:3" x14ac:dyDescent="0.25">
      <c r="A76" s="46" t="s">
        <v>893</v>
      </c>
      <c r="B76" s="46" t="s">
        <v>485</v>
      </c>
      <c r="C76" s="12">
        <v>122000000</v>
      </c>
    </row>
    <row r="77" spans="1:3" x14ac:dyDescent="0.25">
      <c r="A77" s="46" t="s">
        <v>892</v>
      </c>
      <c r="B77" s="46" t="s">
        <v>485</v>
      </c>
      <c r="C77" s="12">
        <v>153000000</v>
      </c>
    </row>
    <row r="78" spans="1:3" x14ac:dyDescent="0.25">
      <c r="A78" s="46" t="s">
        <v>907</v>
      </c>
      <c r="B78" s="46" t="s">
        <v>565</v>
      </c>
      <c r="C78" s="12">
        <v>52000000</v>
      </c>
    </row>
    <row r="79" spans="1:3" x14ac:dyDescent="0.25">
      <c r="A79" s="46" t="s">
        <v>906</v>
      </c>
      <c r="B79" s="46" t="s">
        <v>565</v>
      </c>
      <c r="C79" s="12">
        <v>153000000</v>
      </c>
    </row>
    <row r="80" spans="1:3" x14ac:dyDescent="0.25">
      <c r="A80" s="46" t="s">
        <v>889</v>
      </c>
      <c r="B80" s="46" t="s">
        <v>544</v>
      </c>
      <c r="C80" s="12">
        <v>68000000</v>
      </c>
    </row>
    <row r="81" spans="1:3" x14ac:dyDescent="0.25">
      <c r="A81" s="46" t="s">
        <v>898</v>
      </c>
      <c r="B81" s="46" t="s">
        <v>486</v>
      </c>
      <c r="C81" s="12">
        <v>3900000000</v>
      </c>
    </row>
    <row r="82" spans="1:3" x14ac:dyDescent="0.25">
      <c r="A82" s="46" t="s">
        <v>901</v>
      </c>
      <c r="B82" s="46" t="s">
        <v>487</v>
      </c>
      <c r="C82" s="12">
        <v>400000000</v>
      </c>
    </row>
    <row r="83" spans="1:3" x14ac:dyDescent="0.25">
      <c r="A83" s="46" t="s">
        <v>897</v>
      </c>
      <c r="B83" s="46" t="s">
        <v>487</v>
      </c>
      <c r="C83" s="12">
        <v>2600000000</v>
      </c>
    </row>
    <row r="84" spans="1:3" x14ac:dyDescent="0.25">
      <c r="A84" s="46" t="s">
        <v>900</v>
      </c>
      <c r="B84" s="46" t="s">
        <v>488</v>
      </c>
      <c r="C84" s="12">
        <v>800000000</v>
      </c>
    </row>
    <row r="85" spans="1:3" x14ac:dyDescent="0.25">
      <c r="A85" s="46" t="s">
        <v>899</v>
      </c>
      <c r="B85" s="46" t="s">
        <v>488</v>
      </c>
      <c r="C85" s="12">
        <v>1500000000</v>
      </c>
    </row>
    <row r="86" spans="1:3" x14ac:dyDescent="0.25">
      <c r="A86" s="46" t="s">
        <v>887</v>
      </c>
      <c r="B86" s="46" t="s">
        <v>473</v>
      </c>
      <c r="C86" s="12">
        <v>10000000</v>
      </c>
    </row>
    <row r="87" spans="1:3" x14ac:dyDescent="0.25">
      <c r="A87" s="46" t="s">
        <v>911</v>
      </c>
      <c r="B87" s="46" t="s">
        <v>769</v>
      </c>
      <c r="C87" s="12">
        <v>19000000</v>
      </c>
    </row>
    <row r="88" spans="1:3" x14ac:dyDescent="0.25">
      <c r="A88" s="46" t="s">
        <v>909</v>
      </c>
      <c r="B88" s="46" t="s">
        <v>765</v>
      </c>
      <c r="C88" s="12">
        <v>27000000</v>
      </c>
    </row>
    <row r="89" spans="1:3" x14ac:dyDescent="0.25">
      <c r="A89" s="46" t="s">
        <v>910</v>
      </c>
      <c r="B89" s="46" t="s">
        <v>765</v>
      </c>
      <c r="C89" s="12">
        <v>60000000</v>
      </c>
    </row>
    <row r="90" spans="1:3" x14ac:dyDescent="0.25">
      <c r="A90" s="46" t="s">
        <v>930</v>
      </c>
      <c r="B90" s="46" t="s">
        <v>401</v>
      </c>
      <c r="C90" s="12">
        <v>50000000</v>
      </c>
    </row>
    <row r="91" spans="1:3" x14ac:dyDescent="0.25">
      <c r="A91" s="46" t="s">
        <v>922</v>
      </c>
      <c r="B91" s="46" t="s">
        <v>478</v>
      </c>
      <c r="C91" s="12">
        <v>400000000</v>
      </c>
    </row>
    <row r="92" spans="1:3" x14ac:dyDescent="0.25">
      <c r="A92" s="46" t="s">
        <v>921</v>
      </c>
      <c r="B92" s="46" t="s">
        <v>476</v>
      </c>
      <c r="C92" s="12">
        <v>400000000</v>
      </c>
    </row>
    <row r="93" spans="1:3" x14ac:dyDescent="0.25">
      <c r="A93" s="46" t="s">
        <v>924</v>
      </c>
      <c r="B93" s="46" t="s">
        <v>482</v>
      </c>
      <c r="C93" s="12">
        <v>400000000</v>
      </c>
    </row>
    <row r="94" spans="1:3" x14ac:dyDescent="0.25">
      <c r="A94" s="46" t="s">
        <v>923</v>
      </c>
      <c r="B94" s="46" t="s">
        <v>480</v>
      </c>
      <c r="C94" s="12">
        <v>381000000</v>
      </c>
    </row>
    <row r="95" spans="1:3" x14ac:dyDescent="0.25">
      <c r="A95" s="46" t="s">
        <v>919</v>
      </c>
      <c r="B95" s="46" t="s">
        <v>459</v>
      </c>
      <c r="C95" s="12">
        <v>500000000</v>
      </c>
    </row>
    <row r="96" spans="1:3" x14ac:dyDescent="0.25">
      <c r="A96" s="46" t="s">
        <v>918</v>
      </c>
      <c r="B96" s="46" t="s">
        <v>459</v>
      </c>
      <c r="C96" s="12">
        <v>500000000</v>
      </c>
    </row>
    <row r="97" spans="1:3" x14ac:dyDescent="0.25">
      <c r="A97" s="46" t="s">
        <v>917</v>
      </c>
      <c r="B97" s="46" t="s">
        <v>463</v>
      </c>
      <c r="C97" s="12">
        <v>500000000</v>
      </c>
    </row>
    <row r="98" spans="1:3" x14ac:dyDescent="0.25">
      <c r="A98" s="46" t="s">
        <v>916</v>
      </c>
      <c r="B98" s="46" t="s">
        <v>463</v>
      </c>
      <c r="C98" s="12">
        <v>500000000</v>
      </c>
    </row>
    <row r="99" spans="1:3" x14ac:dyDescent="0.25">
      <c r="A99" s="46" t="s">
        <v>915</v>
      </c>
      <c r="B99" s="46" t="s">
        <v>461</v>
      </c>
      <c r="C99" s="12">
        <v>500000000</v>
      </c>
    </row>
    <row r="100" spans="1:3" x14ac:dyDescent="0.25">
      <c r="A100" s="46" t="s">
        <v>914</v>
      </c>
      <c r="B100" s="46" t="s">
        <v>461</v>
      </c>
      <c r="C100" s="12">
        <v>500000000</v>
      </c>
    </row>
    <row r="101" spans="1:3" x14ac:dyDescent="0.25">
      <c r="A101" s="46" t="s">
        <v>912</v>
      </c>
      <c r="B101" s="46" t="s">
        <v>464</v>
      </c>
      <c r="C101" s="12">
        <v>500000000</v>
      </c>
    </row>
    <row r="102" spans="1:3" x14ac:dyDescent="0.25">
      <c r="A102" s="46" t="s">
        <v>913</v>
      </c>
      <c r="B102" s="46" t="s">
        <v>464</v>
      </c>
      <c r="C102" s="12">
        <v>500000000</v>
      </c>
    </row>
    <row r="103" spans="1:3" x14ac:dyDescent="0.25">
      <c r="A103" s="46" t="s">
        <v>920</v>
      </c>
      <c r="B103" s="46" t="s">
        <v>467</v>
      </c>
      <c r="C103" s="12">
        <v>15000000000</v>
      </c>
    </row>
    <row r="104" spans="1:3" x14ac:dyDescent="0.25">
      <c r="A104" s="46" t="s">
        <v>928</v>
      </c>
      <c r="B104" s="46" t="s">
        <v>489</v>
      </c>
      <c r="C104" s="12">
        <v>120000000</v>
      </c>
    </row>
    <row r="105" spans="1:3" x14ac:dyDescent="0.25">
      <c r="A105" s="46" t="s">
        <v>929</v>
      </c>
      <c r="B105" s="46" t="s">
        <v>491</v>
      </c>
      <c r="C105" s="12">
        <v>120000000</v>
      </c>
    </row>
    <row r="106" spans="1:3" x14ac:dyDescent="0.25">
      <c r="A106" s="46" t="s">
        <v>931</v>
      </c>
      <c r="B106" s="46" t="s">
        <v>485</v>
      </c>
      <c r="C106" s="12">
        <v>86000000</v>
      </c>
    </row>
    <row r="107" spans="1:3" x14ac:dyDescent="0.25">
      <c r="A107" s="46" t="s">
        <v>925</v>
      </c>
      <c r="B107" s="46" t="s">
        <v>486</v>
      </c>
      <c r="C107" s="12">
        <v>1100000000</v>
      </c>
    </row>
    <row r="108" spans="1:3" x14ac:dyDescent="0.25">
      <c r="A108" s="46" t="s">
        <v>926</v>
      </c>
      <c r="B108" s="46" t="s">
        <v>487</v>
      </c>
      <c r="C108" s="12">
        <v>1400000000</v>
      </c>
    </row>
    <row r="109" spans="1:3" x14ac:dyDescent="0.25">
      <c r="A109" s="46" t="s">
        <v>927</v>
      </c>
      <c r="B109" s="46" t="s">
        <v>488</v>
      </c>
      <c r="C109" s="12">
        <v>800000000</v>
      </c>
    </row>
    <row r="110" spans="1:3" x14ac:dyDescent="0.25">
      <c r="A110" s="46" t="s">
        <v>932</v>
      </c>
      <c r="B110" s="46" t="s">
        <v>765</v>
      </c>
      <c r="C110" s="12">
        <v>60000000</v>
      </c>
    </row>
    <row r="111" spans="1:3" x14ac:dyDescent="0.25">
      <c r="A111" s="46" t="s">
        <v>826</v>
      </c>
      <c r="B111" s="46" t="s">
        <v>132</v>
      </c>
      <c r="C111" s="12">
        <v>1000000</v>
      </c>
    </row>
    <row r="112" spans="1:3" x14ac:dyDescent="0.25">
      <c r="A112" s="46" t="s">
        <v>823</v>
      </c>
      <c r="B112" s="46" t="s">
        <v>136</v>
      </c>
      <c r="C112" s="12">
        <v>1000000</v>
      </c>
    </row>
    <row r="113" spans="1:3" x14ac:dyDescent="0.25">
      <c r="A113" s="46" t="s">
        <v>935</v>
      </c>
      <c r="B113" s="46" t="s">
        <v>349</v>
      </c>
      <c r="C113" s="12">
        <v>1000000</v>
      </c>
    </row>
    <row r="114" spans="1:3" x14ac:dyDescent="0.25">
      <c r="A114" s="46" t="s">
        <v>960</v>
      </c>
      <c r="B114" s="46" t="s">
        <v>508</v>
      </c>
      <c r="C114" s="12">
        <v>6000000</v>
      </c>
    </row>
    <row r="115" spans="1:3" x14ac:dyDescent="0.25">
      <c r="A115" s="46" t="s">
        <v>961</v>
      </c>
      <c r="B115" s="46" t="s">
        <v>146</v>
      </c>
      <c r="C115" s="12">
        <v>6000000</v>
      </c>
    </row>
    <row r="116" spans="1:3" x14ac:dyDescent="0.25">
      <c r="A116" s="46" t="s">
        <v>955</v>
      </c>
      <c r="B116" s="46" t="s">
        <v>152</v>
      </c>
      <c r="C116" s="12">
        <v>1000000</v>
      </c>
    </row>
    <row r="117" spans="1:3" x14ac:dyDescent="0.25">
      <c r="A117" s="46" t="s">
        <v>954</v>
      </c>
      <c r="B117" s="46" t="s">
        <v>151</v>
      </c>
      <c r="C117" s="12">
        <v>1000000</v>
      </c>
    </row>
    <row r="118" spans="1:3" x14ac:dyDescent="0.25">
      <c r="A118" s="46" t="s">
        <v>957</v>
      </c>
      <c r="B118" s="46" t="s">
        <v>401</v>
      </c>
      <c r="C118" s="12">
        <v>50000000</v>
      </c>
    </row>
    <row r="119" spans="1:3" x14ac:dyDescent="0.25">
      <c r="A119" s="46" t="s">
        <v>934</v>
      </c>
      <c r="B119" s="46" t="s">
        <v>398</v>
      </c>
      <c r="C119" s="12">
        <v>75000000</v>
      </c>
    </row>
    <row r="120" spans="1:3" x14ac:dyDescent="0.25">
      <c r="A120" s="46" t="s">
        <v>959</v>
      </c>
      <c r="B120" s="46" t="s">
        <v>309</v>
      </c>
      <c r="C120" s="12">
        <v>2000000</v>
      </c>
    </row>
    <row r="121" spans="1:3" x14ac:dyDescent="0.25">
      <c r="A121" s="46" t="s">
        <v>944</v>
      </c>
      <c r="B121" s="46" t="s">
        <v>245</v>
      </c>
      <c r="C121" s="12">
        <v>2000000</v>
      </c>
    </row>
    <row r="122" spans="1:3" x14ac:dyDescent="0.25">
      <c r="A122" s="46" t="s">
        <v>938</v>
      </c>
      <c r="B122" s="46" t="s">
        <v>459</v>
      </c>
      <c r="C122" s="12">
        <v>500000000</v>
      </c>
    </row>
    <row r="123" spans="1:3" x14ac:dyDescent="0.25">
      <c r="A123" s="46" t="s">
        <v>943</v>
      </c>
      <c r="B123" s="46" t="s">
        <v>459</v>
      </c>
      <c r="C123" s="12">
        <v>1000000000</v>
      </c>
    </row>
    <row r="124" spans="1:3" x14ac:dyDescent="0.25">
      <c r="A124" s="46" t="s">
        <v>939</v>
      </c>
      <c r="B124" s="46" t="s">
        <v>463</v>
      </c>
      <c r="C124" s="12">
        <v>500000000</v>
      </c>
    </row>
    <row r="125" spans="1:3" x14ac:dyDescent="0.25">
      <c r="A125" s="46" t="s">
        <v>937</v>
      </c>
      <c r="B125" s="46" t="s">
        <v>463</v>
      </c>
      <c r="C125" s="12">
        <v>1000000000</v>
      </c>
    </row>
    <row r="126" spans="1:3" x14ac:dyDescent="0.25">
      <c r="A126" s="46" t="s">
        <v>936</v>
      </c>
      <c r="B126" s="46" t="s">
        <v>461</v>
      </c>
      <c r="C126" s="12">
        <v>500000000</v>
      </c>
    </row>
    <row r="127" spans="1:3" x14ac:dyDescent="0.25">
      <c r="A127" s="46" t="s">
        <v>940</v>
      </c>
      <c r="B127" s="46" t="s">
        <v>461</v>
      </c>
      <c r="C127" s="12">
        <v>1000000000</v>
      </c>
    </row>
    <row r="128" spans="1:3" x14ac:dyDescent="0.25">
      <c r="A128" s="46" t="s">
        <v>941</v>
      </c>
      <c r="B128" s="46" t="s">
        <v>464</v>
      </c>
      <c r="C128" s="12">
        <v>500000000</v>
      </c>
    </row>
    <row r="129" spans="1:3" x14ac:dyDescent="0.25">
      <c r="A129" s="46" t="s">
        <v>942</v>
      </c>
      <c r="B129" s="46" t="s">
        <v>464</v>
      </c>
      <c r="C129" s="12">
        <v>1000000000</v>
      </c>
    </row>
    <row r="130" spans="1:3" x14ac:dyDescent="0.25">
      <c r="A130" s="46" t="s">
        <v>946</v>
      </c>
      <c r="B130" s="46" t="s">
        <v>467</v>
      </c>
      <c r="C130" s="12">
        <v>15000000000</v>
      </c>
    </row>
    <row r="131" spans="1:3" x14ac:dyDescent="0.25">
      <c r="A131" s="46" t="s">
        <v>933</v>
      </c>
      <c r="B131" s="46" t="s">
        <v>450</v>
      </c>
      <c r="C131" s="12">
        <v>1000000</v>
      </c>
    </row>
    <row r="132" spans="1:3" x14ac:dyDescent="0.25">
      <c r="A132" s="46" t="s">
        <v>948</v>
      </c>
      <c r="B132" s="46" t="s">
        <v>555</v>
      </c>
      <c r="C132" s="12">
        <v>522000000</v>
      </c>
    </row>
    <row r="133" spans="1:3" x14ac:dyDescent="0.25">
      <c r="A133" s="46" t="s">
        <v>949</v>
      </c>
      <c r="B133" s="46" t="s">
        <v>489</v>
      </c>
      <c r="C133" s="12">
        <v>90000000</v>
      </c>
    </row>
    <row r="134" spans="1:3" x14ac:dyDescent="0.25">
      <c r="A134" s="46" t="s">
        <v>950</v>
      </c>
      <c r="B134" s="46" t="s">
        <v>491</v>
      </c>
      <c r="C134" s="12">
        <v>90000000</v>
      </c>
    </row>
    <row r="135" spans="1:3" x14ac:dyDescent="0.25">
      <c r="A135" s="46" t="s">
        <v>945</v>
      </c>
      <c r="B135" s="46" t="s">
        <v>469</v>
      </c>
      <c r="C135" s="12">
        <v>107000000</v>
      </c>
    </row>
    <row r="136" spans="1:3" x14ac:dyDescent="0.25">
      <c r="A136" s="46" t="s">
        <v>947</v>
      </c>
      <c r="B136" s="46" t="s">
        <v>485</v>
      </c>
      <c r="C136" s="12">
        <v>80000000</v>
      </c>
    </row>
    <row r="137" spans="1:3" x14ac:dyDescent="0.25">
      <c r="A137" s="46" t="s">
        <v>956</v>
      </c>
      <c r="B137" s="46" t="s">
        <v>579</v>
      </c>
      <c r="C137" s="12">
        <v>79000000</v>
      </c>
    </row>
    <row r="138" spans="1:3" x14ac:dyDescent="0.25">
      <c r="A138" s="46" t="s">
        <v>953</v>
      </c>
      <c r="B138" s="46" t="s">
        <v>486</v>
      </c>
      <c r="C138" s="12">
        <v>2000000000</v>
      </c>
    </row>
    <row r="139" spans="1:3" x14ac:dyDescent="0.25">
      <c r="A139" s="46" t="s">
        <v>951</v>
      </c>
      <c r="B139" s="46" t="s">
        <v>487</v>
      </c>
      <c r="C139" s="12">
        <v>1400000000</v>
      </c>
    </row>
    <row r="140" spans="1:3" x14ac:dyDescent="0.25">
      <c r="A140" s="46" t="s">
        <v>952</v>
      </c>
      <c r="B140" s="46" t="s">
        <v>488</v>
      </c>
      <c r="C140" s="12">
        <v>1000000000</v>
      </c>
    </row>
    <row r="141" spans="1:3" x14ac:dyDescent="0.25">
      <c r="A141" s="46" t="s">
        <v>958</v>
      </c>
      <c r="B141" s="46" t="s">
        <v>765</v>
      </c>
      <c r="C141" s="12">
        <v>40000000</v>
      </c>
    </row>
    <row r="142" spans="1:3" x14ac:dyDescent="0.25">
      <c r="A142" s="46" t="s">
        <v>965</v>
      </c>
      <c r="B142" s="46" t="s">
        <v>135</v>
      </c>
      <c r="C142" s="12">
        <v>1000000</v>
      </c>
    </row>
    <row r="143" spans="1:3" x14ac:dyDescent="0.25">
      <c r="A143" s="46" t="s">
        <v>821</v>
      </c>
      <c r="B143" s="46" t="s">
        <v>133</v>
      </c>
      <c r="C143" s="12">
        <v>1000000</v>
      </c>
    </row>
    <row r="144" spans="1:3" x14ac:dyDescent="0.25">
      <c r="A144" s="46" t="s">
        <v>962</v>
      </c>
      <c r="B144" s="46" t="s">
        <v>136</v>
      </c>
      <c r="C144" s="12">
        <v>1000000</v>
      </c>
    </row>
    <row r="145" spans="1:3" x14ac:dyDescent="0.25">
      <c r="A145" s="46" t="s">
        <v>972</v>
      </c>
      <c r="B145" s="46" t="s">
        <v>349</v>
      </c>
      <c r="C145" s="12">
        <v>1000000</v>
      </c>
    </row>
    <row r="146" spans="1:3" x14ac:dyDescent="0.25">
      <c r="A146" s="46" t="s">
        <v>967</v>
      </c>
      <c r="B146" s="46" t="s">
        <v>590</v>
      </c>
      <c r="C146" s="12">
        <v>400000000</v>
      </c>
    </row>
    <row r="147" spans="1:3" x14ac:dyDescent="0.25">
      <c r="A147" s="46" t="s">
        <v>966</v>
      </c>
      <c r="B147" s="46" t="s">
        <v>588</v>
      </c>
      <c r="C147" s="12">
        <v>400000000</v>
      </c>
    </row>
    <row r="148" spans="1:3" x14ac:dyDescent="0.25">
      <c r="A148" s="46" t="s">
        <v>971</v>
      </c>
      <c r="B148" s="46" t="s">
        <v>586</v>
      </c>
      <c r="C148" s="12">
        <v>800000000</v>
      </c>
    </row>
    <row r="149" spans="1:3" x14ac:dyDescent="0.25">
      <c r="A149" s="46" t="s">
        <v>970</v>
      </c>
      <c r="B149" s="46" t="s">
        <v>582</v>
      </c>
      <c r="C149" s="12">
        <v>400000000</v>
      </c>
    </row>
    <row r="150" spans="1:3" x14ac:dyDescent="0.25">
      <c r="A150" s="46" t="s">
        <v>969</v>
      </c>
      <c r="B150" s="46" t="s">
        <v>493</v>
      </c>
      <c r="C150" s="12">
        <v>400000000</v>
      </c>
    </row>
    <row r="151" spans="1:3" x14ac:dyDescent="0.25">
      <c r="A151" s="46" t="s">
        <v>978</v>
      </c>
      <c r="B151" s="46" t="s">
        <v>478</v>
      </c>
      <c r="C151" s="12">
        <v>400000000</v>
      </c>
    </row>
    <row r="152" spans="1:3" x14ac:dyDescent="0.25">
      <c r="A152" s="46" t="s">
        <v>979</v>
      </c>
      <c r="B152" s="46" t="s">
        <v>476</v>
      </c>
      <c r="C152" s="12">
        <v>400000000</v>
      </c>
    </row>
    <row r="153" spans="1:3" x14ac:dyDescent="0.25">
      <c r="A153" s="46" t="s">
        <v>976</v>
      </c>
      <c r="B153" s="46" t="s">
        <v>482</v>
      </c>
      <c r="C153" s="12">
        <v>400000000</v>
      </c>
    </row>
    <row r="154" spans="1:3" x14ac:dyDescent="0.25">
      <c r="A154" s="46" t="s">
        <v>977</v>
      </c>
      <c r="B154" s="46" t="s">
        <v>480</v>
      </c>
      <c r="C154" s="12">
        <v>398000000</v>
      </c>
    </row>
    <row r="155" spans="1:3" x14ac:dyDescent="0.25">
      <c r="A155" s="46" t="s">
        <v>968</v>
      </c>
      <c r="B155" s="46" t="s">
        <v>584</v>
      </c>
      <c r="C155" s="12">
        <v>400000000</v>
      </c>
    </row>
    <row r="156" spans="1:3" x14ac:dyDescent="0.25">
      <c r="A156" s="46" t="s">
        <v>973</v>
      </c>
      <c r="B156" s="46" t="s">
        <v>467</v>
      </c>
      <c r="C156" s="12">
        <v>3000000000</v>
      </c>
    </row>
    <row r="157" spans="1:3" x14ac:dyDescent="0.25">
      <c r="A157" s="46" t="s">
        <v>964</v>
      </c>
      <c r="B157" s="46" t="s">
        <v>447</v>
      </c>
      <c r="C157" s="12">
        <v>4000000</v>
      </c>
    </row>
    <row r="158" spans="1:3" x14ac:dyDescent="0.25">
      <c r="A158" s="46" t="s">
        <v>963</v>
      </c>
      <c r="B158" s="46" t="s">
        <v>449</v>
      </c>
      <c r="C158" s="12">
        <v>4000000</v>
      </c>
    </row>
    <row r="159" spans="1:3" x14ac:dyDescent="0.25">
      <c r="A159" s="46" t="s">
        <v>985</v>
      </c>
      <c r="B159" s="46" t="s">
        <v>555</v>
      </c>
      <c r="C159" s="12">
        <v>348000000</v>
      </c>
    </row>
    <row r="160" spans="1:3" x14ac:dyDescent="0.25">
      <c r="A160" s="46" t="s">
        <v>980</v>
      </c>
      <c r="B160" s="46" t="s">
        <v>489</v>
      </c>
      <c r="C160" s="12">
        <v>30000000</v>
      </c>
    </row>
    <row r="161" spans="1:3" x14ac:dyDescent="0.25">
      <c r="A161" s="46" t="s">
        <v>981</v>
      </c>
      <c r="B161" s="46" t="s">
        <v>491</v>
      </c>
      <c r="C161" s="12">
        <v>30000000</v>
      </c>
    </row>
    <row r="162" spans="1:3" x14ac:dyDescent="0.25">
      <c r="A162" s="46" t="s">
        <v>975</v>
      </c>
      <c r="B162" s="46" t="s">
        <v>485</v>
      </c>
      <c r="C162" s="12">
        <v>43000000</v>
      </c>
    </row>
    <row r="163" spans="1:3" x14ac:dyDescent="0.25">
      <c r="A163" s="46" t="s">
        <v>986</v>
      </c>
      <c r="B163" s="46" t="s">
        <v>579</v>
      </c>
      <c r="C163" s="12">
        <v>43000000</v>
      </c>
    </row>
    <row r="164" spans="1:3" x14ac:dyDescent="0.25">
      <c r="A164" s="46" t="s">
        <v>984</v>
      </c>
      <c r="B164" s="46" t="s">
        <v>486</v>
      </c>
      <c r="C164" s="12">
        <v>2000000000</v>
      </c>
    </row>
    <row r="165" spans="1:3" x14ac:dyDescent="0.25">
      <c r="A165" s="46" t="s">
        <v>982</v>
      </c>
      <c r="B165" s="46" t="s">
        <v>487</v>
      </c>
      <c r="C165" s="12">
        <v>1400000000</v>
      </c>
    </row>
    <row r="166" spans="1:3" x14ac:dyDescent="0.25">
      <c r="A166" s="46" t="s">
        <v>983</v>
      </c>
      <c r="B166" s="46" t="s">
        <v>488</v>
      </c>
      <c r="C166" s="12">
        <v>1300000000</v>
      </c>
    </row>
    <row r="167" spans="1:3" x14ac:dyDescent="0.25">
      <c r="A167" s="46" t="s">
        <v>974</v>
      </c>
      <c r="B167" s="46" t="s">
        <v>473</v>
      </c>
      <c r="C167" s="12">
        <v>1000000</v>
      </c>
    </row>
    <row r="168" spans="1:3" x14ac:dyDescent="0.25">
      <c r="A168" s="46" t="s">
        <v>827</v>
      </c>
      <c r="B168" s="46" t="s">
        <v>135</v>
      </c>
      <c r="C168" s="12">
        <v>2000000</v>
      </c>
    </row>
    <row r="169" spans="1:3" x14ac:dyDescent="0.25">
      <c r="A169" s="46" t="s">
        <v>988</v>
      </c>
      <c r="B169" s="46" t="s">
        <v>135</v>
      </c>
      <c r="C169" s="12">
        <v>2000000</v>
      </c>
    </row>
    <row r="170" spans="1:3" x14ac:dyDescent="0.25">
      <c r="A170" s="46" t="s">
        <v>987</v>
      </c>
      <c r="B170" s="46" t="s">
        <v>134</v>
      </c>
      <c r="C170" s="12">
        <v>1000000</v>
      </c>
    </row>
    <row r="171" spans="1:3" x14ac:dyDescent="0.25">
      <c r="A171" s="46" t="s">
        <v>998</v>
      </c>
      <c r="B171" s="46" t="s">
        <v>134</v>
      </c>
      <c r="C171" s="12">
        <v>1000000</v>
      </c>
    </row>
    <row r="172" spans="1:3" x14ac:dyDescent="0.25">
      <c r="A172" s="46" t="s">
        <v>999</v>
      </c>
      <c r="B172" s="46" t="s">
        <v>504</v>
      </c>
      <c r="C172" s="12">
        <v>1000000</v>
      </c>
    </row>
    <row r="173" spans="1:3" x14ac:dyDescent="0.25">
      <c r="A173" s="46" t="s">
        <v>997</v>
      </c>
      <c r="B173" s="46" t="s">
        <v>136</v>
      </c>
      <c r="C173" s="12">
        <v>4000000</v>
      </c>
    </row>
    <row r="174" spans="1:3" x14ac:dyDescent="0.25">
      <c r="A174" s="46" t="s">
        <v>1016</v>
      </c>
      <c r="B174" s="46" t="s">
        <v>779</v>
      </c>
      <c r="C174" s="12">
        <v>1000000</v>
      </c>
    </row>
    <row r="175" spans="1:3" x14ac:dyDescent="0.25">
      <c r="A175" s="46" t="s">
        <v>1010</v>
      </c>
      <c r="B175" s="46" t="s">
        <v>226</v>
      </c>
      <c r="C175" s="12">
        <v>3000000</v>
      </c>
    </row>
    <row r="176" spans="1:3" x14ac:dyDescent="0.25">
      <c r="A176" s="46" t="s">
        <v>828</v>
      </c>
      <c r="B176" s="46" t="s">
        <v>349</v>
      </c>
      <c r="C176" s="12">
        <v>4000000</v>
      </c>
    </row>
    <row r="177" spans="1:3" x14ac:dyDescent="0.25">
      <c r="A177" s="46" t="s">
        <v>1020</v>
      </c>
      <c r="B177" s="46" t="s">
        <v>231</v>
      </c>
      <c r="C177" s="12">
        <v>1000000</v>
      </c>
    </row>
    <row r="178" spans="1:3" x14ac:dyDescent="0.25">
      <c r="A178" s="46" t="s">
        <v>1019</v>
      </c>
      <c r="B178" s="46" t="s">
        <v>786</v>
      </c>
      <c r="C178" s="12">
        <v>2000000</v>
      </c>
    </row>
    <row r="179" spans="1:3" x14ac:dyDescent="0.25">
      <c r="A179" s="46" t="s">
        <v>1018</v>
      </c>
      <c r="B179" s="46" t="s">
        <v>401</v>
      </c>
      <c r="C179" s="12">
        <v>100000000</v>
      </c>
    </row>
    <row r="180" spans="1:3" x14ac:dyDescent="0.25">
      <c r="A180" s="46" t="s">
        <v>1006</v>
      </c>
      <c r="B180" s="46" t="s">
        <v>182</v>
      </c>
      <c r="C180" s="12">
        <v>2000000</v>
      </c>
    </row>
    <row r="181" spans="1:3" x14ac:dyDescent="0.25">
      <c r="A181" s="46" t="s">
        <v>1008</v>
      </c>
      <c r="B181" s="46" t="s">
        <v>398</v>
      </c>
      <c r="C181" s="12">
        <v>16000000</v>
      </c>
    </row>
    <row r="182" spans="1:3" x14ac:dyDescent="0.25">
      <c r="A182" s="46" t="s">
        <v>1004</v>
      </c>
      <c r="B182" s="46" t="s">
        <v>234</v>
      </c>
      <c r="C182" s="12">
        <v>300000000</v>
      </c>
    </row>
    <row r="183" spans="1:3" x14ac:dyDescent="0.25">
      <c r="A183" s="46" t="s">
        <v>1000</v>
      </c>
      <c r="B183" s="46" t="s">
        <v>244</v>
      </c>
      <c r="C183" s="12">
        <v>2000000</v>
      </c>
    </row>
    <row r="184" spans="1:3" x14ac:dyDescent="0.25">
      <c r="A184" s="46" t="s">
        <v>1001</v>
      </c>
      <c r="B184" s="46" t="s">
        <v>245</v>
      </c>
      <c r="C184" s="12">
        <v>2000000</v>
      </c>
    </row>
    <row r="185" spans="1:3" x14ac:dyDescent="0.25">
      <c r="A185" s="46" t="s">
        <v>1003</v>
      </c>
      <c r="B185" s="46" t="s">
        <v>331</v>
      </c>
      <c r="C185" s="12">
        <v>1375000000</v>
      </c>
    </row>
    <row r="186" spans="1:3" x14ac:dyDescent="0.25">
      <c r="A186" s="46" t="s">
        <v>989</v>
      </c>
      <c r="B186" s="46" t="s">
        <v>459</v>
      </c>
      <c r="C186" s="12">
        <v>500000000</v>
      </c>
    </row>
    <row r="187" spans="1:3" x14ac:dyDescent="0.25">
      <c r="A187" s="46" t="s">
        <v>990</v>
      </c>
      <c r="B187" s="46" t="s">
        <v>459</v>
      </c>
      <c r="C187" s="12">
        <v>500000000</v>
      </c>
    </row>
    <row r="188" spans="1:3" x14ac:dyDescent="0.25">
      <c r="A188" s="46" t="s">
        <v>991</v>
      </c>
      <c r="B188" s="46" t="s">
        <v>463</v>
      </c>
      <c r="C188" s="12">
        <v>500000000</v>
      </c>
    </row>
    <row r="189" spans="1:3" x14ac:dyDescent="0.25">
      <c r="A189" s="46" t="s">
        <v>995</v>
      </c>
      <c r="B189" s="46" t="s">
        <v>463</v>
      </c>
      <c r="C189" s="12">
        <v>500000000</v>
      </c>
    </row>
    <row r="190" spans="1:3" x14ac:dyDescent="0.25">
      <c r="A190" s="46" t="s">
        <v>993</v>
      </c>
      <c r="B190" s="46" t="s">
        <v>461</v>
      </c>
      <c r="C190" s="12">
        <v>500000000</v>
      </c>
    </row>
    <row r="191" spans="1:3" x14ac:dyDescent="0.25">
      <c r="A191" s="46" t="s">
        <v>992</v>
      </c>
      <c r="B191" s="46" t="s">
        <v>461</v>
      </c>
      <c r="C191" s="12">
        <v>500000000</v>
      </c>
    </row>
    <row r="192" spans="1:3" x14ac:dyDescent="0.25">
      <c r="A192" s="46" t="s">
        <v>994</v>
      </c>
      <c r="B192" s="46" t="s">
        <v>464</v>
      </c>
      <c r="C192" s="12">
        <v>500000000</v>
      </c>
    </row>
    <row r="193" spans="1:3" x14ac:dyDescent="0.25">
      <c r="A193" s="46" t="s">
        <v>996</v>
      </c>
      <c r="B193" s="46" t="s">
        <v>464</v>
      </c>
      <c r="C193" s="12">
        <v>500000000</v>
      </c>
    </row>
    <row r="194" spans="1:3" x14ac:dyDescent="0.25">
      <c r="A194" s="46" t="s">
        <v>1005</v>
      </c>
      <c r="B194" s="46" t="s">
        <v>467</v>
      </c>
      <c r="C194" s="12">
        <v>2000000000</v>
      </c>
    </row>
    <row r="195" spans="1:3" x14ac:dyDescent="0.25">
      <c r="A195" s="46" t="s">
        <v>1002</v>
      </c>
      <c r="B195" s="46" t="s">
        <v>440</v>
      </c>
      <c r="C195" s="12">
        <v>1000000</v>
      </c>
    </row>
    <row r="196" spans="1:3" x14ac:dyDescent="0.25">
      <c r="A196" s="46" t="s">
        <v>1009</v>
      </c>
      <c r="B196" s="46" t="s">
        <v>555</v>
      </c>
      <c r="C196" s="12">
        <v>453000000</v>
      </c>
    </row>
    <row r="197" spans="1:3" x14ac:dyDescent="0.25">
      <c r="A197" s="46" t="s">
        <v>1015</v>
      </c>
      <c r="B197" s="46" t="s">
        <v>489</v>
      </c>
      <c r="C197" s="12">
        <v>100000000</v>
      </c>
    </row>
    <row r="198" spans="1:3" x14ac:dyDescent="0.25">
      <c r="A198" s="46" t="s">
        <v>1014</v>
      </c>
      <c r="B198" s="46" t="s">
        <v>491</v>
      </c>
      <c r="C198" s="12">
        <v>200000000</v>
      </c>
    </row>
    <row r="199" spans="1:3" x14ac:dyDescent="0.25">
      <c r="A199" s="46" t="s">
        <v>1007</v>
      </c>
      <c r="B199" s="46" t="s">
        <v>485</v>
      </c>
      <c r="C199" s="12">
        <v>47000000</v>
      </c>
    </row>
    <row r="200" spans="1:3" x14ac:dyDescent="0.25">
      <c r="A200" s="46" t="s">
        <v>1017</v>
      </c>
      <c r="B200" s="46" t="s">
        <v>579</v>
      </c>
      <c r="C200" s="12">
        <v>47000000</v>
      </c>
    </row>
    <row r="201" spans="1:3" x14ac:dyDescent="0.25">
      <c r="A201" s="46" t="s">
        <v>1011</v>
      </c>
      <c r="B201" s="46" t="s">
        <v>486</v>
      </c>
      <c r="C201" s="12">
        <v>1300000000</v>
      </c>
    </row>
    <row r="202" spans="1:3" x14ac:dyDescent="0.25">
      <c r="A202" s="46" t="s">
        <v>1013</v>
      </c>
      <c r="B202" s="46" t="s">
        <v>487</v>
      </c>
      <c r="C202" s="12">
        <v>800000000</v>
      </c>
    </row>
    <row r="203" spans="1:3" x14ac:dyDescent="0.25">
      <c r="A203" s="46" t="s">
        <v>1012</v>
      </c>
      <c r="B203" s="46" t="s">
        <v>488</v>
      </c>
      <c r="C203" s="12">
        <v>900000000</v>
      </c>
    </row>
    <row r="204" spans="1:3" x14ac:dyDescent="0.25">
      <c r="A204" s="46" t="s">
        <v>1040</v>
      </c>
      <c r="B204" s="46" t="s">
        <v>636</v>
      </c>
      <c r="C204" s="12">
        <v>3000000</v>
      </c>
    </row>
    <row r="205" spans="1:3" x14ac:dyDescent="0.25">
      <c r="A205" s="46" t="s">
        <v>1058</v>
      </c>
      <c r="B205" s="46" t="s">
        <v>650</v>
      </c>
      <c r="C205" s="12">
        <v>1000000</v>
      </c>
    </row>
    <row r="206" spans="1:3" x14ac:dyDescent="0.25">
      <c r="A206" s="46" t="s">
        <v>1074</v>
      </c>
      <c r="B206" s="46" t="s">
        <v>340</v>
      </c>
      <c r="C206" s="12">
        <v>2000000</v>
      </c>
    </row>
    <row r="207" spans="1:3" x14ac:dyDescent="0.25">
      <c r="A207" s="46" t="s">
        <v>1075</v>
      </c>
      <c r="B207" s="46" t="s">
        <v>335</v>
      </c>
      <c r="C207" s="12">
        <v>1000000</v>
      </c>
    </row>
    <row r="208" spans="1:3" x14ac:dyDescent="0.25">
      <c r="A208" s="46" t="s">
        <v>820</v>
      </c>
      <c r="B208" s="46" t="s">
        <v>136</v>
      </c>
      <c r="C208" s="12">
        <v>1000000</v>
      </c>
    </row>
    <row r="209" spans="1:3" x14ac:dyDescent="0.25">
      <c r="A209" s="46" t="s">
        <v>1057</v>
      </c>
      <c r="B209" s="46" t="s">
        <v>374</v>
      </c>
      <c r="C209" s="12">
        <v>1000000</v>
      </c>
    </row>
    <row r="210" spans="1:3" x14ac:dyDescent="0.25">
      <c r="A210" s="46" t="s">
        <v>1063</v>
      </c>
      <c r="B210" s="46" t="s">
        <v>660</v>
      </c>
      <c r="C210" s="12">
        <v>1000000</v>
      </c>
    </row>
    <row r="211" spans="1:3" x14ac:dyDescent="0.25">
      <c r="A211" s="46" t="s">
        <v>1030</v>
      </c>
      <c r="B211" s="46" t="s">
        <v>631</v>
      </c>
      <c r="C211" s="12">
        <v>1000000</v>
      </c>
    </row>
    <row r="212" spans="1:3" x14ac:dyDescent="0.25">
      <c r="A212" s="46" t="s">
        <v>1059</v>
      </c>
      <c r="B212" s="46" t="s">
        <v>652</v>
      </c>
      <c r="C212" s="12">
        <v>1000000</v>
      </c>
    </row>
    <row r="213" spans="1:3" x14ac:dyDescent="0.25">
      <c r="A213" s="46" t="s">
        <v>1065</v>
      </c>
      <c r="B213" s="46" t="s">
        <v>334</v>
      </c>
      <c r="C213" s="12">
        <v>1000000</v>
      </c>
    </row>
    <row r="214" spans="1:3" x14ac:dyDescent="0.25">
      <c r="A214" s="46" t="s">
        <v>1064</v>
      </c>
      <c r="B214" s="46" t="s">
        <v>377</v>
      </c>
      <c r="C214" s="12">
        <v>1000000</v>
      </c>
    </row>
    <row r="215" spans="1:3" x14ac:dyDescent="0.25">
      <c r="A215" s="46" t="s">
        <v>1024</v>
      </c>
      <c r="B215" s="46" t="s">
        <v>349</v>
      </c>
      <c r="C215" s="12">
        <v>4000000</v>
      </c>
    </row>
    <row r="216" spans="1:3" x14ac:dyDescent="0.25">
      <c r="A216" s="46" t="s">
        <v>1021</v>
      </c>
      <c r="B216" s="46" t="s">
        <v>349</v>
      </c>
      <c r="C216" s="12">
        <v>1000000</v>
      </c>
    </row>
    <row r="217" spans="1:3" x14ac:dyDescent="0.25">
      <c r="A217" s="46" t="s">
        <v>1056</v>
      </c>
      <c r="B217" s="46" t="s">
        <v>356</v>
      </c>
      <c r="C217" s="12">
        <v>4000000</v>
      </c>
    </row>
    <row r="218" spans="1:3" x14ac:dyDescent="0.25">
      <c r="A218" s="46" t="s">
        <v>1054</v>
      </c>
      <c r="B218" s="46" t="s">
        <v>361</v>
      </c>
      <c r="C218" s="12">
        <v>4000000</v>
      </c>
    </row>
    <row r="219" spans="1:3" x14ac:dyDescent="0.25">
      <c r="A219" s="46" t="s">
        <v>1073</v>
      </c>
      <c r="B219" s="46" t="s">
        <v>137</v>
      </c>
      <c r="C219" s="12">
        <v>1000000</v>
      </c>
    </row>
    <row r="220" spans="1:3" x14ac:dyDescent="0.25">
      <c r="A220" s="46" t="s">
        <v>1051</v>
      </c>
      <c r="B220" s="46" t="s">
        <v>520</v>
      </c>
      <c r="C220" s="12">
        <v>4000000</v>
      </c>
    </row>
    <row r="221" spans="1:3" x14ac:dyDescent="0.25">
      <c r="A221" s="46" t="s">
        <v>1052</v>
      </c>
      <c r="B221" s="46" t="s">
        <v>533</v>
      </c>
      <c r="C221" s="12">
        <v>4000000</v>
      </c>
    </row>
    <row r="222" spans="1:3" x14ac:dyDescent="0.25">
      <c r="A222" s="46" t="s">
        <v>1055</v>
      </c>
      <c r="B222" s="46" t="s">
        <v>526</v>
      </c>
      <c r="C222" s="12">
        <v>4000000</v>
      </c>
    </row>
    <row r="223" spans="1:3" x14ac:dyDescent="0.25">
      <c r="A223" s="46" t="s">
        <v>1043</v>
      </c>
      <c r="B223" s="46" t="s">
        <v>236</v>
      </c>
      <c r="C223" s="12">
        <v>1000000</v>
      </c>
    </row>
    <row r="224" spans="1:3" x14ac:dyDescent="0.25">
      <c r="A224" s="46" t="s">
        <v>1048</v>
      </c>
      <c r="B224" s="46" t="s">
        <v>312</v>
      </c>
      <c r="C224" s="12">
        <v>34000000</v>
      </c>
    </row>
    <row r="225" spans="1:3" x14ac:dyDescent="0.25">
      <c r="A225" s="46" t="s">
        <v>1045</v>
      </c>
      <c r="B225" s="46" t="s">
        <v>141</v>
      </c>
      <c r="C225" s="12">
        <v>34000000</v>
      </c>
    </row>
    <row r="226" spans="1:3" x14ac:dyDescent="0.25">
      <c r="A226" s="46" t="s">
        <v>1046</v>
      </c>
      <c r="B226" s="46" t="s">
        <v>224</v>
      </c>
      <c r="C226" s="12">
        <v>32000000</v>
      </c>
    </row>
    <row r="227" spans="1:3" x14ac:dyDescent="0.25">
      <c r="A227" s="46" t="s">
        <v>1044</v>
      </c>
      <c r="B227" s="46" t="s">
        <v>159</v>
      </c>
      <c r="C227" s="12">
        <v>1000000</v>
      </c>
    </row>
    <row r="228" spans="1:3" x14ac:dyDescent="0.25">
      <c r="A228" s="46" t="s">
        <v>1076</v>
      </c>
      <c r="B228" s="46" t="s">
        <v>401</v>
      </c>
      <c r="C228" s="12">
        <v>100000000</v>
      </c>
    </row>
    <row r="229" spans="1:3" x14ac:dyDescent="0.25">
      <c r="A229" s="46" t="s">
        <v>1026</v>
      </c>
      <c r="B229" s="46" t="s">
        <v>182</v>
      </c>
      <c r="C229" s="12">
        <v>2000000</v>
      </c>
    </row>
    <row r="230" spans="1:3" x14ac:dyDescent="0.25">
      <c r="A230" s="46" t="s">
        <v>1025</v>
      </c>
      <c r="B230" s="46" t="s">
        <v>182</v>
      </c>
      <c r="C230" s="12">
        <v>1000000</v>
      </c>
    </row>
    <row r="231" spans="1:3" x14ac:dyDescent="0.25">
      <c r="A231" s="46" t="s">
        <v>1022</v>
      </c>
      <c r="B231" s="46" t="s">
        <v>621</v>
      </c>
      <c r="C231" s="12">
        <v>1000000</v>
      </c>
    </row>
    <row r="232" spans="1:3" x14ac:dyDescent="0.25">
      <c r="A232" s="46" t="s">
        <v>1047</v>
      </c>
      <c r="B232" s="46" t="s">
        <v>153</v>
      </c>
      <c r="C232" s="12">
        <v>2000000</v>
      </c>
    </row>
    <row r="233" spans="1:3" x14ac:dyDescent="0.25">
      <c r="A233" s="46" t="s">
        <v>1072</v>
      </c>
      <c r="B233" s="46" t="s">
        <v>323</v>
      </c>
      <c r="C233" s="12">
        <v>1000000</v>
      </c>
    </row>
    <row r="234" spans="1:3" x14ac:dyDescent="0.25">
      <c r="A234" s="46" t="s">
        <v>1071</v>
      </c>
      <c r="B234" s="46" t="s">
        <v>157</v>
      </c>
      <c r="C234" s="12">
        <v>30000000</v>
      </c>
    </row>
    <row r="235" spans="1:3" x14ac:dyDescent="0.25">
      <c r="A235" s="46" t="s">
        <v>1062</v>
      </c>
      <c r="B235" s="46" t="s">
        <v>180</v>
      </c>
      <c r="C235" s="12">
        <v>30000000</v>
      </c>
    </row>
    <row r="236" spans="1:3" x14ac:dyDescent="0.25">
      <c r="A236" s="46" t="s">
        <v>1060</v>
      </c>
      <c r="B236" s="46" t="s">
        <v>655</v>
      </c>
      <c r="C236" s="12">
        <v>30000000</v>
      </c>
    </row>
    <row r="237" spans="1:3" x14ac:dyDescent="0.25">
      <c r="A237" s="46" t="s">
        <v>1039</v>
      </c>
      <c r="B237" s="46" t="s">
        <v>250</v>
      </c>
      <c r="C237" s="12">
        <v>2000000</v>
      </c>
    </row>
    <row r="238" spans="1:3" x14ac:dyDescent="0.25">
      <c r="A238" s="46" t="s">
        <v>1041</v>
      </c>
      <c r="B238" s="46" t="s">
        <v>398</v>
      </c>
      <c r="C238" s="12">
        <v>38000000</v>
      </c>
    </row>
    <row r="239" spans="1:3" x14ac:dyDescent="0.25">
      <c r="A239" s="46" t="s">
        <v>1053</v>
      </c>
      <c r="B239" s="46" t="s">
        <v>523</v>
      </c>
      <c r="C239" s="12">
        <v>4000000</v>
      </c>
    </row>
    <row r="240" spans="1:3" x14ac:dyDescent="0.25">
      <c r="A240" s="46" t="s">
        <v>1023</v>
      </c>
      <c r="B240" s="46" t="s">
        <v>265</v>
      </c>
      <c r="C240" s="12">
        <v>1000000</v>
      </c>
    </row>
    <row r="241" spans="1:3" x14ac:dyDescent="0.25">
      <c r="A241" s="46" t="s">
        <v>1028</v>
      </c>
      <c r="B241" s="46" t="s">
        <v>629</v>
      </c>
      <c r="C241" s="12">
        <v>60000000</v>
      </c>
    </row>
    <row r="242" spans="1:3" x14ac:dyDescent="0.25">
      <c r="A242" s="46" t="s">
        <v>1027</v>
      </c>
      <c r="B242" s="46" t="s">
        <v>626</v>
      </c>
      <c r="C242" s="12">
        <v>60000000</v>
      </c>
    </row>
    <row r="243" spans="1:3" x14ac:dyDescent="0.25">
      <c r="A243" s="46" t="s">
        <v>1067</v>
      </c>
      <c r="B243" s="46" t="s">
        <v>367</v>
      </c>
      <c r="C243" s="12">
        <v>2976000000</v>
      </c>
    </row>
    <row r="244" spans="1:3" x14ac:dyDescent="0.25">
      <c r="A244" s="46" t="s">
        <v>1036</v>
      </c>
      <c r="B244" s="46" t="s">
        <v>459</v>
      </c>
      <c r="C244" s="12">
        <v>1500000000</v>
      </c>
    </row>
    <row r="245" spans="1:3" x14ac:dyDescent="0.25">
      <c r="A245" s="46" t="s">
        <v>1035</v>
      </c>
      <c r="B245" s="46" t="s">
        <v>459</v>
      </c>
      <c r="C245" s="12">
        <v>1500000000</v>
      </c>
    </row>
    <row r="246" spans="1:3" x14ac:dyDescent="0.25">
      <c r="A246" s="46" t="s">
        <v>1038</v>
      </c>
      <c r="B246" s="46" t="s">
        <v>463</v>
      </c>
      <c r="C246" s="12">
        <v>1500000000</v>
      </c>
    </row>
    <row r="247" spans="1:3" x14ac:dyDescent="0.25">
      <c r="A247" s="46" t="s">
        <v>1037</v>
      </c>
      <c r="B247" s="46" t="s">
        <v>463</v>
      </c>
      <c r="C247" s="12">
        <v>1500000000</v>
      </c>
    </row>
    <row r="248" spans="1:3" x14ac:dyDescent="0.25">
      <c r="A248" s="46" t="s">
        <v>1032</v>
      </c>
      <c r="B248" s="46" t="s">
        <v>461</v>
      </c>
      <c r="C248" s="12">
        <v>1500000000</v>
      </c>
    </row>
    <row r="249" spans="1:3" x14ac:dyDescent="0.25">
      <c r="A249" s="46" t="s">
        <v>1031</v>
      </c>
      <c r="B249" s="46" t="s">
        <v>461</v>
      </c>
      <c r="C249" s="12">
        <v>1500000000</v>
      </c>
    </row>
    <row r="250" spans="1:3" x14ac:dyDescent="0.25">
      <c r="A250" s="46" t="s">
        <v>1034</v>
      </c>
      <c r="B250" s="46" t="s">
        <v>464</v>
      </c>
      <c r="C250" s="12">
        <v>1500000000</v>
      </c>
    </row>
    <row r="251" spans="1:3" x14ac:dyDescent="0.25">
      <c r="A251" s="46" t="s">
        <v>1033</v>
      </c>
      <c r="B251" s="46" t="s">
        <v>464</v>
      </c>
      <c r="C251" s="12">
        <v>1500000000</v>
      </c>
    </row>
    <row r="252" spans="1:3" x14ac:dyDescent="0.25">
      <c r="A252" s="46" t="s">
        <v>1066</v>
      </c>
      <c r="B252" s="46" t="s">
        <v>380</v>
      </c>
      <c r="C252" s="12">
        <v>10000000</v>
      </c>
    </row>
    <row r="253" spans="1:3" x14ac:dyDescent="0.25">
      <c r="A253" s="46" t="s">
        <v>1049</v>
      </c>
      <c r="B253" s="46" t="s">
        <v>467</v>
      </c>
      <c r="C253" s="12">
        <v>25000000000</v>
      </c>
    </row>
    <row r="254" spans="1:3" x14ac:dyDescent="0.25">
      <c r="A254" s="46" t="s">
        <v>1029</v>
      </c>
      <c r="B254" s="46" t="s">
        <v>450</v>
      </c>
      <c r="C254" s="12">
        <v>1000000</v>
      </c>
    </row>
    <row r="255" spans="1:3" x14ac:dyDescent="0.25">
      <c r="A255" s="46" t="s">
        <v>1069</v>
      </c>
      <c r="B255" s="46" t="s">
        <v>666</v>
      </c>
      <c r="C255" s="12">
        <v>377000000</v>
      </c>
    </row>
    <row r="256" spans="1:3" x14ac:dyDescent="0.25">
      <c r="A256" s="46" t="s">
        <v>1070</v>
      </c>
      <c r="B256" s="46" t="s">
        <v>513</v>
      </c>
      <c r="C256" s="12">
        <v>377000000</v>
      </c>
    </row>
    <row r="257" spans="1:3" x14ac:dyDescent="0.25">
      <c r="A257" s="46" t="s">
        <v>1050</v>
      </c>
      <c r="B257" s="46" t="s">
        <v>642</v>
      </c>
      <c r="C257" s="12">
        <v>20000000</v>
      </c>
    </row>
    <row r="258" spans="1:3" x14ac:dyDescent="0.25">
      <c r="A258" s="46" t="s">
        <v>1042</v>
      </c>
      <c r="B258" s="46" t="s">
        <v>469</v>
      </c>
      <c r="C258" s="12">
        <v>80000000</v>
      </c>
    </row>
    <row r="259" spans="1:3" x14ac:dyDescent="0.25">
      <c r="A259" s="46" t="s">
        <v>1068</v>
      </c>
      <c r="B259" s="46" t="s">
        <v>485</v>
      </c>
      <c r="C259" s="12">
        <v>141000000</v>
      </c>
    </row>
    <row r="260" spans="1:3" x14ac:dyDescent="0.25">
      <c r="A260" s="46" t="s">
        <v>1077</v>
      </c>
      <c r="B260" s="46" t="s">
        <v>579</v>
      </c>
      <c r="C260" s="12">
        <v>141000000</v>
      </c>
    </row>
    <row r="261" spans="1:3" x14ac:dyDescent="0.25">
      <c r="A261" s="46" t="s">
        <v>1061</v>
      </c>
      <c r="B261" s="46" t="s">
        <v>473</v>
      </c>
      <c r="C261" s="12">
        <v>1000000</v>
      </c>
    </row>
    <row r="262" spans="1:3" x14ac:dyDescent="0.25">
      <c r="A262" s="46" t="s">
        <v>1083</v>
      </c>
      <c r="B262" s="46" t="s">
        <v>674</v>
      </c>
      <c r="C262" s="12">
        <v>1000000</v>
      </c>
    </row>
    <row r="263" spans="1:3" x14ac:dyDescent="0.25">
      <c r="A263" s="46" t="s">
        <v>1086</v>
      </c>
      <c r="B263" s="46" t="s">
        <v>135</v>
      </c>
      <c r="C263" s="12">
        <v>1000000</v>
      </c>
    </row>
    <row r="264" spans="1:3" x14ac:dyDescent="0.25">
      <c r="A264" s="46" t="s">
        <v>1095</v>
      </c>
      <c r="B264" s="46" t="s">
        <v>155</v>
      </c>
      <c r="C264" s="12">
        <v>1000000</v>
      </c>
    </row>
    <row r="265" spans="1:3" x14ac:dyDescent="0.25">
      <c r="A265" s="46" t="s">
        <v>1082</v>
      </c>
      <c r="B265" s="46" t="s">
        <v>226</v>
      </c>
      <c r="C265" s="12">
        <v>1000000</v>
      </c>
    </row>
    <row r="266" spans="1:3" x14ac:dyDescent="0.25">
      <c r="A266" s="46" t="s">
        <v>1078</v>
      </c>
      <c r="B266" s="46" t="s">
        <v>349</v>
      </c>
      <c r="C266" s="12">
        <v>6000000</v>
      </c>
    </row>
    <row r="267" spans="1:3" x14ac:dyDescent="0.25">
      <c r="A267" s="46" t="s">
        <v>1131</v>
      </c>
      <c r="B267" s="46" t="s">
        <v>388</v>
      </c>
      <c r="C267" s="12">
        <v>245000000</v>
      </c>
    </row>
    <row r="268" spans="1:3" x14ac:dyDescent="0.25">
      <c r="A268" s="46" t="s">
        <v>1101</v>
      </c>
      <c r="B268" s="46" t="s">
        <v>358</v>
      </c>
      <c r="C268" s="12">
        <v>1000000</v>
      </c>
    </row>
    <row r="269" spans="1:3" x14ac:dyDescent="0.25">
      <c r="A269" s="46" t="s">
        <v>1108</v>
      </c>
      <c r="B269" s="46" t="s">
        <v>365</v>
      </c>
      <c r="C269" s="12">
        <v>1000000</v>
      </c>
    </row>
    <row r="270" spans="1:3" x14ac:dyDescent="0.25">
      <c r="A270" s="46" t="s">
        <v>1099</v>
      </c>
      <c r="B270" s="46" t="s">
        <v>356</v>
      </c>
      <c r="C270" s="12">
        <v>1000000</v>
      </c>
    </row>
    <row r="271" spans="1:3" x14ac:dyDescent="0.25">
      <c r="A271" s="46" t="s">
        <v>1102</v>
      </c>
      <c r="B271" s="46" t="s">
        <v>361</v>
      </c>
      <c r="C271" s="12">
        <v>1000000</v>
      </c>
    </row>
    <row r="272" spans="1:3" x14ac:dyDescent="0.25">
      <c r="A272" s="46" t="s">
        <v>1123</v>
      </c>
      <c r="B272" s="46" t="s">
        <v>718</v>
      </c>
      <c r="C272" s="12">
        <v>526000000</v>
      </c>
    </row>
    <row r="273" spans="1:3" x14ac:dyDescent="0.25">
      <c r="A273" s="46" t="s">
        <v>1122</v>
      </c>
      <c r="B273" s="46" t="s">
        <v>792</v>
      </c>
      <c r="C273" s="12">
        <v>101000000</v>
      </c>
    </row>
    <row r="274" spans="1:3" x14ac:dyDescent="0.25">
      <c r="A274" s="46" t="s">
        <v>1130</v>
      </c>
      <c r="B274" s="46" t="s">
        <v>805</v>
      </c>
      <c r="C274" s="12">
        <v>630000000</v>
      </c>
    </row>
    <row r="275" spans="1:3" x14ac:dyDescent="0.25">
      <c r="A275" s="46" t="s">
        <v>1129</v>
      </c>
      <c r="B275" s="46" t="s">
        <v>803</v>
      </c>
      <c r="C275" s="12">
        <v>101000000</v>
      </c>
    </row>
    <row r="276" spans="1:3" x14ac:dyDescent="0.25">
      <c r="A276" s="46" t="s">
        <v>1133</v>
      </c>
      <c r="B276" s="46" t="s">
        <v>811</v>
      </c>
      <c r="C276" s="12">
        <v>101000000</v>
      </c>
    </row>
    <row r="277" spans="1:3" x14ac:dyDescent="0.25">
      <c r="A277" s="46" t="s">
        <v>1100</v>
      </c>
      <c r="B277" s="46" t="s">
        <v>351</v>
      </c>
      <c r="C277" s="12">
        <v>1000000</v>
      </c>
    </row>
    <row r="278" spans="1:3" x14ac:dyDescent="0.25">
      <c r="A278" s="46" t="s">
        <v>1098</v>
      </c>
      <c r="B278" s="46" t="s">
        <v>520</v>
      </c>
      <c r="C278" s="12">
        <v>1000000</v>
      </c>
    </row>
    <row r="279" spans="1:3" x14ac:dyDescent="0.25">
      <c r="A279" s="46" t="s">
        <v>1128</v>
      </c>
      <c r="B279" s="46" t="s">
        <v>802</v>
      </c>
      <c r="C279" s="12">
        <v>202000000</v>
      </c>
    </row>
    <row r="280" spans="1:3" x14ac:dyDescent="0.25">
      <c r="A280" s="46" t="s">
        <v>1106</v>
      </c>
      <c r="B280" s="46" t="s">
        <v>533</v>
      </c>
      <c r="C280" s="12">
        <v>1000000</v>
      </c>
    </row>
    <row r="281" spans="1:3" x14ac:dyDescent="0.25">
      <c r="A281" s="46" t="s">
        <v>1105</v>
      </c>
      <c r="B281" s="46" t="s">
        <v>526</v>
      </c>
      <c r="C281" s="12">
        <v>1000000</v>
      </c>
    </row>
    <row r="282" spans="1:3" x14ac:dyDescent="0.25">
      <c r="A282" s="46" t="s">
        <v>1132</v>
      </c>
      <c r="B282" s="46" t="s">
        <v>808</v>
      </c>
      <c r="C282" s="12">
        <v>736000000</v>
      </c>
    </row>
    <row r="283" spans="1:3" x14ac:dyDescent="0.25">
      <c r="A283" s="46" t="s">
        <v>1127</v>
      </c>
      <c r="B283" s="46" t="s">
        <v>799</v>
      </c>
      <c r="C283" s="12">
        <v>101000000</v>
      </c>
    </row>
    <row r="284" spans="1:3" x14ac:dyDescent="0.25">
      <c r="A284" s="46" t="s">
        <v>1085</v>
      </c>
      <c r="B284" s="46" t="s">
        <v>621</v>
      </c>
      <c r="C284" s="12">
        <v>1000000</v>
      </c>
    </row>
    <row r="285" spans="1:3" x14ac:dyDescent="0.25">
      <c r="A285" s="46" t="s">
        <v>1104</v>
      </c>
      <c r="B285" s="46" t="s">
        <v>603</v>
      </c>
      <c r="C285" s="12">
        <v>800000000</v>
      </c>
    </row>
    <row r="286" spans="1:3" x14ac:dyDescent="0.25">
      <c r="A286" s="46" t="s">
        <v>1126</v>
      </c>
      <c r="B286" s="46" t="s">
        <v>797</v>
      </c>
      <c r="C286" s="12">
        <v>60000000</v>
      </c>
    </row>
    <row r="287" spans="1:3" x14ac:dyDescent="0.25">
      <c r="A287" s="46" t="s">
        <v>1084</v>
      </c>
      <c r="B287" s="46" t="s">
        <v>229</v>
      </c>
      <c r="C287" s="12">
        <v>1000000</v>
      </c>
    </row>
    <row r="288" spans="1:3" x14ac:dyDescent="0.25">
      <c r="A288" s="46" t="s">
        <v>1134</v>
      </c>
      <c r="B288" s="46" t="s">
        <v>229</v>
      </c>
      <c r="C288" s="12">
        <v>1000000</v>
      </c>
    </row>
    <row r="289" spans="1:3" x14ac:dyDescent="0.25">
      <c r="A289" s="46" t="s">
        <v>1125</v>
      </c>
      <c r="B289" s="46" t="s">
        <v>253</v>
      </c>
      <c r="C289" s="12">
        <v>101000000</v>
      </c>
    </row>
    <row r="290" spans="1:3" x14ac:dyDescent="0.25">
      <c r="A290" s="46" t="s">
        <v>1109</v>
      </c>
      <c r="B290" s="46" t="s">
        <v>523</v>
      </c>
      <c r="C290" s="12">
        <v>1000000</v>
      </c>
    </row>
    <row r="291" spans="1:3" x14ac:dyDescent="0.25">
      <c r="A291" s="46" t="s">
        <v>1081</v>
      </c>
      <c r="B291" s="46" t="s">
        <v>303</v>
      </c>
      <c r="C291" s="12">
        <v>237000000</v>
      </c>
    </row>
    <row r="292" spans="1:3" x14ac:dyDescent="0.25">
      <c r="A292" s="46" t="s">
        <v>1080</v>
      </c>
      <c r="B292" s="46" t="s">
        <v>301</v>
      </c>
      <c r="C292" s="12">
        <v>237000000</v>
      </c>
    </row>
    <row r="293" spans="1:3" x14ac:dyDescent="0.25">
      <c r="A293" s="46" t="s">
        <v>1079</v>
      </c>
      <c r="B293" s="46" t="s">
        <v>324</v>
      </c>
      <c r="C293" s="12">
        <v>1900000000</v>
      </c>
    </row>
    <row r="294" spans="1:3" x14ac:dyDescent="0.25">
      <c r="A294" s="46" t="s">
        <v>1121</v>
      </c>
      <c r="B294" s="46" t="s">
        <v>343</v>
      </c>
      <c r="C294" s="12">
        <v>101000000</v>
      </c>
    </row>
    <row r="295" spans="1:3" x14ac:dyDescent="0.25">
      <c r="A295" s="46" t="s">
        <v>1088</v>
      </c>
      <c r="B295" s="46" t="s">
        <v>459</v>
      </c>
      <c r="C295" s="12">
        <v>500000000</v>
      </c>
    </row>
    <row r="296" spans="1:3" x14ac:dyDescent="0.25">
      <c r="A296" s="46" t="s">
        <v>1094</v>
      </c>
      <c r="B296" s="46" t="s">
        <v>459</v>
      </c>
      <c r="C296" s="12">
        <v>1000000000</v>
      </c>
    </row>
    <row r="297" spans="1:3" x14ac:dyDescent="0.25">
      <c r="A297" s="46" t="s">
        <v>1093</v>
      </c>
      <c r="B297" s="46" t="s">
        <v>463</v>
      </c>
      <c r="C297" s="12">
        <v>500000000</v>
      </c>
    </row>
    <row r="298" spans="1:3" x14ac:dyDescent="0.25">
      <c r="A298" s="46" t="s">
        <v>1092</v>
      </c>
      <c r="B298" s="46" t="s">
        <v>463</v>
      </c>
      <c r="C298" s="12">
        <v>1000000000</v>
      </c>
    </row>
    <row r="299" spans="1:3" x14ac:dyDescent="0.25">
      <c r="A299" s="46" t="s">
        <v>1091</v>
      </c>
      <c r="B299" s="46" t="s">
        <v>461</v>
      </c>
      <c r="C299" s="12">
        <v>500000000</v>
      </c>
    </row>
    <row r="300" spans="1:3" x14ac:dyDescent="0.25">
      <c r="A300" s="46" t="s">
        <v>1087</v>
      </c>
      <c r="B300" s="46" t="s">
        <v>461</v>
      </c>
      <c r="C300" s="12">
        <v>1000000000</v>
      </c>
    </row>
    <row r="301" spans="1:3" x14ac:dyDescent="0.25">
      <c r="A301" s="46" t="s">
        <v>1090</v>
      </c>
      <c r="B301" s="46" t="s">
        <v>464</v>
      </c>
      <c r="C301" s="12">
        <v>500000000</v>
      </c>
    </row>
    <row r="302" spans="1:3" x14ac:dyDescent="0.25">
      <c r="A302" s="46" t="s">
        <v>1089</v>
      </c>
      <c r="B302" s="46" t="s">
        <v>464</v>
      </c>
      <c r="C302" s="12">
        <v>1000000000</v>
      </c>
    </row>
    <row r="303" spans="1:3" x14ac:dyDescent="0.25">
      <c r="A303" s="46" t="s">
        <v>1096</v>
      </c>
      <c r="B303" s="46" t="s">
        <v>467</v>
      </c>
      <c r="C303" s="12">
        <v>15000000000</v>
      </c>
    </row>
    <row r="304" spans="1:3" x14ac:dyDescent="0.25">
      <c r="A304" s="46" t="s">
        <v>1114</v>
      </c>
      <c r="B304" s="46" t="s">
        <v>623</v>
      </c>
      <c r="C304" s="12">
        <v>31000000</v>
      </c>
    </row>
    <row r="305" spans="1:3" x14ac:dyDescent="0.25">
      <c r="A305" s="46" t="s">
        <v>1112</v>
      </c>
      <c r="B305" s="46" t="s">
        <v>495</v>
      </c>
      <c r="C305" s="12">
        <v>10000000</v>
      </c>
    </row>
    <row r="306" spans="1:3" x14ac:dyDescent="0.25">
      <c r="A306" s="46" t="s">
        <v>1113</v>
      </c>
      <c r="B306" s="46" t="s">
        <v>500</v>
      </c>
      <c r="C306" s="12">
        <v>10000000</v>
      </c>
    </row>
    <row r="307" spans="1:3" x14ac:dyDescent="0.25">
      <c r="A307" s="46" t="s">
        <v>1111</v>
      </c>
      <c r="B307" s="46" t="s">
        <v>498</v>
      </c>
      <c r="C307" s="12">
        <v>10000000</v>
      </c>
    </row>
    <row r="308" spans="1:3" x14ac:dyDescent="0.25">
      <c r="A308" s="46" t="s">
        <v>1107</v>
      </c>
      <c r="B308" s="46" t="s">
        <v>666</v>
      </c>
      <c r="C308" s="12">
        <v>100000000</v>
      </c>
    </row>
    <row r="309" spans="1:3" x14ac:dyDescent="0.25">
      <c r="A309" s="46" t="s">
        <v>1103</v>
      </c>
      <c r="B309" s="46" t="s">
        <v>513</v>
      </c>
      <c r="C309" s="12">
        <v>100000000</v>
      </c>
    </row>
    <row r="310" spans="1:3" x14ac:dyDescent="0.25">
      <c r="A310" s="46" t="s">
        <v>1119</v>
      </c>
      <c r="B310" s="46" t="s">
        <v>489</v>
      </c>
      <c r="C310" s="12">
        <v>240000000</v>
      </c>
    </row>
    <row r="311" spans="1:3" x14ac:dyDescent="0.25">
      <c r="A311" s="46" t="s">
        <v>1118</v>
      </c>
      <c r="B311" s="46" t="s">
        <v>491</v>
      </c>
      <c r="C311" s="12">
        <v>240000000</v>
      </c>
    </row>
    <row r="312" spans="1:3" x14ac:dyDescent="0.25">
      <c r="A312" s="46" t="s">
        <v>1110</v>
      </c>
      <c r="B312" s="46" t="s">
        <v>485</v>
      </c>
      <c r="C312" s="12">
        <v>78000000</v>
      </c>
    </row>
    <row r="313" spans="1:3" x14ac:dyDescent="0.25">
      <c r="A313" s="46" t="s">
        <v>1124</v>
      </c>
      <c r="B313" s="46" t="s">
        <v>565</v>
      </c>
      <c r="C313" s="12">
        <v>78000000</v>
      </c>
    </row>
    <row r="314" spans="1:3" x14ac:dyDescent="0.25">
      <c r="A314" s="46" t="s">
        <v>1120</v>
      </c>
      <c r="B314" s="46" t="s">
        <v>579</v>
      </c>
      <c r="C314" s="12">
        <v>78000000</v>
      </c>
    </row>
    <row r="315" spans="1:3" x14ac:dyDescent="0.25">
      <c r="A315" s="46" t="s">
        <v>1117</v>
      </c>
      <c r="B315" s="46" t="s">
        <v>486</v>
      </c>
      <c r="C315" s="12">
        <v>1400000000</v>
      </c>
    </row>
    <row r="316" spans="1:3" x14ac:dyDescent="0.25">
      <c r="A316" s="46" t="s">
        <v>1116</v>
      </c>
      <c r="B316" s="46" t="s">
        <v>487</v>
      </c>
      <c r="C316" s="12">
        <v>700000000</v>
      </c>
    </row>
    <row r="317" spans="1:3" x14ac:dyDescent="0.25">
      <c r="A317" s="46" t="s">
        <v>1115</v>
      </c>
      <c r="B317" s="46" t="s">
        <v>488</v>
      </c>
      <c r="C317" s="12">
        <v>900000000</v>
      </c>
    </row>
    <row r="318" spans="1:3" x14ac:dyDescent="0.25">
      <c r="A318" s="46" t="s">
        <v>1097</v>
      </c>
      <c r="B318" s="46" t="s">
        <v>473</v>
      </c>
      <c r="C318" s="12">
        <v>1000000</v>
      </c>
    </row>
    <row r="319" spans="1:3" x14ac:dyDescent="0.25">
      <c r="A319" s="46" t="s">
        <v>1136</v>
      </c>
      <c r="B319" s="46" t="s">
        <v>817</v>
      </c>
      <c r="C319" s="12">
        <v>120000000</v>
      </c>
    </row>
    <row r="320" spans="1:3" x14ac:dyDescent="0.25">
      <c r="A320" s="46" t="s">
        <v>1135</v>
      </c>
      <c r="B320" s="46" t="s">
        <v>815</v>
      </c>
      <c r="C320" s="12">
        <v>200000000</v>
      </c>
    </row>
    <row r="321" spans="1:3" x14ac:dyDescent="0.25">
      <c r="A321" s="46" t="s">
        <v>1141</v>
      </c>
      <c r="B321" s="46" t="s">
        <v>398</v>
      </c>
      <c r="C321" s="12">
        <v>5000000</v>
      </c>
    </row>
    <row r="322" spans="1:3" x14ac:dyDescent="0.25">
      <c r="A322" s="46" t="s">
        <v>1140</v>
      </c>
      <c r="B322" s="46" t="s">
        <v>398</v>
      </c>
      <c r="C322" s="12">
        <v>13000000</v>
      </c>
    </row>
    <row r="323" spans="1:3" x14ac:dyDescent="0.25">
      <c r="A323" s="46" t="s">
        <v>1138</v>
      </c>
      <c r="B323" s="46" t="s">
        <v>467</v>
      </c>
      <c r="C323" s="12">
        <v>10000000000</v>
      </c>
    </row>
    <row r="324" spans="1:3" x14ac:dyDescent="0.25">
      <c r="A324" s="46" t="s">
        <v>1137</v>
      </c>
      <c r="B324" s="46" t="s">
        <v>449</v>
      </c>
      <c r="C324" s="12">
        <v>1000000</v>
      </c>
    </row>
    <row r="325" spans="1:3" x14ac:dyDescent="0.25">
      <c r="A325" s="46" t="s">
        <v>1142</v>
      </c>
      <c r="B325" s="46" t="s">
        <v>555</v>
      </c>
      <c r="C325" s="12">
        <v>52000000</v>
      </c>
    </row>
    <row r="326" spans="1:3" x14ac:dyDescent="0.25">
      <c r="A326" s="46" t="s">
        <v>1144</v>
      </c>
      <c r="B326" s="46" t="s">
        <v>489</v>
      </c>
      <c r="C326" s="12">
        <v>100000000</v>
      </c>
    </row>
    <row r="327" spans="1:3" x14ac:dyDescent="0.25">
      <c r="A327" s="46" t="s">
        <v>1143</v>
      </c>
      <c r="B327" s="46" t="s">
        <v>491</v>
      </c>
      <c r="C327" s="12">
        <v>100000000</v>
      </c>
    </row>
    <row r="328" spans="1:3" x14ac:dyDescent="0.25">
      <c r="A328" s="46" t="s">
        <v>1145</v>
      </c>
      <c r="B328" s="46" t="s">
        <v>486</v>
      </c>
      <c r="C328" s="12">
        <v>100000000</v>
      </c>
    </row>
    <row r="329" spans="1:3" x14ac:dyDescent="0.25">
      <c r="A329" s="46" t="s">
        <v>1146</v>
      </c>
      <c r="B329" s="46" t="s">
        <v>487</v>
      </c>
      <c r="C329" s="12">
        <v>150000000</v>
      </c>
    </row>
    <row r="330" spans="1:3" x14ac:dyDescent="0.25">
      <c r="A330" s="46" t="s">
        <v>1147</v>
      </c>
      <c r="B330" s="46" t="s">
        <v>488</v>
      </c>
      <c r="C330" s="12">
        <v>100000000</v>
      </c>
    </row>
    <row r="331" spans="1:3" x14ac:dyDescent="0.25">
      <c r="A331" s="46" t="s">
        <v>1139</v>
      </c>
      <c r="B331" s="46" t="s">
        <v>710</v>
      </c>
      <c r="C331" s="12">
        <v>30000000</v>
      </c>
    </row>
    <row r="332" spans="1:3" x14ac:dyDescent="0.25">
      <c r="A332" s="46" t="s">
        <v>1149</v>
      </c>
      <c r="B332" s="46" t="s">
        <v>817</v>
      </c>
      <c r="C332" s="12">
        <v>30000000</v>
      </c>
    </row>
    <row r="333" spans="1:3" x14ac:dyDescent="0.25">
      <c r="A333" s="46" t="s">
        <v>1148</v>
      </c>
      <c r="B333" s="46" t="s">
        <v>815</v>
      </c>
      <c r="C333" s="12">
        <v>77000000</v>
      </c>
    </row>
    <row r="334" spans="1:3" x14ac:dyDescent="0.25">
      <c r="A334" s="46" t="s">
        <v>2232</v>
      </c>
      <c r="B334" s="46" t="s">
        <v>323</v>
      </c>
      <c r="C334" s="12">
        <v>2000000</v>
      </c>
    </row>
    <row r="335" spans="1:3" x14ac:dyDescent="0.25">
      <c r="A335" s="46" t="s">
        <v>1151</v>
      </c>
      <c r="B335" s="46" t="s">
        <v>147</v>
      </c>
      <c r="C335" s="12">
        <v>2000000</v>
      </c>
    </row>
    <row r="336" spans="1:3" x14ac:dyDescent="0.25">
      <c r="A336" s="46" t="s">
        <v>2233</v>
      </c>
      <c r="B336" s="46" t="s">
        <v>1279</v>
      </c>
      <c r="C336" s="12">
        <v>1000000</v>
      </c>
    </row>
    <row r="337" spans="1:3" x14ac:dyDescent="0.25">
      <c r="A337" s="46" t="s">
        <v>2234</v>
      </c>
      <c r="B337" s="46" t="s">
        <v>1282</v>
      </c>
      <c r="C337" s="12">
        <v>11000000</v>
      </c>
    </row>
    <row r="338" spans="1:3" x14ac:dyDescent="0.25">
      <c r="A338" s="46" t="s">
        <v>2235</v>
      </c>
      <c r="B338" s="46" t="s">
        <v>1285</v>
      </c>
      <c r="C338" s="12">
        <v>8000000</v>
      </c>
    </row>
    <row r="339" spans="1:3" x14ac:dyDescent="0.25">
      <c r="A339" s="46" t="s">
        <v>2236</v>
      </c>
      <c r="B339" s="46" t="s">
        <v>1288</v>
      </c>
      <c r="C339" s="12">
        <v>2000000</v>
      </c>
    </row>
    <row r="340" spans="1:3" x14ac:dyDescent="0.25">
      <c r="A340" s="46" t="s">
        <v>2237</v>
      </c>
      <c r="B340" s="46" t="s">
        <v>765</v>
      </c>
      <c r="C340" s="12">
        <v>7000000</v>
      </c>
    </row>
    <row r="341" spans="1:3" x14ac:dyDescent="0.25">
      <c r="A341" s="46" t="s">
        <v>1152</v>
      </c>
      <c r="B341" s="46" t="s">
        <v>182</v>
      </c>
      <c r="C341" s="12">
        <v>2000000</v>
      </c>
    </row>
    <row r="342" spans="1:3" x14ac:dyDescent="0.25">
      <c r="A342" s="46" t="s">
        <v>1150</v>
      </c>
      <c r="B342" s="46" t="s">
        <v>136</v>
      </c>
      <c r="C342" s="12">
        <v>1000000</v>
      </c>
    </row>
    <row r="343" spans="1:3" x14ac:dyDescent="0.25">
      <c r="A343" s="46" t="s">
        <v>2238</v>
      </c>
      <c r="B343" s="46" t="s">
        <v>1305</v>
      </c>
      <c r="C343" s="12">
        <v>20000000</v>
      </c>
    </row>
    <row r="344" spans="1:3" x14ac:dyDescent="0.25">
      <c r="A344" s="46" t="s">
        <v>2239</v>
      </c>
      <c r="B344" s="46" t="s">
        <v>815</v>
      </c>
      <c r="C344" s="12">
        <v>30000000</v>
      </c>
    </row>
    <row r="345" spans="1:3" x14ac:dyDescent="0.25">
      <c r="A345" s="46" t="s">
        <v>2240</v>
      </c>
      <c r="B345" s="46" t="s">
        <v>1313</v>
      </c>
      <c r="C345" s="12">
        <v>5000000</v>
      </c>
    </row>
    <row r="346" spans="1:3" x14ac:dyDescent="0.25">
      <c r="A346" s="46" t="s">
        <v>2241</v>
      </c>
      <c r="B346" s="46" t="s">
        <v>1316</v>
      </c>
      <c r="C346" s="12">
        <v>5000000</v>
      </c>
    </row>
    <row r="347" spans="1:3" x14ac:dyDescent="0.25">
      <c r="A347" s="46" t="s">
        <v>2242</v>
      </c>
      <c r="B347" s="46" t="s">
        <v>1319</v>
      </c>
      <c r="C347" s="12">
        <v>7000000</v>
      </c>
    </row>
    <row r="348" spans="1:3" x14ac:dyDescent="0.25">
      <c r="A348" s="46" t="s">
        <v>2243</v>
      </c>
      <c r="B348" s="46" t="s">
        <v>1322</v>
      </c>
      <c r="C348" s="12">
        <v>3000000</v>
      </c>
    </row>
    <row r="349" spans="1:3" x14ac:dyDescent="0.25">
      <c r="A349" s="46" t="s">
        <v>2244</v>
      </c>
      <c r="B349" s="46" t="s">
        <v>1327</v>
      </c>
      <c r="C349" s="12">
        <v>35000000</v>
      </c>
    </row>
    <row r="350" spans="1:3" x14ac:dyDescent="0.25">
      <c r="A350" s="46" t="s">
        <v>2245</v>
      </c>
      <c r="B350" s="46" t="s">
        <v>721</v>
      </c>
      <c r="C350" s="12">
        <v>276000000</v>
      </c>
    </row>
    <row r="351" spans="1:3" x14ac:dyDescent="0.25">
      <c r="A351" s="46" t="s">
        <v>2246</v>
      </c>
      <c r="B351" s="46" t="s">
        <v>721</v>
      </c>
      <c r="C351" s="12">
        <v>24000000</v>
      </c>
    </row>
    <row r="352" spans="1:3" x14ac:dyDescent="0.25">
      <c r="A352" s="46" t="s">
        <v>2247</v>
      </c>
      <c r="B352" s="46" t="s">
        <v>815</v>
      </c>
      <c r="C352" s="12">
        <v>119000000</v>
      </c>
    </row>
    <row r="353" spans="1:3" x14ac:dyDescent="0.25">
      <c r="A353" s="46" t="s">
        <v>2248</v>
      </c>
      <c r="B353" s="46" t="s">
        <v>817</v>
      </c>
      <c r="C353" s="12">
        <v>30000000</v>
      </c>
    </row>
    <row r="354" spans="1:3" x14ac:dyDescent="0.25">
      <c r="A354" s="46" t="s">
        <v>2249</v>
      </c>
      <c r="B354" s="46" t="s">
        <v>817</v>
      </c>
      <c r="C354" s="12">
        <v>100000000</v>
      </c>
    </row>
    <row r="355" spans="1:3" x14ac:dyDescent="0.25">
      <c r="A355" s="46" t="s">
        <v>2250</v>
      </c>
      <c r="B355" s="46" t="s">
        <v>815</v>
      </c>
      <c r="C355" s="12">
        <v>400000000</v>
      </c>
    </row>
    <row r="356" spans="1:3" x14ac:dyDescent="0.25">
      <c r="A356" s="46" t="s">
        <v>2251</v>
      </c>
      <c r="B356" s="46" t="s">
        <v>579</v>
      </c>
      <c r="C356" s="12">
        <v>153000000</v>
      </c>
    </row>
    <row r="357" spans="1:3" x14ac:dyDescent="0.25">
      <c r="A357" s="46" t="s">
        <v>2252</v>
      </c>
      <c r="B357" s="46" t="s">
        <v>579</v>
      </c>
      <c r="C357" s="12">
        <v>122000000</v>
      </c>
    </row>
    <row r="358" spans="1:3" x14ac:dyDescent="0.25">
      <c r="A358" s="46" t="s">
        <v>2253</v>
      </c>
      <c r="B358" s="46" t="s">
        <v>1327</v>
      </c>
      <c r="C358" s="12">
        <v>12000000</v>
      </c>
    </row>
    <row r="359" spans="1:3" x14ac:dyDescent="0.25">
      <c r="A359" s="46" t="s">
        <v>2254</v>
      </c>
      <c r="B359" s="46" t="s">
        <v>1327</v>
      </c>
      <c r="C359" s="12">
        <v>2000000</v>
      </c>
    </row>
    <row r="360" spans="1:3" x14ac:dyDescent="0.25">
      <c r="A360" s="46" t="s">
        <v>2255</v>
      </c>
      <c r="B360" s="46" t="s">
        <v>1461</v>
      </c>
      <c r="C360" s="12">
        <v>2000000</v>
      </c>
    </row>
    <row r="361" spans="1:3" x14ac:dyDescent="0.25">
      <c r="A361" s="46" t="s">
        <v>2256</v>
      </c>
      <c r="B361" s="46" t="s">
        <v>1461</v>
      </c>
      <c r="C361" s="12">
        <v>6000000</v>
      </c>
    </row>
    <row r="362" spans="1:3" x14ac:dyDescent="0.25">
      <c r="A362" s="46" t="s">
        <v>2257</v>
      </c>
      <c r="B362" s="46" t="s">
        <v>1327</v>
      </c>
      <c r="C362" s="12">
        <v>9000000</v>
      </c>
    </row>
    <row r="363" spans="1:3" x14ac:dyDescent="0.25">
      <c r="A363" s="46" t="s">
        <v>2258</v>
      </c>
      <c r="B363" s="46" t="s">
        <v>1327</v>
      </c>
      <c r="C363" s="12">
        <v>69000000</v>
      </c>
    </row>
    <row r="364" spans="1:3" x14ac:dyDescent="0.25">
      <c r="A364" s="46" t="s">
        <v>2259</v>
      </c>
      <c r="B364" s="46" t="s">
        <v>817</v>
      </c>
      <c r="C364" s="12">
        <v>60000000</v>
      </c>
    </row>
    <row r="365" spans="1:3" x14ac:dyDescent="0.25">
      <c r="A365" s="46" t="s">
        <v>2260</v>
      </c>
      <c r="B365" s="46" t="s">
        <v>815</v>
      </c>
      <c r="C365" s="12">
        <v>180000000</v>
      </c>
    </row>
    <row r="366" spans="1:3" x14ac:dyDescent="0.25">
      <c r="A366" s="46" t="s">
        <v>2261</v>
      </c>
      <c r="B366" s="46" t="s">
        <v>579</v>
      </c>
      <c r="C366" s="12">
        <v>86000000</v>
      </c>
    </row>
    <row r="367" spans="1:3" x14ac:dyDescent="0.25">
      <c r="A367" s="46" t="s">
        <v>2262</v>
      </c>
      <c r="B367" s="46" t="s">
        <v>1327</v>
      </c>
      <c r="C367" s="12">
        <v>2000000</v>
      </c>
    </row>
    <row r="368" spans="1:3" x14ac:dyDescent="0.25">
      <c r="A368" s="46" t="s">
        <v>2263</v>
      </c>
      <c r="B368" s="46" t="s">
        <v>1327</v>
      </c>
      <c r="C368" s="12">
        <v>12000000</v>
      </c>
    </row>
    <row r="369" spans="1:3" x14ac:dyDescent="0.25">
      <c r="A369" s="46" t="s">
        <v>2264</v>
      </c>
      <c r="B369" s="46" t="s">
        <v>1461</v>
      </c>
      <c r="C369" s="12">
        <v>1000000</v>
      </c>
    </row>
    <row r="370" spans="1:3" x14ac:dyDescent="0.25">
      <c r="A370" s="46" t="s">
        <v>2265</v>
      </c>
      <c r="B370" s="46" t="s">
        <v>1461</v>
      </c>
      <c r="C370" s="12">
        <v>4000000</v>
      </c>
    </row>
    <row r="371" spans="1:3" x14ac:dyDescent="0.25">
      <c r="A371" s="46" t="s">
        <v>2266</v>
      </c>
      <c r="B371" s="46" t="s">
        <v>817</v>
      </c>
      <c r="C371" s="12">
        <v>120000000</v>
      </c>
    </row>
    <row r="372" spans="1:3" x14ac:dyDescent="0.25">
      <c r="A372" s="46" t="s">
        <v>2267</v>
      </c>
      <c r="B372" s="46" t="s">
        <v>815</v>
      </c>
      <c r="C372" s="12">
        <v>120000000</v>
      </c>
    </row>
    <row r="373" spans="1:3" x14ac:dyDescent="0.25">
      <c r="A373" s="46" t="s">
        <v>1154</v>
      </c>
      <c r="B373" s="46" t="s">
        <v>251</v>
      </c>
      <c r="C373" s="12">
        <v>1000000</v>
      </c>
    </row>
    <row r="374" spans="1:3" x14ac:dyDescent="0.25">
      <c r="A374" s="46" t="s">
        <v>2268</v>
      </c>
      <c r="B374" s="46" t="s">
        <v>241</v>
      </c>
      <c r="C374" s="12">
        <v>100000000</v>
      </c>
    </row>
    <row r="375" spans="1:3" x14ac:dyDescent="0.25">
      <c r="A375" s="46" t="s">
        <v>1158</v>
      </c>
      <c r="B375" s="46" t="s">
        <v>312</v>
      </c>
      <c r="C375" s="12">
        <v>1000000</v>
      </c>
    </row>
    <row r="376" spans="1:3" x14ac:dyDescent="0.25">
      <c r="A376" s="46" t="s">
        <v>1159</v>
      </c>
      <c r="B376" s="46" t="s">
        <v>224</v>
      </c>
      <c r="C376" s="12">
        <v>1000000</v>
      </c>
    </row>
    <row r="377" spans="1:3" x14ac:dyDescent="0.25">
      <c r="A377" s="46" t="s">
        <v>1153</v>
      </c>
      <c r="B377" s="46" t="s">
        <v>153</v>
      </c>
      <c r="C377" s="12">
        <v>1000000</v>
      </c>
    </row>
    <row r="378" spans="1:3" x14ac:dyDescent="0.25">
      <c r="A378" s="46" t="s">
        <v>1157</v>
      </c>
      <c r="B378" s="46" t="s">
        <v>289</v>
      </c>
      <c r="C378" s="12">
        <v>1000000</v>
      </c>
    </row>
    <row r="379" spans="1:3" x14ac:dyDescent="0.25">
      <c r="A379" s="46" t="s">
        <v>1160</v>
      </c>
      <c r="B379" s="46" t="s">
        <v>306</v>
      </c>
      <c r="C379" s="12">
        <v>1000000</v>
      </c>
    </row>
    <row r="380" spans="1:3" x14ac:dyDescent="0.25">
      <c r="A380" s="46" t="s">
        <v>2269</v>
      </c>
      <c r="B380" s="46" t="s">
        <v>1612</v>
      </c>
      <c r="C380" s="12">
        <v>1000000</v>
      </c>
    </row>
    <row r="381" spans="1:3" x14ac:dyDescent="0.25">
      <c r="A381" s="46" t="s">
        <v>2270</v>
      </c>
      <c r="B381" s="46" t="s">
        <v>765</v>
      </c>
      <c r="C381" s="12">
        <v>7000000</v>
      </c>
    </row>
    <row r="382" spans="1:3" x14ac:dyDescent="0.25">
      <c r="A382" s="46" t="s">
        <v>2271</v>
      </c>
      <c r="B382" s="46" t="s">
        <v>815</v>
      </c>
      <c r="C382" s="12">
        <v>30000000</v>
      </c>
    </row>
    <row r="383" spans="1:3" x14ac:dyDescent="0.25">
      <c r="A383" s="46" t="s">
        <v>1155</v>
      </c>
      <c r="B383" s="46" t="s">
        <v>147</v>
      </c>
      <c r="C383" s="12">
        <v>1000000</v>
      </c>
    </row>
    <row r="384" spans="1:3" x14ac:dyDescent="0.25">
      <c r="A384" s="46" t="s">
        <v>2272</v>
      </c>
      <c r="B384" s="46" t="s">
        <v>323</v>
      </c>
      <c r="C384" s="12">
        <v>1000000</v>
      </c>
    </row>
    <row r="385" spans="1:3" x14ac:dyDescent="0.25">
      <c r="A385" s="46" t="s">
        <v>2273</v>
      </c>
      <c r="B385" s="46" t="s">
        <v>182</v>
      </c>
      <c r="C385" s="12">
        <v>1000000</v>
      </c>
    </row>
    <row r="386" spans="1:3" x14ac:dyDescent="0.25">
      <c r="A386" s="46" t="s">
        <v>2274</v>
      </c>
      <c r="B386" s="46" t="s">
        <v>328</v>
      </c>
      <c r="C386" s="12">
        <v>40000000</v>
      </c>
    </row>
    <row r="387" spans="1:3" x14ac:dyDescent="0.25">
      <c r="A387" s="46" t="s">
        <v>2275</v>
      </c>
      <c r="B387" s="46" t="s">
        <v>232</v>
      </c>
      <c r="C387" s="12">
        <v>1000000</v>
      </c>
    </row>
    <row r="388" spans="1:3" x14ac:dyDescent="0.25">
      <c r="A388" s="46" t="s">
        <v>2276</v>
      </c>
      <c r="B388" s="46" t="s">
        <v>1316</v>
      </c>
      <c r="C388" s="12">
        <v>5000000</v>
      </c>
    </row>
    <row r="389" spans="1:3" x14ac:dyDescent="0.25">
      <c r="A389" s="46" t="s">
        <v>2277</v>
      </c>
      <c r="B389" s="46" t="s">
        <v>1319</v>
      </c>
      <c r="C389" s="12">
        <v>5000000</v>
      </c>
    </row>
    <row r="390" spans="1:3" x14ac:dyDescent="0.25">
      <c r="A390" s="46" t="s">
        <v>2278</v>
      </c>
      <c r="B390" s="46" t="s">
        <v>1313</v>
      </c>
      <c r="C390" s="12">
        <v>5000000</v>
      </c>
    </row>
    <row r="391" spans="1:3" x14ac:dyDescent="0.25">
      <c r="A391" s="46" t="s">
        <v>2279</v>
      </c>
      <c r="B391" s="46" t="s">
        <v>1327</v>
      </c>
      <c r="C391" s="12">
        <v>23000000</v>
      </c>
    </row>
    <row r="392" spans="1:3" x14ac:dyDescent="0.25">
      <c r="A392" s="46" t="s">
        <v>2280</v>
      </c>
      <c r="B392" s="46" t="s">
        <v>716</v>
      </c>
      <c r="C392" s="12">
        <v>2000000</v>
      </c>
    </row>
    <row r="393" spans="1:3" x14ac:dyDescent="0.25">
      <c r="A393" s="46" t="s">
        <v>2281</v>
      </c>
      <c r="B393" s="46" t="s">
        <v>815</v>
      </c>
      <c r="C393" s="12">
        <v>100000000</v>
      </c>
    </row>
    <row r="394" spans="1:3" x14ac:dyDescent="0.25">
      <c r="A394" s="46" t="s">
        <v>2282</v>
      </c>
      <c r="B394" s="46" t="s">
        <v>1803</v>
      </c>
      <c r="C394" s="12">
        <v>25000000</v>
      </c>
    </row>
    <row r="395" spans="1:3" x14ac:dyDescent="0.25">
      <c r="A395" s="46" t="s">
        <v>2283</v>
      </c>
      <c r="B395" s="46" t="s">
        <v>1806</v>
      </c>
      <c r="C395" s="12">
        <v>25000000</v>
      </c>
    </row>
    <row r="396" spans="1:3" x14ac:dyDescent="0.25">
      <c r="A396" s="46" t="s">
        <v>2284</v>
      </c>
      <c r="B396" s="46" t="s">
        <v>1810</v>
      </c>
      <c r="C396" s="12">
        <v>5000000</v>
      </c>
    </row>
    <row r="397" spans="1:3" x14ac:dyDescent="0.25">
      <c r="A397" s="46" t="s">
        <v>2285</v>
      </c>
      <c r="B397" s="46" t="s">
        <v>1814</v>
      </c>
      <c r="C397" s="12">
        <v>25000000</v>
      </c>
    </row>
    <row r="398" spans="1:3" x14ac:dyDescent="0.25">
      <c r="A398" s="46" t="s">
        <v>2286</v>
      </c>
      <c r="B398" s="46" t="s">
        <v>533</v>
      </c>
      <c r="C398" s="12">
        <v>25000000</v>
      </c>
    </row>
    <row r="399" spans="1:3" x14ac:dyDescent="0.25">
      <c r="A399" s="46" t="s">
        <v>2287</v>
      </c>
      <c r="B399" s="46" t="s">
        <v>1820</v>
      </c>
      <c r="C399" s="12">
        <v>25000000</v>
      </c>
    </row>
    <row r="400" spans="1:3" x14ac:dyDescent="0.25">
      <c r="A400" s="46" t="s">
        <v>2288</v>
      </c>
      <c r="B400" s="46" t="s">
        <v>802</v>
      </c>
      <c r="C400" s="12">
        <v>240000000</v>
      </c>
    </row>
    <row r="401" spans="1:3" x14ac:dyDescent="0.25">
      <c r="A401" s="46" t="s">
        <v>2289</v>
      </c>
      <c r="B401" s="46" t="s">
        <v>1827</v>
      </c>
      <c r="C401" s="12">
        <v>25000000</v>
      </c>
    </row>
    <row r="402" spans="1:3" x14ac:dyDescent="0.25">
      <c r="A402" s="46" t="s">
        <v>2290</v>
      </c>
      <c r="B402" s="46" t="s">
        <v>520</v>
      </c>
      <c r="C402" s="12">
        <v>25000000</v>
      </c>
    </row>
    <row r="403" spans="1:3" x14ac:dyDescent="0.25">
      <c r="A403" s="46" t="s">
        <v>2291</v>
      </c>
      <c r="B403" s="46" t="s">
        <v>351</v>
      </c>
      <c r="C403" s="12">
        <v>25000000</v>
      </c>
    </row>
    <row r="404" spans="1:3" x14ac:dyDescent="0.25">
      <c r="A404" s="46" t="s">
        <v>2292</v>
      </c>
      <c r="B404" s="46" t="s">
        <v>1834</v>
      </c>
      <c r="C404" s="12">
        <v>25000000</v>
      </c>
    </row>
    <row r="405" spans="1:3" x14ac:dyDescent="0.25">
      <c r="A405" s="46" t="s">
        <v>2293</v>
      </c>
      <c r="B405" s="46" t="s">
        <v>353</v>
      </c>
      <c r="C405" s="12">
        <v>25000000</v>
      </c>
    </row>
    <row r="406" spans="1:3" x14ac:dyDescent="0.25">
      <c r="A406" s="46" t="s">
        <v>2294</v>
      </c>
      <c r="B406" s="46" t="s">
        <v>1840</v>
      </c>
      <c r="C406" s="12">
        <v>5000000</v>
      </c>
    </row>
    <row r="407" spans="1:3" x14ac:dyDescent="0.25">
      <c r="A407" s="46" t="s">
        <v>2295</v>
      </c>
      <c r="B407" s="46" t="s">
        <v>1844</v>
      </c>
      <c r="C407" s="12">
        <v>25000000</v>
      </c>
    </row>
    <row r="408" spans="1:3" x14ac:dyDescent="0.25">
      <c r="A408" s="46" t="s">
        <v>2296</v>
      </c>
      <c r="B408" s="46" t="s">
        <v>326</v>
      </c>
      <c r="C408" s="12">
        <v>25000000</v>
      </c>
    </row>
    <row r="409" spans="1:3" x14ac:dyDescent="0.25">
      <c r="A409" s="46" t="s">
        <v>2297</v>
      </c>
      <c r="B409" s="46" t="s">
        <v>372</v>
      </c>
      <c r="C409" s="12">
        <v>25000000</v>
      </c>
    </row>
    <row r="410" spans="1:3" x14ac:dyDescent="0.25">
      <c r="A410" s="46" t="s">
        <v>2298</v>
      </c>
      <c r="B410" s="46" t="s">
        <v>361</v>
      </c>
      <c r="C410" s="12">
        <v>25000000</v>
      </c>
    </row>
    <row r="411" spans="1:3" x14ac:dyDescent="0.25">
      <c r="A411" s="46" t="s">
        <v>2299</v>
      </c>
      <c r="B411" s="46" t="s">
        <v>1853</v>
      </c>
      <c r="C411" s="12">
        <v>5000000</v>
      </c>
    </row>
    <row r="412" spans="1:3" x14ac:dyDescent="0.25">
      <c r="A412" s="46" t="s">
        <v>2300</v>
      </c>
      <c r="B412" s="46" t="s">
        <v>319</v>
      </c>
      <c r="C412" s="12">
        <v>5000000</v>
      </c>
    </row>
    <row r="413" spans="1:3" x14ac:dyDescent="0.25">
      <c r="A413" s="46" t="s">
        <v>2301</v>
      </c>
      <c r="B413" s="46" t="s">
        <v>1859</v>
      </c>
      <c r="C413" s="12">
        <v>5000000</v>
      </c>
    </row>
    <row r="414" spans="1:3" x14ac:dyDescent="0.25">
      <c r="A414" s="46" t="s">
        <v>2302</v>
      </c>
      <c r="B414" s="46" t="s">
        <v>365</v>
      </c>
      <c r="C414" s="12">
        <v>25000000</v>
      </c>
    </row>
    <row r="415" spans="1:3" x14ac:dyDescent="0.25">
      <c r="A415" s="46" t="s">
        <v>2303</v>
      </c>
      <c r="B415" s="46" t="s">
        <v>1867</v>
      </c>
      <c r="C415" s="12">
        <v>1000000</v>
      </c>
    </row>
    <row r="416" spans="1:3" x14ac:dyDescent="0.25">
      <c r="A416" s="46" t="s">
        <v>2304</v>
      </c>
      <c r="B416" s="46" t="s">
        <v>340</v>
      </c>
      <c r="C416" s="12">
        <v>1000000</v>
      </c>
    </row>
    <row r="417" spans="1:3" x14ac:dyDescent="0.25">
      <c r="A417" s="46" t="s">
        <v>2305</v>
      </c>
      <c r="B417" s="46" t="s">
        <v>1874</v>
      </c>
      <c r="C417" s="12">
        <v>1000000</v>
      </c>
    </row>
    <row r="418" spans="1:3" x14ac:dyDescent="0.25">
      <c r="A418" s="46" t="s">
        <v>2306</v>
      </c>
      <c r="B418" s="46" t="s">
        <v>1461</v>
      </c>
      <c r="C418" s="12">
        <v>3000000</v>
      </c>
    </row>
    <row r="419" spans="1:3" x14ac:dyDescent="0.25">
      <c r="A419" s="46" t="s">
        <v>2307</v>
      </c>
      <c r="B419" s="46" t="s">
        <v>1461</v>
      </c>
      <c r="C419" s="12">
        <v>5000000</v>
      </c>
    </row>
    <row r="420" spans="1:3" x14ac:dyDescent="0.25">
      <c r="A420" s="46" t="s">
        <v>2308</v>
      </c>
      <c r="B420" s="46" t="s">
        <v>1327</v>
      </c>
      <c r="C420" s="12">
        <v>29000000</v>
      </c>
    </row>
    <row r="421" spans="1:3" x14ac:dyDescent="0.25">
      <c r="A421" s="46" t="s">
        <v>2309</v>
      </c>
      <c r="B421" s="46" t="s">
        <v>1327</v>
      </c>
      <c r="C421" s="12">
        <v>49000000</v>
      </c>
    </row>
    <row r="422" spans="1:3" x14ac:dyDescent="0.25">
      <c r="A422" s="46" t="s">
        <v>2310</v>
      </c>
      <c r="B422" s="46" t="s">
        <v>1886</v>
      </c>
      <c r="C422" s="12">
        <v>1000000</v>
      </c>
    </row>
    <row r="423" spans="1:3" x14ac:dyDescent="0.25">
      <c r="A423" s="46" t="s">
        <v>2311</v>
      </c>
      <c r="B423" s="46" t="s">
        <v>765</v>
      </c>
      <c r="C423" s="12">
        <v>15000000</v>
      </c>
    </row>
    <row r="424" spans="1:3" x14ac:dyDescent="0.25">
      <c r="A424" s="46" t="s">
        <v>2312</v>
      </c>
      <c r="B424" s="46" t="s">
        <v>815</v>
      </c>
      <c r="C424" s="12">
        <v>80000000</v>
      </c>
    </row>
    <row r="425" spans="1:3" x14ac:dyDescent="0.25">
      <c r="A425" s="46" t="s">
        <v>2313</v>
      </c>
      <c r="B425" s="46" t="s">
        <v>488</v>
      </c>
      <c r="C425" s="12">
        <v>1500000000</v>
      </c>
    </row>
    <row r="426" spans="1:3" x14ac:dyDescent="0.25">
      <c r="A426" s="46" t="s">
        <v>2314</v>
      </c>
      <c r="B426" s="46" t="s">
        <v>486</v>
      </c>
      <c r="C426" s="12">
        <v>2700000000</v>
      </c>
    </row>
    <row r="427" spans="1:3" x14ac:dyDescent="0.25">
      <c r="A427" s="46" t="s">
        <v>2315</v>
      </c>
      <c r="B427" s="46" t="s">
        <v>487</v>
      </c>
      <c r="C427" s="12">
        <v>1500000000</v>
      </c>
    </row>
    <row r="428" spans="1:3" x14ac:dyDescent="0.25">
      <c r="A428" s="46" t="s">
        <v>2316</v>
      </c>
      <c r="B428" s="46" t="s">
        <v>491</v>
      </c>
      <c r="C428" s="12">
        <v>60000000</v>
      </c>
    </row>
    <row r="429" spans="1:3" x14ac:dyDescent="0.25">
      <c r="A429" s="46" t="s">
        <v>2317</v>
      </c>
      <c r="B429" s="46" t="s">
        <v>489</v>
      </c>
      <c r="C429" s="12">
        <v>80000000</v>
      </c>
    </row>
    <row r="430" spans="1:3" x14ac:dyDescent="0.25">
      <c r="A430" s="46" t="s">
        <v>1162</v>
      </c>
      <c r="B430" s="46" t="s">
        <v>289</v>
      </c>
      <c r="C430" s="12">
        <v>38000000</v>
      </c>
    </row>
    <row r="431" spans="1:3" x14ac:dyDescent="0.25">
      <c r="A431" s="46" t="s">
        <v>1165</v>
      </c>
      <c r="B431" s="46" t="s">
        <v>508</v>
      </c>
      <c r="C431" s="12">
        <v>31000000</v>
      </c>
    </row>
    <row r="432" spans="1:3" x14ac:dyDescent="0.25">
      <c r="A432" s="46" t="s">
        <v>1161</v>
      </c>
      <c r="B432" s="46" t="s">
        <v>309</v>
      </c>
      <c r="C432" s="12">
        <v>31000000</v>
      </c>
    </row>
    <row r="433" spans="1:3" x14ac:dyDescent="0.25">
      <c r="A433" s="46" t="s">
        <v>1163</v>
      </c>
      <c r="B433" s="46" t="s">
        <v>306</v>
      </c>
      <c r="C433" s="12">
        <v>39000000</v>
      </c>
    </row>
    <row r="434" spans="1:3" x14ac:dyDescent="0.25">
      <c r="A434" s="46" t="s">
        <v>2318</v>
      </c>
      <c r="B434" s="46" t="s">
        <v>450</v>
      </c>
      <c r="C434" s="12">
        <v>1000000</v>
      </c>
    </row>
    <row r="435" spans="1:3" x14ac:dyDescent="0.25">
      <c r="A435" s="46" t="s">
        <v>2319</v>
      </c>
      <c r="B435" s="46" t="s">
        <v>259</v>
      </c>
      <c r="C435" s="12">
        <v>37000000</v>
      </c>
    </row>
    <row r="436" spans="1:3" x14ac:dyDescent="0.25">
      <c r="A436" s="46" t="s">
        <v>1156</v>
      </c>
      <c r="B436" s="46" t="s">
        <v>251</v>
      </c>
      <c r="C436" s="12">
        <v>33000000</v>
      </c>
    </row>
    <row r="437" spans="1:3" x14ac:dyDescent="0.25">
      <c r="A437" s="46" t="s">
        <v>2320</v>
      </c>
      <c r="B437" s="46" t="s">
        <v>146</v>
      </c>
      <c r="C437" s="12">
        <v>2000000</v>
      </c>
    </row>
    <row r="438" spans="1:3" x14ac:dyDescent="0.25">
      <c r="A438" s="46" t="s">
        <v>2321</v>
      </c>
      <c r="B438" s="46" t="s">
        <v>2046</v>
      </c>
      <c r="C438" s="12">
        <v>1000000</v>
      </c>
    </row>
    <row r="439" spans="1:3" x14ac:dyDescent="0.25">
      <c r="A439" s="46" t="s">
        <v>1164</v>
      </c>
      <c r="B439" s="46" t="s">
        <v>497</v>
      </c>
      <c r="C439" s="12">
        <v>1000000</v>
      </c>
    </row>
    <row r="440" spans="1:3" x14ac:dyDescent="0.25">
      <c r="A440" s="46" t="s">
        <v>2322</v>
      </c>
      <c r="B440" s="46" t="s">
        <v>2056</v>
      </c>
      <c r="C440" s="12">
        <v>1000000</v>
      </c>
    </row>
    <row r="441" spans="1:3" x14ac:dyDescent="0.25">
      <c r="A441" s="46" t="s">
        <v>2323</v>
      </c>
      <c r="B441" s="46" t="s">
        <v>765</v>
      </c>
      <c r="C441" s="12">
        <v>10000000</v>
      </c>
    </row>
    <row r="442" spans="1:3" x14ac:dyDescent="0.25">
      <c r="A442" s="46" t="s">
        <v>2324</v>
      </c>
      <c r="B442" s="46" t="s">
        <v>2065</v>
      </c>
      <c r="C442" s="12">
        <v>400000000</v>
      </c>
    </row>
    <row r="443" spans="1:3" x14ac:dyDescent="0.25">
      <c r="A443" s="46" t="s">
        <v>2325</v>
      </c>
      <c r="B443" s="46" t="s">
        <v>2068</v>
      </c>
      <c r="C443" s="12">
        <v>400000000</v>
      </c>
    </row>
    <row r="444" spans="1:3" x14ac:dyDescent="0.25">
      <c r="A444" s="46" t="s">
        <v>2326</v>
      </c>
      <c r="B444" s="46" t="s">
        <v>2071</v>
      </c>
      <c r="C444" s="12">
        <v>400000000</v>
      </c>
    </row>
    <row r="445" spans="1:3" x14ac:dyDescent="0.25">
      <c r="A445" s="46" t="s">
        <v>2327</v>
      </c>
      <c r="B445" s="46" t="s">
        <v>2074</v>
      </c>
      <c r="C445" s="12">
        <v>400000000</v>
      </c>
    </row>
    <row r="446" spans="1:3" x14ac:dyDescent="0.25">
      <c r="A446" s="46" t="s">
        <v>2328</v>
      </c>
      <c r="B446" s="46" t="s">
        <v>2077</v>
      </c>
      <c r="C446" s="12">
        <v>400000000</v>
      </c>
    </row>
    <row r="447" spans="1:3" x14ac:dyDescent="0.25">
      <c r="A447" s="46" t="s">
        <v>2329</v>
      </c>
      <c r="B447" s="46" t="s">
        <v>2082</v>
      </c>
      <c r="C447" s="12">
        <v>1000000</v>
      </c>
    </row>
    <row r="448" spans="1:3" x14ac:dyDescent="0.25">
      <c r="A448" s="46" t="s">
        <v>2330</v>
      </c>
      <c r="B448" s="46" t="s">
        <v>239</v>
      </c>
      <c r="C448" s="12">
        <v>1000000</v>
      </c>
    </row>
    <row r="449" spans="1:3" x14ac:dyDescent="0.25">
      <c r="A449" s="46" t="s">
        <v>2331</v>
      </c>
      <c r="B449" s="46" t="s">
        <v>136</v>
      </c>
      <c r="C449" s="12">
        <v>1000000</v>
      </c>
    </row>
    <row r="450" spans="1:3" x14ac:dyDescent="0.25">
      <c r="A450" s="46" t="s">
        <v>2332</v>
      </c>
      <c r="B450" s="46" t="s">
        <v>765</v>
      </c>
      <c r="C450" s="12">
        <v>80000000</v>
      </c>
    </row>
    <row r="451" spans="1:3" x14ac:dyDescent="0.25">
      <c r="A451" s="46" t="s">
        <v>2333</v>
      </c>
      <c r="B451" s="46" t="s">
        <v>1327</v>
      </c>
      <c r="C451" s="12">
        <v>12000000</v>
      </c>
    </row>
    <row r="452" spans="1:3" x14ac:dyDescent="0.25">
      <c r="A452" s="46" t="s">
        <v>2334</v>
      </c>
      <c r="B452" s="46" t="s">
        <v>1461</v>
      </c>
      <c r="C452" s="12">
        <v>6000000</v>
      </c>
    </row>
    <row r="453" spans="1:3" x14ac:dyDescent="0.25">
      <c r="A453" s="46" t="s">
        <v>2335</v>
      </c>
      <c r="B453" s="46" t="s">
        <v>721</v>
      </c>
      <c r="C453" s="12">
        <v>60000000</v>
      </c>
    </row>
    <row r="454" spans="1:3" x14ac:dyDescent="0.25">
      <c r="A454" s="46" t="s">
        <v>2336</v>
      </c>
      <c r="B454" s="46" t="s">
        <v>769</v>
      </c>
      <c r="C454" s="12">
        <v>10000000</v>
      </c>
    </row>
    <row r="455" spans="1:3" x14ac:dyDescent="0.25">
      <c r="A455" s="46" t="s">
        <v>2337</v>
      </c>
      <c r="B455" s="46" t="s">
        <v>765</v>
      </c>
      <c r="C455" s="12">
        <v>22000000</v>
      </c>
    </row>
    <row r="456" spans="1:3" x14ac:dyDescent="0.25">
      <c r="A456" s="46" t="s">
        <v>2338</v>
      </c>
      <c r="B456" s="46" t="s">
        <v>1327</v>
      </c>
      <c r="C456" s="12">
        <v>10000000</v>
      </c>
    </row>
    <row r="457" spans="1:3" x14ac:dyDescent="0.25">
      <c r="A457" s="46" t="s">
        <v>2339</v>
      </c>
      <c r="B457" s="46" t="s">
        <v>1327</v>
      </c>
      <c r="C457" s="12">
        <v>69000000</v>
      </c>
    </row>
    <row r="458" spans="1:3" x14ac:dyDescent="0.25">
      <c r="A458" s="46" t="s">
        <v>2340</v>
      </c>
      <c r="B458" s="46" t="s">
        <v>1461</v>
      </c>
      <c r="C458" s="12">
        <v>2000000</v>
      </c>
    </row>
    <row r="459" spans="1:3" x14ac:dyDescent="0.25">
      <c r="A459" s="46" t="s">
        <v>12</v>
      </c>
      <c r="C459" s="12">
        <v>337037000000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/>
  <dimension ref="A1:C5"/>
  <sheetViews>
    <sheetView topLeftCell="A2" zoomScaleNormal="100" workbookViewId="0">
      <selection activeCell="A10" sqref="A4:A2160"/>
    </sheetView>
  </sheetViews>
  <sheetFormatPr baseColWidth="10" defaultRowHeight="15" x14ac:dyDescent="0.25"/>
  <cols>
    <col min="1" max="1" width="50.42578125" bestFit="1" customWidth="1"/>
    <col min="2" max="2" width="10.5703125" bestFit="1" customWidth="1"/>
    <col min="3" max="3" width="16.7109375" bestFit="1" customWidth="1"/>
  </cols>
  <sheetData>
    <row r="1" spans="1:3" x14ac:dyDescent="0.25">
      <c r="A1" s="1" t="s">
        <v>77</v>
      </c>
      <c r="B1" s="46" t="s">
        <v>50</v>
      </c>
    </row>
    <row r="3" spans="1:3" x14ac:dyDescent="0.25">
      <c r="A3" s="1" t="s">
        <v>51</v>
      </c>
      <c r="B3" s="1" t="s">
        <v>67</v>
      </c>
      <c r="C3" t="s">
        <v>120</v>
      </c>
    </row>
    <row r="4" spans="1:3" x14ac:dyDescent="0.25">
      <c r="A4" s="46" t="s">
        <v>291</v>
      </c>
      <c r="B4" s="46" t="s">
        <v>158</v>
      </c>
      <c r="C4" s="12">
        <v>1</v>
      </c>
    </row>
    <row r="5" spans="1:3" x14ac:dyDescent="0.25">
      <c r="A5" s="46" t="s">
        <v>12</v>
      </c>
      <c r="C5" s="12">
        <v>1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Explicacion</vt:lpstr>
      <vt:lpstr>Panel de Control</vt:lpstr>
      <vt:lpstr>General</vt:lpstr>
      <vt:lpstr>Ultimos Ingresos</vt:lpstr>
      <vt:lpstr>Canal</vt:lpstr>
      <vt:lpstr>Resumen</vt:lpstr>
      <vt:lpstr>TD_historica</vt:lpstr>
      <vt:lpstr>BD_historica</vt:lpstr>
      <vt:lpstr>FORMATO </vt:lpstr>
      <vt:lpstr>Base de Datos</vt:lpstr>
      <vt:lpstr>Ingresos</vt:lpstr>
      <vt:lpstr>Inventario</vt:lpstr>
      <vt:lpstr>Tabla dinamica Ingresos</vt:lpstr>
      <vt:lpstr>Tabla dinamica inventario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Mario Echeverri Tirado</dc:creator>
  <cp:lastModifiedBy>Practicante Direccion de Servicio Cordialsa Colombia</cp:lastModifiedBy>
  <cp:lastPrinted>2020-06-25T12:19:52Z</cp:lastPrinted>
  <dcterms:created xsi:type="dcterms:W3CDTF">2017-01-16T16:24:11Z</dcterms:created>
  <dcterms:modified xsi:type="dcterms:W3CDTF">2021-12-23T18:29:43Z</dcterms:modified>
</cp:coreProperties>
</file>